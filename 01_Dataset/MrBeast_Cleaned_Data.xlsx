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e0e69d27fcb0f7/Desktop/"/>
    </mc:Choice>
  </mc:AlternateContent>
  <xr:revisionPtr revIDLastSave="0" documentId="8_{6395D167-F69C-4D20-80BA-BDA229A81369}" xr6:coauthVersionLast="47" xr6:coauthVersionMax="47" xr10:uidLastSave="{00000000-0000-0000-0000-000000000000}"/>
  <bookViews>
    <workbookView xWindow="-108" yWindow="-108" windowWidth="23256" windowHeight="12456" xr2:uid="{897C0D60-2D30-4B10-99AA-316DAE183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88" i="1" l="1"/>
  <c r="N988" i="1"/>
  <c r="M988" i="1"/>
  <c r="L988" i="1"/>
  <c r="K988" i="1"/>
  <c r="J988" i="1"/>
  <c r="I988" i="1"/>
  <c r="H988" i="1"/>
  <c r="G988" i="1"/>
  <c r="F988" i="1"/>
  <c r="O987" i="1"/>
  <c r="N987" i="1"/>
  <c r="M987" i="1"/>
  <c r="L987" i="1"/>
  <c r="K987" i="1"/>
  <c r="J987" i="1"/>
  <c r="I987" i="1"/>
  <c r="H987" i="1"/>
  <c r="G987" i="1"/>
  <c r="F987" i="1"/>
  <c r="O986" i="1"/>
  <c r="N986" i="1"/>
  <c r="M986" i="1"/>
  <c r="L986" i="1"/>
  <c r="K986" i="1"/>
  <c r="J986" i="1"/>
  <c r="I986" i="1"/>
  <c r="H986" i="1"/>
  <c r="G986" i="1"/>
  <c r="F986" i="1"/>
  <c r="O985" i="1"/>
  <c r="N985" i="1"/>
  <c r="M985" i="1"/>
  <c r="L985" i="1"/>
  <c r="K985" i="1"/>
  <c r="J985" i="1"/>
  <c r="I985" i="1"/>
  <c r="H985" i="1"/>
  <c r="G985" i="1"/>
  <c r="F985" i="1"/>
  <c r="O984" i="1"/>
  <c r="N984" i="1"/>
  <c r="M984" i="1"/>
  <c r="L984" i="1"/>
  <c r="K984" i="1"/>
  <c r="J984" i="1"/>
  <c r="I984" i="1"/>
  <c r="H984" i="1"/>
  <c r="G984" i="1"/>
  <c r="F984" i="1"/>
  <c r="O983" i="1"/>
  <c r="N983" i="1"/>
  <c r="M983" i="1"/>
  <c r="L983" i="1"/>
  <c r="K983" i="1"/>
  <c r="J983" i="1"/>
  <c r="I983" i="1"/>
  <c r="H983" i="1"/>
  <c r="G983" i="1"/>
  <c r="F983" i="1"/>
  <c r="O982" i="1"/>
  <c r="N982" i="1"/>
  <c r="M982" i="1"/>
  <c r="L982" i="1"/>
  <c r="K982" i="1"/>
  <c r="J982" i="1"/>
  <c r="I982" i="1"/>
  <c r="H982" i="1"/>
  <c r="G982" i="1"/>
  <c r="F982" i="1"/>
  <c r="O981" i="1"/>
  <c r="N981" i="1"/>
  <c r="M981" i="1"/>
  <c r="L981" i="1"/>
  <c r="K981" i="1"/>
  <c r="J981" i="1"/>
  <c r="I981" i="1"/>
  <c r="H981" i="1"/>
  <c r="G981" i="1"/>
  <c r="F981" i="1"/>
  <c r="O980" i="1"/>
  <c r="N980" i="1"/>
  <c r="M980" i="1"/>
  <c r="L980" i="1"/>
  <c r="K980" i="1"/>
  <c r="J980" i="1"/>
  <c r="I980" i="1"/>
  <c r="H980" i="1"/>
  <c r="G980" i="1"/>
  <c r="F980" i="1"/>
  <c r="O979" i="1"/>
  <c r="N979" i="1"/>
  <c r="M979" i="1"/>
  <c r="L979" i="1"/>
  <c r="K979" i="1"/>
  <c r="J979" i="1"/>
  <c r="I979" i="1"/>
  <c r="H979" i="1"/>
  <c r="G979" i="1"/>
  <c r="F979" i="1"/>
  <c r="O978" i="1"/>
  <c r="N978" i="1"/>
  <c r="M978" i="1"/>
  <c r="L978" i="1"/>
  <c r="K978" i="1"/>
  <c r="J978" i="1"/>
  <c r="I978" i="1"/>
  <c r="H978" i="1"/>
  <c r="G978" i="1"/>
  <c r="F978" i="1"/>
  <c r="O977" i="1"/>
  <c r="N977" i="1"/>
  <c r="M977" i="1"/>
  <c r="L977" i="1"/>
  <c r="K977" i="1"/>
  <c r="J977" i="1"/>
  <c r="I977" i="1"/>
  <c r="H977" i="1"/>
  <c r="G977" i="1"/>
  <c r="F977" i="1"/>
  <c r="O976" i="1"/>
  <c r="N976" i="1"/>
  <c r="M976" i="1"/>
  <c r="L976" i="1"/>
  <c r="K976" i="1"/>
  <c r="J976" i="1"/>
  <c r="I976" i="1"/>
  <c r="H976" i="1"/>
  <c r="G976" i="1"/>
  <c r="F976" i="1"/>
  <c r="O975" i="1"/>
  <c r="N975" i="1"/>
  <c r="M975" i="1"/>
  <c r="L975" i="1"/>
  <c r="K975" i="1"/>
  <c r="J975" i="1"/>
  <c r="I975" i="1"/>
  <c r="H975" i="1"/>
  <c r="G975" i="1"/>
  <c r="F975" i="1"/>
  <c r="O974" i="1"/>
  <c r="N974" i="1"/>
  <c r="M974" i="1"/>
  <c r="L974" i="1"/>
  <c r="K974" i="1"/>
  <c r="J974" i="1"/>
  <c r="I974" i="1"/>
  <c r="H974" i="1"/>
  <c r="G974" i="1"/>
  <c r="F974" i="1"/>
  <c r="O973" i="1"/>
  <c r="N973" i="1"/>
  <c r="M973" i="1"/>
  <c r="L973" i="1"/>
  <c r="K973" i="1"/>
  <c r="J973" i="1"/>
  <c r="I973" i="1"/>
  <c r="H973" i="1"/>
  <c r="G973" i="1"/>
  <c r="F973" i="1"/>
  <c r="O972" i="1"/>
  <c r="N972" i="1"/>
  <c r="M972" i="1"/>
  <c r="L972" i="1"/>
  <c r="K972" i="1"/>
  <c r="J972" i="1"/>
  <c r="I972" i="1"/>
  <c r="H972" i="1"/>
  <c r="G972" i="1"/>
  <c r="F972" i="1"/>
  <c r="O971" i="1"/>
  <c r="N971" i="1"/>
  <c r="M971" i="1"/>
  <c r="L971" i="1"/>
  <c r="K971" i="1"/>
  <c r="J971" i="1"/>
  <c r="I971" i="1"/>
  <c r="H971" i="1"/>
  <c r="G971" i="1"/>
  <c r="F971" i="1"/>
  <c r="O970" i="1"/>
  <c r="N970" i="1"/>
  <c r="M970" i="1"/>
  <c r="L970" i="1"/>
  <c r="K970" i="1"/>
  <c r="J970" i="1"/>
  <c r="I970" i="1"/>
  <c r="H970" i="1"/>
  <c r="G970" i="1"/>
  <c r="F970" i="1"/>
  <c r="O969" i="1"/>
  <c r="N969" i="1"/>
  <c r="M969" i="1"/>
  <c r="L969" i="1"/>
  <c r="K969" i="1"/>
  <c r="J969" i="1"/>
  <c r="I969" i="1"/>
  <c r="H969" i="1"/>
  <c r="G969" i="1"/>
  <c r="F969" i="1"/>
  <c r="O968" i="1"/>
  <c r="N968" i="1"/>
  <c r="M968" i="1"/>
  <c r="L968" i="1"/>
  <c r="K968" i="1"/>
  <c r="J968" i="1"/>
  <c r="I968" i="1"/>
  <c r="H968" i="1"/>
  <c r="G968" i="1"/>
  <c r="F968" i="1"/>
  <c r="O967" i="1"/>
  <c r="N967" i="1"/>
  <c r="M967" i="1"/>
  <c r="L967" i="1"/>
  <c r="K967" i="1"/>
  <c r="J967" i="1"/>
  <c r="I967" i="1"/>
  <c r="H967" i="1"/>
  <c r="G967" i="1"/>
  <c r="F967" i="1"/>
  <c r="O966" i="1"/>
  <c r="N966" i="1"/>
  <c r="M966" i="1"/>
  <c r="L966" i="1"/>
  <c r="K966" i="1"/>
  <c r="J966" i="1"/>
  <c r="I966" i="1"/>
  <c r="H966" i="1"/>
  <c r="G966" i="1"/>
  <c r="F966" i="1"/>
  <c r="O965" i="1"/>
  <c r="N965" i="1"/>
  <c r="M965" i="1"/>
  <c r="L965" i="1"/>
  <c r="K965" i="1"/>
  <c r="J965" i="1"/>
  <c r="I965" i="1"/>
  <c r="H965" i="1"/>
  <c r="G965" i="1"/>
  <c r="F965" i="1"/>
  <c r="O964" i="1"/>
  <c r="N964" i="1"/>
  <c r="M964" i="1"/>
  <c r="L964" i="1"/>
  <c r="K964" i="1"/>
  <c r="J964" i="1"/>
  <c r="I964" i="1"/>
  <c r="H964" i="1"/>
  <c r="G964" i="1"/>
  <c r="F964" i="1"/>
  <c r="O963" i="1"/>
  <c r="N963" i="1"/>
  <c r="M963" i="1"/>
  <c r="L963" i="1"/>
  <c r="K963" i="1"/>
  <c r="J963" i="1"/>
  <c r="I963" i="1"/>
  <c r="H963" i="1"/>
  <c r="G963" i="1"/>
  <c r="F963" i="1"/>
  <c r="O962" i="1"/>
  <c r="N962" i="1"/>
  <c r="M962" i="1"/>
  <c r="L962" i="1"/>
  <c r="K962" i="1"/>
  <c r="J962" i="1"/>
  <c r="I962" i="1"/>
  <c r="H962" i="1"/>
  <c r="G962" i="1"/>
  <c r="F962" i="1"/>
  <c r="O961" i="1"/>
  <c r="N961" i="1"/>
  <c r="M961" i="1"/>
  <c r="L961" i="1"/>
  <c r="K961" i="1"/>
  <c r="J961" i="1"/>
  <c r="I961" i="1"/>
  <c r="H961" i="1"/>
  <c r="G961" i="1"/>
  <c r="F961" i="1"/>
  <c r="O960" i="1"/>
  <c r="N960" i="1"/>
  <c r="M960" i="1"/>
  <c r="L960" i="1"/>
  <c r="K960" i="1"/>
  <c r="J960" i="1"/>
  <c r="I960" i="1"/>
  <c r="H960" i="1"/>
  <c r="G960" i="1"/>
  <c r="F960" i="1"/>
  <c r="O959" i="1"/>
  <c r="N959" i="1"/>
  <c r="M959" i="1"/>
  <c r="L959" i="1"/>
  <c r="K959" i="1"/>
  <c r="J959" i="1"/>
  <c r="I959" i="1"/>
  <c r="H959" i="1"/>
  <c r="G959" i="1"/>
  <c r="F959" i="1"/>
  <c r="O958" i="1"/>
  <c r="N958" i="1"/>
  <c r="M958" i="1"/>
  <c r="L958" i="1"/>
  <c r="K958" i="1"/>
  <c r="J958" i="1"/>
  <c r="I958" i="1"/>
  <c r="H958" i="1"/>
  <c r="G958" i="1"/>
  <c r="F958" i="1"/>
  <c r="O957" i="1"/>
  <c r="N957" i="1"/>
  <c r="M957" i="1"/>
  <c r="L957" i="1"/>
  <c r="K957" i="1"/>
  <c r="J957" i="1"/>
  <c r="I957" i="1"/>
  <c r="H957" i="1"/>
  <c r="G957" i="1"/>
  <c r="F957" i="1"/>
  <c r="O956" i="1"/>
  <c r="N956" i="1"/>
  <c r="M956" i="1"/>
  <c r="L956" i="1"/>
  <c r="K956" i="1"/>
  <c r="J956" i="1"/>
  <c r="I956" i="1"/>
  <c r="H956" i="1"/>
  <c r="G956" i="1"/>
  <c r="F956" i="1"/>
  <c r="O955" i="1"/>
  <c r="N955" i="1"/>
  <c r="M955" i="1"/>
  <c r="L955" i="1"/>
  <c r="K955" i="1"/>
  <c r="J955" i="1"/>
  <c r="I955" i="1"/>
  <c r="H955" i="1"/>
  <c r="G955" i="1"/>
  <c r="F955" i="1"/>
  <c r="O954" i="1"/>
  <c r="N954" i="1"/>
  <c r="M954" i="1"/>
  <c r="L954" i="1"/>
  <c r="K954" i="1"/>
  <c r="J954" i="1"/>
  <c r="I954" i="1"/>
  <c r="H954" i="1"/>
  <c r="G954" i="1"/>
  <c r="F954" i="1"/>
  <c r="O953" i="1"/>
  <c r="N953" i="1"/>
  <c r="M953" i="1"/>
  <c r="L953" i="1"/>
  <c r="K953" i="1"/>
  <c r="J953" i="1"/>
  <c r="I953" i="1"/>
  <c r="H953" i="1"/>
  <c r="G953" i="1"/>
  <c r="F953" i="1"/>
  <c r="O952" i="1"/>
  <c r="N952" i="1"/>
  <c r="M952" i="1"/>
  <c r="L952" i="1"/>
  <c r="K952" i="1"/>
  <c r="J952" i="1"/>
  <c r="I952" i="1"/>
  <c r="H952" i="1"/>
  <c r="G952" i="1"/>
  <c r="F952" i="1"/>
  <c r="O951" i="1"/>
  <c r="N951" i="1"/>
  <c r="M951" i="1"/>
  <c r="L951" i="1"/>
  <c r="K951" i="1"/>
  <c r="J951" i="1"/>
  <c r="I951" i="1"/>
  <c r="H951" i="1"/>
  <c r="G951" i="1"/>
  <c r="F951" i="1"/>
  <c r="O950" i="1"/>
  <c r="N950" i="1"/>
  <c r="M950" i="1"/>
  <c r="L950" i="1"/>
  <c r="K950" i="1"/>
  <c r="J950" i="1"/>
  <c r="I950" i="1"/>
  <c r="H950" i="1"/>
  <c r="G950" i="1"/>
  <c r="F950" i="1"/>
  <c r="O949" i="1"/>
  <c r="N949" i="1"/>
  <c r="M949" i="1"/>
  <c r="L949" i="1"/>
  <c r="K949" i="1"/>
  <c r="J949" i="1"/>
  <c r="I949" i="1"/>
  <c r="H949" i="1"/>
  <c r="G949" i="1"/>
  <c r="F949" i="1"/>
  <c r="O948" i="1"/>
  <c r="N948" i="1"/>
  <c r="M948" i="1"/>
  <c r="L948" i="1"/>
  <c r="K948" i="1"/>
  <c r="J948" i="1"/>
  <c r="I948" i="1"/>
  <c r="H948" i="1"/>
  <c r="G948" i="1"/>
  <c r="F948" i="1"/>
  <c r="O947" i="1"/>
  <c r="N947" i="1"/>
  <c r="M947" i="1"/>
  <c r="L947" i="1"/>
  <c r="K947" i="1"/>
  <c r="J947" i="1"/>
  <c r="I947" i="1"/>
  <c r="H947" i="1"/>
  <c r="G947" i="1"/>
  <c r="F947" i="1"/>
  <c r="O946" i="1"/>
  <c r="N946" i="1"/>
  <c r="M946" i="1"/>
  <c r="L946" i="1"/>
  <c r="K946" i="1"/>
  <c r="J946" i="1"/>
  <c r="I946" i="1"/>
  <c r="H946" i="1"/>
  <c r="G946" i="1"/>
  <c r="F946" i="1"/>
  <c r="O945" i="1"/>
  <c r="N945" i="1"/>
  <c r="M945" i="1"/>
  <c r="L945" i="1"/>
  <c r="K945" i="1"/>
  <c r="J945" i="1"/>
  <c r="I945" i="1"/>
  <c r="H945" i="1"/>
  <c r="G945" i="1"/>
  <c r="F945" i="1"/>
  <c r="O944" i="1"/>
  <c r="N944" i="1"/>
  <c r="M944" i="1"/>
  <c r="L944" i="1"/>
  <c r="K944" i="1"/>
  <c r="J944" i="1"/>
  <c r="I944" i="1"/>
  <c r="H944" i="1"/>
  <c r="G944" i="1"/>
  <c r="F944" i="1"/>
  <c r="O943" i="1"/>
  <c r="N943" i="1"/>
  <c r="M943" i="1"/>
  <c r="L943" i="1"/>
  <c r="K943" i="1"/>
  <c r="J943" i="1"/>
  <c r="I943" i="1"/>
  <c r="H943" i="1"/>
  <c r="G943" i="1"/>
  <c r="F943" i="1"/>
  <c r="O942" i="1"/>
  <c r="N942" i="1"/>
  <c r="M942" i="1"/>
  <c r="L942" i="1"/>
  <c r="K942" i="1"/>
  <c r="J942" i="1"/>
  <c r="I942" i="1"/>
  <c r="H942" i="1"/>
  <c r="G942" i="1"/>
  <c r="F942" i="1"/>
  <c r="O941" i="1"/>
  <c r="N941" i="1"/>
  <c r="M941" i="1"/>
  <c r="L941" i="1"/>
  <c r="K941" i="1"/>
  <c r="J941" i="1"/>
  <c r="I941" i="1"/>
  <c r="H941" i="1"/>
  <c r="G941" i="1"/>
  <c r="F941" i="1"/>
  <c r="O940" i="1"/>
  <c r="N940" i="1"/>
  <c r="M940" i="1"/>
  <c r="L940" i="1"/>
  <c r="K940" i="1"/>
  <c r="J940" i="1"/>
  <c r="I940" i="1"/>
  <c r="H940" i="1"/>
  <c r="G940" i="1"/>
  <c r="F940" i="1"/>
  <c r="O939" i="1"/>
  <c r="N939" i="1"/>
  <c r="M939" i="1"/>
  <c r="L939" i="1"/>
  <c r="K939" i="1"/>
  <c r="J939" i="1"/>
  <c r="I939" i="1"/>
  <c r="H939" i="1"/>
  <c r="G939" i="1"/>
  <c r="F939" i="1"/>
  <c r="O938" i="1"/>
  <c r="N938" i="1"/>
  <c r="M938" i="1"/>
  <c r="L938" i="1"/>
  <c r="K938" i="1"/>
  <c r="J938" i="1"/>
  <c r="I938" i="1"/>
  <c r="H938" i="1"/>
  <c r="G938" i="1"/>
  <c r="F938" i="1"/>
  <c r="O937" i="1"/>
  <c r="N937" i="1"/>
  <c r="M937" i="1"/>
  <c r="L937" i="1"/>
  <c r="K937" i="1"/>
  <c r="J937" i="1"/>
  <c r="I937" i="1"/>
  <c r="H937" i="1"/>
  <c r="G937" i="1"/>
  <c r="F937" i="1"/>
  <c r="O936" i="1"/>
  <c r="N936" i="1"/>
  <c r="M936" i="1"/>
  <c r="L936" i="1"/>
  <c r="K936" i="1"/>
  <c r="J936" i="1"/>
  <c r="I936" i="1"/>
  <c r="H936" i="1"/>
  <c r="G936" i="1"/>
  <c r="F936" i="1"/>
  <c r="O935" i="1"/>
  <c r="N935" i="1"/>
  <c r="M935" i="1"/>
  <c r="L935" i="1"/>
  <c r="K935" i="1"/>
  <c r="J935" i="1"/>
  <c r="I935" i="1"/>
  <c r="H935" i="1"/>
  <c r="G935" i="1"/>
  <c r="F935" i="1"/>
  <c r="O934" i="1"/>
  <c r="N934" i="1"/>
  <c r="M934" i="1"/>
  <c r="L934" i="1"/>
  <c r="K934" i="1"/>
  <c r="J934" i="1"/>
  <c r="I934" i="1"/>
  <c r="H934" i="1"/>
  <c r="G934" i="1"/>
  <c r="F934" i="1"/>
  <c r="O933" i="1"/>
  <c r="N933" i="1"/>
  <c r="M933" i="1"/>
  <c r="L933" i="1"/>
  <c r="K933" i="1"/>
  <c r="J933" i="1"/>
  <c r="I933" i="1"/>
  <c r="H933" i="1"/>
  <c r="G933" i="1"/>
  <c r="F933" i="1"/>
  <c r="O932" i="1"/>
  <c r="N932" i="1"/>
  <c r="M932" i="1"/>
  <c r="L932" i="1"/>
  <c r="K932" i="1"/>
  <c r="J932" i="1"/>
  <c r="I932" i="1"/>
  <c r="H932" i="1"/>
  <c r="G932" i="1"/>
  <c r="F932" i="1"/>
  <c r="O931" i="1"/>
  <c r="N931" i="1"/>
  <c r="M931" i="1"/>
  <c r="L931" i="1"/>
  <c r="K931" i="1"/>
  <c r="J931" i="1"/>
  <c r="I931" i="1"/>
  <c r="H931" i="1"/>
  <c r="G931" i="1"/>
  <c r="F931" i="1"/>
  <c r="O930" i="1"/>
  <c r="N930" i="1"/>
  <c r="M930" i="1"/>
  <c r="L930" i="1"/>
  <c r="K930" i="1"/>
  <c r="J930" i="1"/>
  <c r="I930" i="1"/>
  <c r="H930" i="1"/>
  <c r="G930" i="1"/>
  <c r="F930" i="1"/>
  <c r="O929" i="1"/>
  <c r="N929" i="1"/>
  <c r="M929" i="1"/>
  <c r="L929" i="1"/>
  <c r="K929" i="1"/>
  <c r="J929" i="1"/>
  <c r="I929" i="1"/>
  <c r="H929" i="1"/>
  <c r="G929" i="1"/>
  <c r="F929" i="1"/>
  <c r="O928" i="1"/>
  <c r="N928" i="1"/>
  <c r="M928" i="1"/>
  <c r="L928" i="1"/>
  <c r="K928" i="1"/>
  <c r="J928" i="1"/>
  <c r="I928" i="1"/>
  <c r="H928" i="1"/>
  <c r="G928" i="1"/>
  <c r="F928" i="1"/>
  <c r="O927" i="1"/>
  <c r="N927" i="1"/>
  <c r="M927" i="1"/>
  <c r="L927" i="1"/>
  <c r="K927" i="1"/>
  <c r="J927" i="1"/>
  <c r="I927" i="1"/>
  <c r="H927" i="1"/>
  <c r="G927" i="1"/>
  <c r="F927" i="1"/>
  <c r="O926" i="1"/>
  <c r="N926" i="1"/>
  <c r="M926" i="1"/>
  <c r="L926" i="1"/>
  <c r="K926" i="1"/>
  <c r="J926" i="1"/>
  <c r="I926" i="1"/>
  <c r="H926" i="1"/>
  <c r="G926" i="1"/>
  <c r="F926" i="1"/>
  <c r="O925" i="1"/>
  <c r="N925" i="1"/>
  <c r="M925" i="1"/>
  <c r="L925" i="1"/>
  <c r="K925" i="1"/>
  <c r="J925" i="1"/>
  <c r="I925" i="1"/>
  <c r="H925" i="1"/>
  <c r="G925" i="1"/>
  <c r="F925" i="1"/>
  <c r="O924" i="1"/>
  <c r="N924" i="1"/>
  <c r="M924" i="1"/>
  <c r="L924" i="1"/>
  <c r="K924" i="1"/>
  <c r="J924" i="1"/>
  <c r="I924" i="1"/>
  <c r="H924" i="1"/>
  <c r="G924" i="1"/>
  <c r="F924" i="1"/>
  <c r="O923" i="1"/>
  <c r="N923" i="1"/>
  <c r="M923" i="1"/>
  <c r="L923" i="1"/>
  <c r="K923" i="1"/>
  <c r="J923" i="1"/>
  <c r="I923" i="1"/>
  <c r="H923" i="1"/>
  <c r="G923" i="1"/>
  <c r="F923" i="1"/>
  <c r="O922" i="1"/>
  <c r="N922" i="1"/>
  <c r="M922" i="1"/>
  <c r="L922" i="1"/>
  <c r="K922" i="1"/>
  <c r="J922" i="1"/>
  <c r="I922" i="1"/>
  <c r="H922" i="1"/>
  <c r="G922" i="1"/>
  <c r="F922" i="1"/>
  <c r="O921" i="1"/>
  <c r="N921" i="1"/>
  <c r="M921" i="1"/>
  <c r="L921" i="1"/>
  <c r="K921" i="1"/>
  <c r="J921" i="1"/>
  <c r="I921" i="1"/>
  <c r="H921" i="1"/>
  <c r="G921" i="1"/>
  <c r="F921" i="1"/>
  <c r="O920" i="1"/>
  <c r="N920" i="1"/>
  <c r="M920" i="1"/>
  <c r="L920" i="1"/>
  <c r="K920" i="1"/>
  <c r="J920" i="1"/>
  <c r="I920" i="1"/>
  <c r="H920" i="1"/>
  <c r="G920" i="1"/>
  <c r="F920" i="1"/>
  <c r="O919" i="1"/>
  <c r="N919" i="1"/>
  <c r="M919" i="1"/>
  <c r="L919" i="1"/>
  <c r="K919" i="1"/>
  <c r="J919" i="1"/>
  <c r="I919" i="1"/>
  <c r="H919" i="1"/>
  <c r="G919" i="1"/>
  <c r="F919" i="1"/>
  <c r="O918" i="1"/>
  <c r="N918" i="1"/>
  <c r="M918" i="1"/>
  <c r="L918" i="1"/>
  <c r="K918" i="1"/>
  <c r="J918" i="1"/>
  <c r="I918" i="1"/>
  <c r="H918" i="1"/>
  <c r="G918" i="1"/>
  <c r="F918" i="1"/>
  <c r="O917" i="1"/>
  <c r="N917" i="1"/>
  <c r="M917" i="1"/>
  <c r="L917" i="1"/>
  <c r="K917" i="1"/>
  <c r="J917" i="1"/>
  <c r="I917" i="1"/>
  <c r="H917" i="1"/>
  <c r="G917" i="1"/>
  <c r="F917" i="1"/>
  <c r="O916" i="1"/>
  <c r="N916" i="1"/>
  <c r="M916" i="1"/>
  <c r="L916" i="1"/>
  <c r="K916" i="1"/>
  <c r="J916" i="1"/>
  <c r="I916" i="1"/>
  <c r="H916" i="1"/>
  <c r="G916" i="1"/>
  <c r="F916" i="1"/>
  <c r="O915" i="1"/>
  <c r="N915" i="1"/>
  <c r="M915" i="1"/>
  <c r="L915" i="1"/>
  <c r="K915" i="1"/>
  <c r="J915" i="1"/>
  <c r="I915" i="1"/>
  <c r="H915" i="1"/>
  <c r="G915" i="1"/>
  <c r="F915" i="1"/>
  <c r="O914" i="1"/>
  <c r="N914" i="1"/>
  <c r="M914" i="1"/>
  <c r="L914" i="1"/>
  <c r="K914" i="1"/>
  <c r="J914" i="1"/>
  <c r="I914" i="1"/>
  <c r="H914" i="1"/>
  <c r="G914" i="1"/>
  <c r="F914" i="1"/>
  <c r="O913" i="1"/>
  <c r="N913" i="1"/>
  <c r="M913" i="1"/>
  <c r="L913" i="1"/>
  <c r="K913" i="1"/>
  <c r="J913" i="1"/>
  <c r="I913" i="1"/>
  <c r="H913" i="1"/>
  <c r="G913" i="1"/>
  <c r="F913" i="1"/>
  <c r="O912" i="1"/>
  <c r="N912" i="1"/>
  <c r="M912" i="1"/>
  <c r="L912" i="1"/>
  <c r="K912" i="1"/>
  <c r="J912" i="1"/>
  <c r="I912" i="1"/>
  <c r="H912" i="1"/>
  <c r="G912" i="1"/>
  <c r="F912" i="1"/>
  <c r="O911" i="1"/>
  <c r="N911" i="1"/>
  <c r="M911" i="1"/>
  <c r="L911" i="1"/>
  <c r="K911" i="1"/>
  <c r="J911" i="1"/>
  <c r="I911" i="1"/>
  <c r="H911" i="1"/>
  <c r="G911" i="1"/>
  <c r="F911" i="1"/>
  <c r="O910" i="1"/>
  <c r="N910" i="1"/>
  <c r="M910" i="1"/>
  <c r="L910" i="1"/>
  <c r="K910" i="1"/>
  <c r="J910" i="1"/>
  <c r="I910" i="1"/>
  <c r="H910" i="1"/>
  <c r="G910" i="1"/>
  <c r="F910" i="1"/>
  <c r="O909" i="1"/>
  <c r="N909" i="1"/>
  <c r="M909" i="1"/>
  <c r="L909" i="1"/>
  <c r="K909" i="1"/>
  <c r="J909" i="1"/>
  <c r="I909" i="1"/>
  <c r="H909" i="1"/>
  <c r="G909" i="1"/>
  <c r="F909" i="1"/>
  <c r="O908" i="1"/>
  <c r="N908" i="1"/>
  <c r="M908" i="1"/>
  <c r="L908" i="1"/>
  <c r="K908" i="1"/>
  <c r="J908" i="1"/>
  <c r="I908" i="1"/>
  <c r="H908" i="1"/>
  <c r="G908" i="1"/>
  <c r="F908" i="1"/>
  <c r="O907" i="1"/>
  <c r="N907" i="1"/>
  <c r="M907" i="1"/>
  <c r="L907" i="1"/>
  <c r="K907" i="1"/>
  <c r="J907" i="1"/>
  <c r="I907" i="1"/>
  <c r="H907" i="1"/>
  <c r="G907" i="1"/>
  <c r="F907" i="1"/>
  <c r="O906" i="1"/>
  <c r="N906" i="1"/>
  <c r="M906" i="1"/>
  <c r="L906" i="1"/>
  <c r="K906" i="1"/>
  <c r="J906" i="1"/>
  <c r="I906" i="1"/>
  <c r="H906" i="1"/>
  <c r="G906" i="1"/>
  <c r="F906" i="1"/>
  <c r="O905" i="1"/>
  <c r="N905" i="1"/>
  <c r="M905" i="1"/>
  <c r="L905" i="1"/>
  <c r="K905" i="1"/>
  <c r="J905" i="1"/>
  <c r="I905" i="1"/>
  <c r="H905" i="1"/>
  <c r="G905" i="1"/>
  <c r="F905" i="1"/>
  <c r="O904" i="1"/>
  <c r="N904" i="1"/>
  <c r="M904" i="1"/>
  <c r="L904" i="1"/>
  <c r="K904" i="1"/>
  <c r="J904" i="1"/>
  <c r="I904" i="1"/>
  <c r="H904" i="1"/>
  <c r="G904" i="1"/>
  <c r="F904" i="1"/>
  <c r="O903" i="1"/>
  <c r="N903" i="1"/>
  <c r="M903" i="1"/>
  <c r="L903" i="1"/>
  <c r="K903" i="1"/>
  <c r="J903" i="1"/>
  <c r="I903" i="1"/>
  <c r="H903" i="1"/>
  <c r="G903" i="1"/>
  <c r="F903" i="1"/>
  <c r="O902" i="1"/>
  <c r="N902" i="1"/>
  <c r="M902" i="1"/>
  <c r="L902" i="1"/>
  <c r="K902" i="1"/>
  <c r="J902" i="1"/>
  <c r="I902" i="1"/>
  <c r="H902" i="1"/>
  <c r="G902" i="1"/>
  <c r="F902" i="1"/>
  <c r="O901" i="1"/>
  <c r="N901" i="1"/>
  <c r="M901" i="1"/>
  <c r="L901" i="1"/>
  <c r="K901" i="1"/>
  <c r="J901" i="1"/>
  <c r="I901" i="1"/>
  <c r="H901" i="1"/>
  <c r="G901" i="1"/>
  <c r="F901" i="1"/>
  <c r="O900" i="1"/>
  <c r="N900" i="1"/>
  <c r="M900" i="1"/>
  <c r="L900" i="1"/>
  <c r="K900" i="1"/>
  <c r="J900" i="1"/>
  <c r="I900" i="1"/>
  <c r="H900" i="1"/>
  <c r="G900" i="1"/>
  <c r="F900" i="1"/>
  <c r="O899" i="1"/>
  <c r="N899" i="1"/>
  <c r="M899" i="1"/>
  <c r="L899" i="1"/>
  <c r="K899" i="1"/>
  <c r="J899" i="1"/>
  <c r="I899" i="1"/>
  <c r="H899" i="1"/>
  <c r="G899" i="1"/>
  <c r="F899" i="1"/>
  <c r="O898" i="1"/>
  <c r="N898" i="1"/>
  <c r="M898" i="1"/>
  <c r="L898" i="1"/>
  <c r="K898" i="1"/>
  <c r="J898" i="1"/>
  <c r="I898" i="1"/>
  <c r="H898" i="1"/>
  <c r="G898" i="1"/>
  <c r="F898" i="1"/>
  <c r="O897" i="1"/>
  <c r="N897" i="1"/>
  <c r="M897" i="1"/>
  <c r="L897" i="1"/>
  <c r="K897" i="1"/>
  <c r="J897" i="1"/>
  <c r="I897" i="1"/>
  <c r="H897" i="1"/>
  <c r="G897" i="1"/>
  <c r="F897" i="1"/>
  <c r="O896" i="1"/>
  <c r="N896" i="1"/>
  <c r="M896" i="1"/>
  <c r="L896" i="1"/>
  <c r="K896" i="1"/>
  <c r="J896" i="1"/>
  <c r="I896" i="1"/>
  <c r="H896" i="1"/>
  <c r="G896" i="1"/>
  <c r="F896" i="1"/>
  <c r="O895" i="1"/>
  <c r="N895" i="1"/>
  <c r="M895" i="1"/>
  <c r="L895" i="1"/>
  <c r="K895" i="1"/>
  <c r="J895" i="1"/>
  <c r="I895" i="1"/>
  <c r="H895" i="1"/>
  <c r="G895" i="1"/>
  <c r="F895" i="1"/>
  <c r="O894" i="1"/>
  <c r="N894" i="1"/>
  <c r="M894" i="1"/>
  <c r="L894" i="1"/>
  <c r="K894" i="1"/>
  <c r="J894" i="1"/>
  <c r="I894" i="1"/>
  <c r="H894" i="1"/>
  <c r="G894" i="1"/>
  <c r="F894" i="1"/>
  <c r="O893" i="1"/>
  <c r="N893" i="1"/>
  <c r="M893" i="1"/>
  <c r="L893" i="1"/>
  <c r="K893" i="1"/>
  <c r="J893" i="1"/>
  <c r="I893" i="1"/>
  <c r="H893" i="1"/>
  <c r="G893" i="1"/>
  <c r="F893" i="1"/>
  <c r="O892" i="1"/>
  <c r="N892" i="1"/>
  <c r="M892" i="1"/>
  <c r="L892" i="1"/>
  <c r="K892" i="1"/>
  <c r="J892" i="1"/>
  <c r="I892" i="1"/>
  <c r="H892" i="1"/>
  <c r="G892" i="1"/>
  <c r="F892" i="1"/>
  <c r="O891" i="1"/>
  <c r="N891" i="1"/>
  <c r="M891" i="1"/>
  <c r="L891" i="1"/>
  <c r="K891" i="1"/>
  <c r="J891" i="1"/>
  <c r="I891" i="1"/>
  <c r="H891" i="1"/>
  <c r="G891" i="1"/>
  <c r="F891" i="1"/>
  <c r="O890" i="1"/>
  <c r="N890" i="1"/>
  <c r="M890" i="1"/>
  <c r="L890" i="1"/>
  <c r="K890" i="1"/>
  <c r="J890" i="1"/>
  <c r="I890" i="1"/>
  <c r="H890" i="1"/>
  <c r="G890" i="1"/>
  <c r="F890" i="1"/>
  <c r="O889" i="1"/>
  <c r="N889" i="1"/>
  <c r="M889" i="1"/>
  <c r="L889" i="1"/>
  <c r="K889" i="1"/>
  <c r="J889" i="1"/>
  <c r="I889" i="1"/>
  <c r="H889" i="1"/>
  <c r="G889" i="1"/>
  <c r="F889" i="1"/>
  <c r="O888" i="1"/>
  <c r="N888" i="1"/>
  <c r="M888" i="1"/>
  <c r="L888" i="1"/>
  <c r="K888" i="1"/>
  <c r="J888" i="1"/>
  <c r="I888" i="1"/>
  <c r="H888" i="1"/>
  <c r="G888" i="1"/>
  <c r="F888" i="1"/>
  <c r="O887" i="1"/>
  <c r="N887" i="1"/>
  <c r="M887" i="1"/>
  <c r="L887" i="1"/>
  <c r="K887" i="1"/>
  <c r="J887" i="1"/>
  <c r="I887" i="1"/>
  <c r="H887" i="1"/>
  <c r="G887" i="1"/>
  <c r="F887" i="1"/>
  <c r="O886" i="1"/>
  <c r="N886" i="1"/>
  <c r="M886" i="1"/>
  <c r="L886" i="1"/>
  <c r="K886" i="1"/>
  <c r="J886" i="1"/>
  <c r="I886" i="1"/>
  <c r="H886" i="1"/>
  <c r="G886" i="1"/>
  <c r="F886" i="1"/>
  <c r="O885" i="1"/>
  <c r="N885" i="1"/>
  <c r="M885" i="1"/>
  <c r="L885" i="1"/>
  <c r="K885" i="1"/>
  <c r="J885" i="1"/>
  <c r="I885" i="1"/>
  <c r="H885" i="1"/>
  <c r="G885" i="1"/>
  <c r="F885" i="1"/>
  <c r="O884" i="1"/>
  <c r="N884" i="1"/>
  <c r="M884" i="1"/>
  <c r="L884" i="1"/>
  <c r="K884" i="1"/>
  <c r="J884" i="1"/>
  <c r="I884" i="1"/>
  <c r="H884" i="1"/>
  <c r="G884" i="1"/>
  <c r="F884" i="1"/>
  <c r="O883" i="1"/>
  <c r="N883" i="1"/>
  <c r="M883" i="1"/>
  <c r="L883" i="1"/>
  <c r="K883" i="1"/>
  <c r="J883" i="1"/>
  <c r="I883" i="1"/>
  <c r="H883" i="1"/>
  <c r="G883" i="1"/>
  <c r="F883" i="1"/>
  <c r="O882" i="1"/>
  <c r="N882" i="1"/>
  <c r="M882" i="1"/>
  <c r="L882" i="1"/>
  <c r="K882" i="1"/>
  <c r="J882" i="1"/>
  <c r="I882" i="1"/>
  <c r="H882" i="1"/>
  <c r="G882" i="1"/>
  <c r="F882" i="1"/>
  <c r="O881" i="1"/>
  <c r="N881" i="1"/>
  <c r="M881" i="1"/>
  <c r="L881" i="1"/>
  <c r="K881" i="1"/>
  <c r="J881" i="1"/>
  <c r="I881" i="1"/>
  <c r="H881" i="1"/>
  <c r="G881" i="1"/>
  <c r="F881" i="1"/>
  <c r="O880" i="1"/>
  <c r="N880" i="1"/>
  <c r="M880" i="1"/>
  <c r="L880" i="1"/>
  <c r="K880" i="1"/>
  <c r="J880" i="1"/>
  <c r="I880" i="1"/>
  <c r="H880" i="1"/>
  <c r="G880" i="1"/>
  <c r="F880" i="1"/>
  <c r="O879" i="1"/>
  <c r="N879" i="1"/>
  <c r="M879" i="1"/>
  <c r="L879" i="1"/>
  <c r="K879" i="1"/>
  <c r="J879" i="1"/>
  <c r="I879" i="1"/>
  <c r="H879" i="1"/>
  <c r="G879" i="1"/>
  <c r="F879" i="1"/>
  <c r="O878" i="1"/>
  <c r="N878" i="1"/>
  <c r="M878" i="1"/>
  <c r="L878" i="1"/>
  <c r="K878" i="1"/>
  <c r="J878" i="1"/>
  <c r="I878" i="1"/>
  <c r="H878" i="1"/>
  <c r="G878" i="1"/>
  <c r="F878" i="1"/>
  <c r="O877" i="1"/>
  <c r="N877" i="1"/>
  <c r="M877" i="1"/>
  <c r="L877" i="1"/>
  <c r="K877" i="1"/>
  <c r="J877" i="1"/>
  <c r="I877" i="1"/>
  <c r="H877" i="1"/>
  <c r="G877" i="1"/>
  <c r="F877" i="1"/>
  <c r="O876" i="1"/>
  <c r="N876" i="1"/>
  <c r="M876" i="1"/>
  <c r="L876" i="1"/>
  <c r="K876" i="1"/>
  <c r="J876" i="1"/>
  <c r="I876" i="1"/>
  <c r="H876" i="1"/>
  <c r="G876" i="1"/>
  <c r="F876" i="1"/>
  <c r="O875" i="1"/>
  <c r="N875" i="1"/>
  <c r="M875" i="1"/>
  <c r="L875" i="1"/>
  <c r="K875" i="1"/>
  <c r="J875" i="1"/>
  <c r="I875" i="1"/>
  <c r="H875" i="1"/>
  <c r="G875" i="1"/>
  <c r="F875" i="1"/>
  <c r="O874" i="1"/>
  <c r="N874" i="1"/>
  <c r="M874" i="1"/>
  <c r="L874" i="1"/>
  <c r="K874" i="1"/>
  <c r="J874" i="1"/>
  <c r="I874" i="1"/>
  <c r="H874" i="1"/>
  <c r="G874" i="1"/>
  <c r="F874" i="1"/>
  <c r="O873" i="1"/>
  <c r="N873" i="1"/>
  <c r="M873" i="1"/>
  <c r="L873" i="1"/>
  <c r="K873" i="1"/>
  <c r="J873" i="1"/>
  <c r="I873" i="1"/>
  <c r="H873" i="1"/>
  <c r="G873" i="1"/>
  <c r="F873" i="1"/>
  <c r="O872" i="1"/>
  <c r="N872" i="1"/>
  <c r="M872" i="1"/>
  <c r="L872" i="1"/>
  <c r="K872" i="1"/>
  <c r="J872" i="1"/>
  <c r="I872" i="1"/>
  <c r="H872" i="1"/>
  <c r="G872" i="1"/>
  <c r="F872" i="1"/>
  <c r="O871" i="1"/>
  <c r="N871" i="1"/>
  <c r="M871" i="1"/>
  <c r="L871" i="1"/>
  <c r="K871" i="1"/>
  <c r="J871" i="1"/>
  <c r="I871" i="1"/>
  <c r="H871" i="1"/>
  <c r="G871" i="1"/>
  <c r="F871" i="1"/>
  <c r="O870" i="1"/>
  <c r="N870" i="1"/>
  <c r="M870" i="1"/>
  <c r="L870" i="1"/>
  <c r="K870" i="1"/>
  <c r="J870" i="1"/>
  <c r="I870" i="1"/>
  <c r="H870" i="1"/>
  <c r="G870" i="1"/>
  <c r="F870" i="1"/>
  <c r="O869" i="1"/>
  <c r="N869" i="1"/>
  <c r="M869" i="1"/>
  <c r="L869" i="1"/>
  <c r="K869" i="1"/>
  <c r="J869" i="1"/>
  <c r="I869" i="1"/>
  <c r="H869" i="1"/>
  <c r="G869" i="1"/>
  <c r="F869" i="1"/>
  <c r="O868" i="1"/>
  <c r="N868" i="1"/>
  <c r="M868" i="1"/>
  <c r="L868" i="1"/>
  <c r="K868" i="1"/>
  <c r="J868" i="1"/>
  <c r="I868" i="1"/>
  <c r="H868" i="1"/>
  <c r="G868" i="1"/>
  <c r="F868" i="1"/>
  <c r="O867" i="1"/>
  <c r="N867" i="1"/>
  <c r="M867" i="1"/>
  <c r="L867" i="1"/>
  <c r="K867" i="1"/>
  <c r="J867" i="1"/>
  <c r="I867" i="1"/>
  <c r="H867" i="1"/>
  <c r="G867" i="1"/>
  <c r="F867" i="1"/>
  <c r="O866" i="1"/>
  <c r="N866" i="1"/>
  <c r="M866" i="1"/>
  <c r="L866" i="1"/>
  <c r="K866" i="1"/>
  <c r="J866" i="1"/>
  <c r="I866" i="1"/>
  <c r="H866" i="1"/>
  <c r="G866" i="1"/>
  <c r="F866" i="1"/>
  <c r="O865" i="1"/>
  <c r="N865" i="1"/>
  <c r="M865" i="1"/>
  <c r="L865" i="1"/>
  <c r="K865" i="1"/>
  <c r="J865" i="1"/>
  <c r="I865" i="1"/>
  <c r="H865" i="1"/>
  <c r="G865" i="1"/>
  <c r="F865" i="1"/>
  <c r="O864" i="1"/>
  <c r="N864" i="1"/>
  <c r="M864" i="1"/>
  <c r="L864" i="1"/>
  <c r="K864" i="1"/>
  <c r="J864" i="1"/>
  <c r="I864" i="1"/>
  <c r="H864" i="1"/>
  <c r="G864" i="1"/>
  <c r="F864" i="1"/>
  <c r="O863" i="1"/>
  <c r="N863" i="1"/>
  <c r="M863" i="1"/>
  <c r="L863" i="1"/>
  <c r="K863" i="1"/>
  <c r="J863" i="1"/>
  <c r="I863" i="1"/>
  <c r="H863" i="1"/>
  <c r="G863" i="1"/>
  <c r="F863" i="1"/>
  <c r="O862" i="1"/>
  <c r="N862" i="1"/>
  <c r="M862" i="1"/>
  <c r="L862" i="1"/>
  <c r="K862" i="1"/>
  <c r="J862" i="1"/>
  <c r="I862" i="1"/>
  <c r="H862" i="1"/>
  <c r="G862" i="1"/>
  <c r="F862" i="1"/>
  <c r="O861" i="1"/>
  <c r="N861" i="1"/>
  <c r="M861" i="1"/>
  <c r="L861" i="1"/>
  <c r="K861" i="1"/>
  <c r="J861" i="1"/>
  <c r="I861" i="1"/>
  <c r="H861" i="1"/>
  <c r="G861" i="1"/>
  <c r="F861" i="1"/>
  <c r="O860" i="1"/>
  <c r="N860" i="1"/>
  <c r="M860" i="1"/>
  <c r="L860" i="1"/>
  <c r="K860" i="1"/>
  <c r="J860" i="1"/>
  <c r="I860" i="1"/>
  <c r="H860" i="1"/>
  <c r="G860" i="1"/>
  <c r="F860" i="1"/>
  <c r="O859" i="1"/>
  <c r="N859" i="1"/>
  <c r="M859" i="1"/>
  <c r="L859" i="1"/>
  <c r="K859" i="1"/>
  <c r="J859" i="1"/>
  <c r="I859" i="1"/>
  <c r="H859" i="1"/>
  <c r="G859" i="1"/>
  <c r="F859" i="1"/>
  <c r="O858" i="1"/>
  <c r="N858" i="1"/>
  <c r="M858" i="1"/>
  <c r="L858" i="1"/>
  <c r="K858" i="1"/>
  <c r="J858" i="1"/>
  <c r="I858" i="1"/>
  <c r="H858" i="1"/>
  <c r="G858" i="1"/>
  <c r="F858" i="1"/>
  <c r="O857" i="1"/>
  <c r="N857" i="1"/>
  <c r="M857" i="1"/>
  <c r="L857" i="1"/>
  <c r="K857" i="1"/>
  <c r="J857" i="1"/>
  <c r="I857" i="1"/>
  <c r="H857" i="1"/>
  <c r="G857" i="1"/>
  <c r="F857" i="1"/>
  <c r="O856" i="1"/>
  <c r="N856" i="1"/>
  <c r="M856" i="1"/>
  <c r="L856" i="1"/>
  <c r="K856" i="1"/>
  <c r="J856" i="1"/>
  <c r="I856" i="1"/>
  <c r="H856" i="1"/>
  <c r="G856" i="1"/>
  <c r="F856" i="1"/>
  <c r="O855" i="1"/>
  <c r="N855" i="1"/>
  <c r="M855" i="1"/>
  <c r="L855" i="1"/>
  <c r="K855" i="1"/>
  <c r="J855" i="1"/>
  <c r="I855" i="1"/>
  <c r="H855" i="1"/>
  <c r="G855" i="1"/>
  <c r="F855" i="1"/>
  <c r="O854" i="1"/>
  <c r="N854" i="1"/>
  <c r="M854" i="1"/>
  <c r="L854" i="1"/>
  <c r="K854" i="1"/>
  <c r="J854" i="1"/>
  <c r="I854" i="1"/>
  <c r="H854" i="1"/>
  <c r="G854" i="1"/>
  <c r="F854" i="1"/>
  <c r="O853" i="1"/>
  <c r="N853" i="1"/>
  <c r="M853" i="1"/>
  <c r="L853" i="1"/>
  <c r="K853" i="1"/>
  <c r="J853" i="1"/>
  <c r="I853" i="1"/>
  <c r="H853" i="1"/>
  <c r="G853" i="1"/>
  <c r="F853" i="1"/>
  <c r="O852" i="1"/>
  <c r="N852" i="1"/>
  <c r="M852" i="1"/>
  <c r="L852" i="1"/>
  <c r="K852" i="1"/>
  <c r="J852" i="1"/>
  <c r="I852" i="1"/>
  <c r="H852" i="1"/>
  <c r="G852" i="1"/>
  <c r="F852" i="1"/>
  <c r="O851" i="1"/>
  <c r="N851" i="1"/>
  <c r="M851" i="1"/>
  <c r="L851" i="1"/>
  <c r="K851" i="1"/>
  <c r="J851" i="1"/>
  <c r="I851" i="1"/>
  <c r="H851" i="1"/>
  <c r="G851" i="1"/>
  <c r="F851" i="1"/>
  <c r="O850" i="1"/>
  <c r="N850" i="1"/>
  <c r="M850" i="1"/>
  <c r="L850" i="1"/>
  <c r="K850" i="1"/>
  <c r="J850" i="1"/>
  <c r="I850" i="1"/>
  <c r="H850" i="1"/>
  <c r="G850" i="1"/>
  <c r="F850" i="1"/>
  <c r="O849" i="1"/>
  <c r="N849" i="1"/>
  <c r="M849" i="1"/>
  <c r="L849" i="1"/>
  <c r="K849" i="1"/>
  <c r="J849" i="1"/>
  <c r="I849" i="1"/>
  <c r="H849" i="1"/>
  <c r="G849" i="1"/>
  <c r="F849" i="1"/>
  <c r="O848" i="1"/>
  <c r="N848" i="1"/>
  <c r="M848" i="1"/>
  <c r="L848" i="1"/>
  <c r="K848" i="1"/>
  <c r="J848" i="1"/>
  <c r="I848" i="1"/>
  <c r="H848" i="1"/>
  <c r="G848" i="1"/>
  <c r="F848" i="1"/>
  <c r="O847" i="1"/>
  <c r="N847" i="1"/>
  <c r="M847" i="1"/>
  <c r="L847" i="1"/>
  <c r="K847" i="1"/>
  <c r="J847" i="1"/>
  <c r="I847" i="1"/>
  <c r="H847" i="1"/>
  <c r="G847" i="1"/>
  <c r="F847" i="1"/>
  <c r="O846" i="1"/>
  <c r="N846" i="1"/>
  <c r="M846" i="1"/>
  <c r="L846" i="1"/>
  <c r="K846" i="1"/>
  <c r="J846" i="1"/>
  <c r="I846" i="1"/>
  <c r="H846" i="1"/>
  <c r="G846" i="1"/>
  <c r="F846" i="1"/>
  <c r="O845" i="1"/>
  <c r="N845" i="1"/>
  <c r="M845" i="1"/>
  <c r="L845" i="1"/>
  <c r="K845" i="1"/>
  <c r="J845" i="1"/>
  <c r="I845" i="1"/>
  <c r="H845" i="1"/>
  <c r="G845" i="1"/>
  <c r="F845" i="1"/>
  <c r="O844" i="1"/>
  <c r="N844" i="1"/>
  <c r="M844" i="1"/>
  <c r="L844" i="1"/>
  <c r="K844" i="1"/>
  <c r="J844" i="1"/>
  <c r="I844" i="1"/>
  <c r="H844" i="1"/>
  <c r="G844" i="1"/>
  <c r="F844" i="1"/>
  <c r="O843" i="1"/>
  <c r="N843" i="1"/>
  <c r="M843" i="1"/>
  <c r="L843" i="1"/>
  <c r="K843" i="1"/>
  <c r="J843" i="1"/>
  <c r="I843" i="1"/>
  <c r="H843" i="1"/>
  <c r="G843" i="1"/>
  <c r="F843" i="1"/>
  <c r="O842" i="1"/>
  <c r="N842" i="1"/>
  <c r="M842" i="1"/>
  <c r="L842" i="1"/>
  <c r="K842" i="1"/>
  <c r="J842" i="1"/>
  <c r="I842" i="1"/>
  <c r="H842" i="1"/>
  <c r="G842" i="1"/>
  <c r="F842" i="1"/>
  <c r="O841" i="1"/>
  <c r="N841" i="1"/>
  <c r="M841" i="1"/>
  <c r="L841" i="1"/>
  <c r="K841" i="1"/>
  <c r="J841" i="1"/>
  <c r="I841" i="1"/>
  <c r="H841" i="1"/>
  <c r="G841" i="1"/>
  <c r="F841" i="1"/>
  <c r="O840" i="1"/>
  <c r="N840" i="1"/>
  <c r="M840" i="1"/>
  <c r="L840" i="1"/>
  <c r="K840" i="1"/>
  <c r="J840" i="1"/>
  <c r="I840" i="1"/>
  <c r="H840" i="1"/>
  <c r="G840" i="1"/>
  <c r="F840" i="1"/>
  <c r="O839" i="1"/>
  <c r="N839" i="1"/>
  <c r="M839" i="1"/>
  <c r="L839" i="1"/>
  <c r="K839" i="1"/>
  <c r="J839" i="1"/>
  <c r="I839" i="1"/>
  <c r="H839" i="1"/>
  <c r="G839" i="1"/>
  <c r="F839" i="1"/>
  <c r="O838" i="1"/>
  <c r="N838" i="1"/>
  <c r="M838" i="1"/>
  <c r="L838" i="1"/>
  <c r="K838" i="1"/>
  <c r="J838" i="1"/>
  <c r="I838" i="1"/>
  <c r="H838" i="1"/>
  <c r="G838" i="1"/>
  <c r="F838" i="1"/>
  <c r="O837" i="1"/>
  <c r="N837" i="1"/>
  <c r="M837" i="1"/>
  <c r="L837" i="1"/>
  <c r="K837" i="1"/>
  <c r="J837" i="1"/>
  <c r="I837" i="1"/>
  <c r="H837" i="1"/>
  <c r="G837" i="1"/>
  <c r="F837" i="1"/>
  <c r="O836" i="1"/>
  <c r="N836" i="1"/>
  <c r="M836" i="1"/>
  <c r="L836" i="1"/>
  <c r="K836" i="1"/>
  <c r="J836" i="1"/>
  <c r="I836" i="1"/>
  <c r="H836" i="1"/>
  <c r="G836" i="1"/>
  <c r="F836" i="1"/>
  <c r="O835" i="1"/>
  <c r="N835" i="1"/>
  <c r="M835" i="1"/>
  <c r="L835" i="1"/>
  <c r="K835" i="1"/>
  <c r="J835" i="1"/>
  <c r="I835" i="1"/>
  <c r="H835" i="1"/>
  <c r="G835" i="1"/>
  <c r="F835" i="1"/>
  <c r="O834" i="1"/>
  <c r="N834" i="1"/>
  <c r="M834" i="1"/>
  <c r="L834" i="1"/>
  <c r="K834" i="1"/>
  <c r="J834" i="1"/>
  <c r="I834" i="1"/>
  <c r="H834" i="1"/>
  <c r="G834" i="1"/>
  <c r="F834" i="1"/>
  <c r="O833" i="1"/>
  <c r="N833" i="1"/>
  <c r="M833" i="1"/>
  <c r="L833" i="1"/>
  <c r="K833" i="1"/>
  <c r="J833" i="1"/>
  <c r="I833" i="1"/>
  <c r="H833" i="1"/>
  <c r="G833" i="1"/>
  <c r="F833" i="1"/>
  <c r="O832" i="1"/>
  <c r="N832" i="1"/>
  <c r="M832" i="1"/>
  <c r="L832" i="1"/>
  <c r="K832" i="1"/>
  <c r="J832" i="1"/>
  <c r="I832" i="1"/>
  <c r="H832" i="1"/>
  <c r="G832" i="1"/>
  <c r="F832" i="1"/>
  <c r="O831" i="1"/>
  <c r="N831" i="1"/>
  <c r="M831" i="1"/>
  <c r="L831" i="1"/>
  <c r="K831" i="1"/>
  <c r="J831" i="1"/>
  <c r="I831" i="1"/>
  <c r="H831" i="1"/>
  <c r="G831" i="1"/>
  <c r="F831" i="1"/>
  <c r="O830" i="1"/>
  <c r="N830" i="1"/>
  <c r="M830" i="1"/>
  <c r="L830" i="1"/>
  <c r="K830" i="1"/>
  <c r="J830" i="1"/>
  <c r="I830" i="1"/>
  <c r="H830" i="1"/>
  <c r="G830" i="1"/>
  <c r="F830" i="1"/>
  <c r="O829" i="1"/>
  <c r="N829" i="1"/>
  <c r="M829" i="1"/>
  <c r="L829" i="1"/>
  <c r="K829" i="1"/>
  <c r="J829" i="1"/>
  <c r="I829" i="1"/>
  <c r="H829" i="1"/>
  <c r="G829" i="1"/>
  <c r="F829" i="1"/>
  <c r="O828" i="1"/>
  <c r="N828" i="1"/>
  <c r="M828" i="1"/>
  <c r="L828" i="1"/>
  <c r="K828" i="1"/>
  <c r="J828" i="1"/>
  <c r="I828" i="1"/>
  <c r="H828" i="1"/>
  <c r="G828" i="1"/>
  <c r="F828" i="1"/>
  <c r="O827" i="1"/>
  <c r="N827" i="1"/>
  <c r="M827" i="1"/>
  <c r="L827" i="1"/>
  <c r="K827" i="1"/>
  <c r="J827" i="1"/>
  <c r="I827" i="1"/>
  <c r="H827" i="1"/>
  <c r="G827" i="1"/>
  <c r="F827" i="1"/>
  <c r="O826" i="1"/>
  <c r="N826" i="1"/>
  <c r="M826" i="1"/>
  <c r="L826" i="1"/>
  <c r="K826" i="1"/>
  <c r="J826" i="1"/>
  <c r="I826" i="1"/>
  <c r="H826" i="1"/>
  <c r="G826" i="1"/>
  <c r="F826" i="1"/>
  <c r="O825" i="1"/>
  <c r="N825" i="1"/>
  <c r="M825" i="1"/>
  <c r="L825" i="1"/>
  <c r="K825" i="1"/>
  <c r="J825" i="1"/>
  <c r="I825" i="1"/>
  <c r="H825" i="1"/>
  <c r="G825" i="1"/>
  <c r="F825" i="1"/>
  <c r="O824" i="1"/>
  <c r="N824" i="1"/>
  <c r="M824" i="1"/>
  <c r="L824" i="1"/>
  <c r="K824" i="1"/>
  <c r="J824" i="1"/>
  <c r="I824" i="1"/>
  <c r="H824" i="1"/>
  <c r="G824" i="1"/>
  <c r="F824" i="1"/>
  <c r="O823" i="1"/>
  <c r="N823" i="1"/>
  <c r="M823" i="1"/>
  <c r="L823" i="1"/>
  <c r="K823" i="1"/>
  <c r="J823" i="1"/>
  <c r="I823" i="1"/>
  <c r="H823" i="1"/>
  <c r="G823" i="1"/>
  <c r="F823" i="1"/>
  <c r="O822" i="1"/>
  <c r="N822" i="1"/>
  <c r="M822" i="1"/>
  <c r="L822" i="1"/>
  <c r="K822" i="1"/>
  <c r="J822" i="1"/>
  <c r="I822" i="1"/>
  <c r="H822" i="1"/>
  <c r="G822" i="1"/>
  <c r="F822" i="1"/>
  <c r="O821" i="1"/>
  <c r="N821" i="1"/>
  <c r="M821" i="1"/>
  <c r="L821" i="1"/>
  <c r="K821" i="1"/>
  <c r="J821" i="1"/>
  <c r="I821" i="1"/>
  <c r="H821" i="1"/>
  <c r="G821" i="1"/>
  <c r="F821" i="1"/>
  <c r="O820" i="1"/>
  <c r="N820" i="1"/>
  <c r="M820" i="1"/>
  <c r="L820" i="1"/>
  <c r="K820" i="1"/>
  <c r="J820" i="1"/>
  <c r="I820" i="1"/>
  <c r="H820" i="1"/>
  <c r="G820" i="1"/>
  <c r="F820" i="1"/>
  <c r="O819" i="1"/>
  <c r="N819" i="1"/>
  <c r="M819" i="1"/>
  <c r="L819" i="1"/>
  <c r="K819" i="1"/>
  <c r="J819" i="1"/>
  <c r="I819" i="1"/>
  <c r="H819" i="1"/>
  <c r="G819" i="1"/>
  <c r="F819" i="1"/>
  <c r="O818" i="1"/>
  <c r="N818" i="1"/>
  <c r="M818" i="1"/>
  <c r="L818" i="1"/>
  <c r="K818" i="1"/>
  <c r="J818" i="1"/>
  <c r="I818" i="1"/>
  <c r="H818" i="1"/>
  <c r="G818" i="1"/>
  <c r="F818" i="1"/>
  <c r="O817" i="1"/>
  <c r="N817" i="1"/>
  <c r="M817" i="1"/>
  <c r="L817" i="1"/>
  <c r="K817" i="1"/>
  <c r="J817" i="1"/>
  <c r="I817" i="1"/>
  <c r="H817" i="1"/>
  <c r="G817" i="1"/>
  <c r="F817" i="1"/>
  <c r="O816" i="1"/>
  <c r="N816" i="1"/>
  <c r="M816" i="1"/>
  <c r="L816" i="1"/>
  <c r="K816" i="1"/>
  <c r="J816" i="1"/>
  <c r="I816" i="1"/>
  <c r="H816" i="1"/>
  <c r="G816" i="1"/>
  <c r="F816" i="1"/>
  <c r="O815" i="1"/>
  <c r="N815" i="1"/>
  <c r="M815" i="1"/>
  <c r="L815" i="1"/>
  <c r="K815" i="1"/>
  <c r="J815" i="1"/>
  <c r="I815" i="1"/>
  <c r="H815" i="1"/>
  <c r="G815" i="1"/>
  <c r="F815" i="1"/>
  <c r="O814" i="1"/>
  <c r="N814" i="1"/>
  <c r="M814" i="1"/>
  <c r="L814" i="1"/>
  <c r="K814" i="1"/>
  <c r="J814" i="1"/>
  <c r="I814" i="1"/>
  <c r="H814" i="1"/>
  <c r="G814" i="1"/>
  <c r="F814" i="1"/>
  <c r="O813" i="1"/>
  <c r="N813" i="1"/>
  <c r="M813" i="1"/>
  <c r="L813" i="1"/>
  <c r="K813" i="1"/>
  <c r="J813" i="1"/>
  <c r="I813" i="1"/>
  <c r="H813" i="1"/>
  <c r="G813" i="1"/>
  <c r="F813" i="1"/>
  <c r="O812" i="1"/>
  <c r="N812" i="1"/>
  <c r="M812" i="1"/>
  <c r="L812" i="1"/>
  <c r="K812" i="1"/>
  <c r="J812" i="1"/>
  <c r="I812" i="1"/>
  <c r="H812" i="1"/>
  <c r="G812" i="1"/>
  <c r="F812" i="1"/>
  <c r="O811" i="1"/>
  <c r="N811" i="1"/>
  <c r="M811" i="1"/>
  <c r="L811" i="1"/>
  <c r="K811" i="1"/>
  <c r="J811" i="1"/>
  <c r="I811" i="1"/>
  <c r="H811" i="1"/>
  <c r="G811" i="1"/>
  <c r="F811" i="1"/>
  <c r="O810" i="1"/>
  <c r="N810" i="1"/>
  <c r="M810" i="1"/>
  <c r="L810" i="1"/>
  <c r="K810" i="1"/>
  <c r="J810" i="1"/>
  <c r="I810" i="1"/>
  <c r="H810" i="1"/>
  <c r="G810" i="1"/>
  <c r="F810" i="1"/>
  <c r="O809" i="1"/>
  <c r="N809" i="1"/>
  <c r="M809" i="1"/>
  <c r="L809" i="1"/>
  <c r="K809" i="1"/>
  <c r="J809" i="1"/>
  <c r="I809" i="1"/>
  <c r="H809" i="1"/>
  <c r="G809" i="1"/>
  <c r="F809" i="1"/>
  <c r="O808" i="1"/>
  <c r="N808" i="1"/>
  <c r="M808" i="1"/>
  <c r="L808" i="1"/>
  <c r="K808" i="1"/>
  <c r="J808" i="1"/>
  <c r="I808" i="1"/>
  <c r="H808" i="1"/>
  <c r="G808" i="1"/>
  <c r="F808" i="1"/>
  <c r="O807" i="1"/>
  <c r="N807" i="1"/>
  <c r="M807" i="1"/>
  <c r="L807" i="1"/>
  <c r="K807" i="1"/>
  <c r="J807" i="1"/>
  <c r="I807" i="1"/>
  <c r="H807" i="1"/>
  <c r="G807" i="1"/>
  <c r="F807" i="1"/>
  <c r="O806" i="1"/>
  <c r="N806" i="1"/>
  <c r="M806" i="1"/>
  <c r="L806" i="1"/>
  <c r="K806" i="1"/>
  <c r="J806" i="1"/>
  <c r="I806" i="1"/>
  <c r="H806" i="1"/>
  <c r="G806" i="1"/>
  <c r="F806" i="1"/>
  <c r="O805" i="1"/>
  <c r="N805" i="1"/>
  <c r="M805" i="1"/>
  <c r="L805" i="1"/>
  <c r="K805" i="1"/>
  <c r="J805" i="1"/>
  <c r="I805" i="1"/>
  <c r="H805" i="1"/>
  <c r="G805" i="1"/>
  <c r="F805" i="1"/>
  <c r="O804" i="1"/>
  <c r="N804" i="1"/>
  <c r="M804" i="1"/>
  <c r="L804" i="1"/>
  <c r="K804" i="1"/>
  <c r="J804" i="1"/>
  <c r="I804" i="1"/>
  <c r="H804" i="1"/>
  <c r="G804" i="1"/>
  <c r="F804" i="1"/>
  <c r="O803" i="1"/>
  <c r="N803" i="1"/>
  <c r="M803" i="1"/>
  <c r="L803" i="1"/>
  <c r="K803" i="1"/>
  <c r="J803" i="1"/>
  <c r="I803" i="1"/>
  <c r="H803" i="1"/>
  <c r="G803" i="1"/>
  <c r="F803" i="1"/>
  <c r="O802" i="1"/>
  <c r="N802" i="1"/>
  <c r="M802" i="1"/>
  <c r="L802" i="1"/>
  <c r="K802" i="1"/>
  <c r="J802" i="1"/>
  <c r="I802" i="1"/>
  <c r="H802" i="1"/>
  <c r="G802" i="1"/>
  <c r="F802" i="1"/>
  <c r="O801" i="1"/>
  <c r="N801" i="1"/>
  <c r="M801" i="1"/>
  <c r="L801" i="1"/>
  <c r="K801" i="1"/>
  <c r="J801" i="1"/>
  <c r="I801" i="1"/>
  <c r="H801" i="1"/>
  <c r="G801" i="1"/>
  <c r="F801" i="1"/>
  <c r="O800" i="1"/>
  <c r="N800" i="1"/>
  <c r="M800" i="1"/>
  <c r="L800" i="1"/>
  <c r="K800" i="1"/>
  <c r="J800" i="1"/>
  <c r="I800" i="1"/>
  <c r="H800" i="1"/>
  <c r="G800" i="1"/>
  <c r="F800" i="1"/>
  <c r="O799" i="1"/>
  <c r="N799" i="1"/>
  <c r="M799" i="1"/>
  <c r="L799" i="1"/>
  <c r="K799" i="1"/>
  <c r="J799" i="1"/>
  <c r="I799" i="1"/>
  <c r="H799" i="1"/>
  <c r="G799" i="1"/>
  <c r="F799" i="1"/>
  <c r="O798" i="1"/>
  <c r="N798" i="1"/>
  <c r="M798" i="1"/>
  <c r="L798" i="1"/>
  <c r="K798" i="1"/>
  <c r="J798" i="1"/>
  <c r="I798" i="1"/>
  <c r="H798" i="1"/>
  <c r="G798" i="1"/>
  <c r="F798" i="1"/>
  <c r="O797" i="1"/>
  <c r="N797" i="1"/>
  <c r="M797" i="1"/>
  <c r="L797" i="1"/>
  <c r="K797" i="1"/>
  <c r="J797" i="1"/>
  <c r="I797" i="1"/>
  <c r="H797" i="1"/>
  <c r="G797" i="1"/>
  <c r="F797" i="1"/>
  <c r="O796" i="1"/>
  <c r="N796" i="1"/>
  <c r="M796" i="1"/>
  <c r="L796" i="1"/>
  <c r="K796" i="1"/>
  <c r="J796" i="1"/>
  <c r="I796" i="1"/>
  <c r="H796" i="1"/>
  <c r="G796" i="1"/>
  <c r="F796" i="1"/>
  <c r="O795" i="1"/>
  <c r="N795" i="1"/>
  <c r="M795" i="1"/>
  <c r="L795" i="1"/>
  <c r="K795" i="1"/>
  <c r="J795" i="1"/>
  <c r="I795" i="1"/>
  <c r="H795" i="1"/>
  <c r="G795" i="1"/>
  <c r="F795" i="1"/>
  <c r="O794" i="1"/>
  <c r="N794" i="1"/>
  <c r="M794" i="1"/>
  <c r="L794" i="1"/>
  <c r="K794" i="1"/>
  <c r="J794" i="1"/>
  <c r="I794" i="1"/>
  <c r="H794" i="1"/>
  <c r="G794" i="1"/>
  <c r="F794" i="1"/>
  <c r="O793" i="1"/>
  <c r="N793" i="1"/>
  <c r="M793" i="1"/>
  <c r="L793" i="1"/>
  <c r="K793" i="1"/>
  <c r="J793" i="1"/>
  <c r="I793" i="1"/>
  <c r="H793" i="1"/>
  <c r="G793" i="1"/>
  <c r="F793" i="1"/>
  <c r="O792" i="1"/>
  <c r="N792" i="1"/>
  <c r="M792" i="1"/>
  <c r="L792" i="1"/>
  <c r="K792" i="1"/>
  <c r="J792" i="1"/>
  <c r="I792" i="1"/>
  <c r="H792" i="1"/>
  <c r="G792" i="1"/>
  <c r="F792" i="1"/>
  <c r="O791" i="1"/>
  <c r="N791" i="1"/>
  <c r="M791" i="1"/>
  <c r="L791" i="1"/>
  <c r="K791" i="1"/>
  <c r="J791" i="1"/>
  <c r="I791" i="1"/>
  <c r="H791" i="1"/>
  <c r="G791" i="1"/>
  <c r="F791" i="1"/>
  <c r="O790" i="1"/>
  <c r="N790" i="1"/>
  <c r="M790" i="1"/>
  <c r="L790" i="1"/>
  <c r="K790" i="1"/>
  <c r="J790" i="1"/>
  <c r="I790" i="1"/>
  <c r="H790" i="1"/>
  <c r="G790" i="1"/>
  <c r="F790" i="1"/>
  <c r="O789" i="1"/>
  <c r="N789" i="1"/>
  <c r="M789" i="1"/>
  <c r="L789" i="1"/>
  <c r="K789" i="1"/>
  <c r="J789" i="1"/>
  <c r="I789" i="1"/>
  <c r="H789" i="1"/>
  <c r="G789" i="1"/>
  <c r="F789" i="1"/>
  <c r="O788" i="1"/>
  <c r="N788" i="1"/>
  <c r="M788" i="1"/>
  <c r="L788" i="1"/>
  <c r="K788" i="1"/>
  <c r="J788" i="1"/>
  <c r="I788" i="1"/>
  <c r="H788" i="1"/>
  <c r="G788" i="1"/>
  <c r="F788" i="1"/>
  <c r="O787" i="1"/>
  <c r="N787" i="1"/>
  <c r="M787" i="1"/>
  <c r="L787" i="1"/>
  <c r="K787" i="1"/>
  <c r="J787" i="1"/>
  <c r="I787" i="1"/>
  <c r="H787" i="1"/>
  <c r="G787" i="1"/>
  <c r="F787" i="1"/>
  <c r="O786" i="1"/>
  <c r="N786" i="1"/>
  <c r="M786" i="1"/>
  <c r="L786" i="1"/>
  <c r="K786" i="1"/>
  <c r="J786" i="1"/>
  <c r="I786" i="1"/>
  <c r="H786" i="1"/>
  <c r="G786" i="1"/>
  <c r="F786" i="1"/>
  <c r="O785" i="1"/>
  <c r="N785" i="1"/>
  <c r="M785" i="1"/>
  <c r="L785" i="1"/>
  <c r="K785" i="1"/>
  <c r="J785" i="1"/>
  <c r="I785" i="1"/>
  <c r="H785" i="1"/>
  <c r="G785" i="1"/>
  <c r="F785" i="1"/>
  <c r="O784" i="1"/>
  <c r="N784" i="1"/>
  <c r="M784" i="1"/>
  <c r="L784" i="1"/>
  <c r="K784" i="1"/>
  <c r="J784" i="1"/>
  <c r="I784" i="1"/>
  <c r="H784" i="1"/>
  <c r="G784" i="1"/>
  <c r="F784" i="1"/>
  <c r="O783" i="1"/>
  <c r="N783" i="1"/>
  <c r="M783" i="1"/>
  <c r="L783" i="1"/>
  <c r="K783" i="1"/>
  <c r="J783" i="1"/>
  <c r="I783" i="1"/>
  <c r="H783" i="1"/>
  <c r="G783" i="1"/>
  <c r="F783" i="1"/>
  <c r="O782" i="1"/>
  <c r="N782" i="1"/>
  <c r="M782" i="1"/>
  <c r="L782" i="1"/>
  <c r="K782" i="1"/>
  <c r="J782" i="1"/>
  <c r="I782" i="1"/>
  <c r="H782" i="1"/>
  <c r="G782" i="1"/>
  <c r="F782" i="1"/>
  <c r="O781" i="1"/>
  <c r="N781" i="1"/>
  <c r="M781" i="1"/>
  <c r="L781" i="1"/>
  <c r="K781" i="1"/>
  <c r="J781" i="1"/>
  <c r="I781" i="1"/>
  <c r="H781" i="1"/>
  <c r="G781" i="1"/>
  <c r="F781" i="1"/>
  <c r="O780" i="1"/>
  <c r="N780" i="1"/>
  <c r="M780" i="1"/>
  <c r="L780" i="1"/>
  <c r="K780" i="1"/>
  <c r="J780" i="1"/>
  <c r="I780" i="1"/>
  <c r="H780" i="1"/>
  <c r="G780" i="1"/>
  <c r="F780" i="1"/>
  <c r="O779" i="1"/>
  <c r="N779" i="1"/>
  <c r="M779" i="1"/>
  <c r="L779" i="1"/>
  <c r="K779" i="1"/>
  <c r="J779" i="1"/>
  <c r="I779" i="1"/>
  <c r="H779" i="1"/>
  <c r="G779" i="1"/>
  <c r="F779" i="1"/>
  <c r="O778" i="1"/>
  <c r="N778" i="1"/>
  <c r="M778" i="1"/>
  <c r="L778" i="1"/>
  <c r="K778" i="1"/>
  <c r="J778" i="1"/>
  <c r="I778" i="1"/>
  <c r="H778" i="1"/>
  <c r="G778" i="1"/>
  <c r="F778" i="1"/>
  <c r="O777" i="1"/>
  <c r="N777" i="1"/>
  <c r="M777" i="1"/>
  <c r="L777" i="1"/>
  <c r="K777" i="1"/>
  <c r="J777" i="1"/>
  <c r="I777" i="1"/>
  <c r="H777" i="1"/>
  <c r="G777" i="1"/>
  <c r="F777" i="1"/>
  <c r="O776" i="1"/>
  <c r="N776" i="1"/>
  <c r="M776" i="1"/>
  <c r="L776" i="1"/>
  <c r="K776" i="1"/>
  <c r="J776" i="1"/>
  <c r="I776" i="1"/>
  <c r="H776" i="1"/>
  <c r="G776" i="1"/>
  <c r="F776" i="1"/>
  <c r="O775" i="1"/>
  <c r="N775" i="1"/>
  <c r="M775" i="1"/>
  <c r="L775" i="1"/>
  <c r="K775" i="1"/>
  <c r="J775" i="1"/>
  <c r="I775" i="1"/>
  <c r="H775" i="1"/>
  <c r="G775" i="1"/>
  <c r="F775" i="1"/>
  <c r="O774" i="1"/>
  <c r="N774" i="1"/>
  <c r="M774" i="1"/>
  <c r="L774" i="1"/>
  <c r="K774" i="1"/>
  <c r="J774" i="1"/>
  <c r="I774" i="1"/>
  <c r="H774" i="1"/>
  <c r="G774" i="1"/>
  <c r="F774" i="1"/>
  <c r="O773" i="1"/>
  <c r="N773" i="1"/>
  <c r="M773" i="1"/>
  <c r="L773" i="1"/>
  <c r="K773" i="1"/>
  <c r="J773" i="1"/>
  <c r="I773" i="1"/>
  <c r="H773" i="1"/>
  <c r="G773" i="1"/>
  <c r="F773" i="1"/>
  <c r="O772" i="1"/>
  <c r="N772" i="1"/>
  <c r="M772" i="1"/>
  <c r="L772" i="1"/>
  <c r="K772" i="1"/>
  <c r="J772" i="1"/>
  <c r="I772" i="1"/>
  <c r="H772" i="1"/>
  <c r="G772" i="1"/>
  <c r="F772" i="1"/>
  <c r="O771" i="1"/>
  <c r="N771" i="1"/>
  <c r="M771" i="1"/>
  <c r="L771" i="1"/>
  <c r="K771" i="1"/>
  <c r="J771" i="1"/>
  <c r="I771" i="1"/>
  <c r="H771" i="1"/>
  <c r="G771" i="1"/>
  <c r="F771" i="1"/>
  <c r="O770" i="1"/>
  <c r="N770" i="1"/>
  <c r="M770" i="1"/>
  <c r="L770" i="1"/>
  <c r="K770" i="1"/>
  <c r="J770" i="1"/>
  <c r="I770" i="1"/>
  <c r="H770" i="1"/>
  <c r="G770" i="1"/>
  <c r="F770" i="1"/>
  <c r="O769" i="1"/>
  <c r="N769" i="1"/>
  <c r="M769" i="1"/>
  <c r="L769" i="1"/>
  <c r="K769" i="1"/>
  <c r="J769" i="1"/>
  <c r="I769" i="1"/>
  <c r="H769" i="1"/>
  <c r="G769" i="1"/>
  <c r="F769" i="1"/>
  <c r="O768" i="1"/>
  <c r="N768" i="1"/>
  <c r="M768" i="1"/>
  <c r="L768" i="1"/>
  <c r="K768" i="1"/>
  <c r="J768" i="1"/>
  <c r="I768" i="1"/>
  <c r="H768" i="1"/>
  <c r="G768" i="1"/>
  <c r="F768" i="1"/>
  <c r="O767" i="1"/>
  <c r="N767" i="1"/>
  <c r="M767" i="1"/>
  <c r="L767" i="1"/>
  <c r="K767" i="1"/>
  <c r="J767" i="1"/>
  <c r="I767" i="1"/>
  <c r="H767" i="1"/>
  <c r="G767" i="1"/>
  <c r="F767" i="1"/>
  <c r="O766" i="1"/>
  <c r="N766" i="1"/>
  <c r="M766" i="1"/>
  <c r="L766" i="1"/>
  <c r="K766" i="1"/>
  <c r="J766" i="1"/>
  <c r="I766" i="1"/>
  <c r="H766" i="1"/>
  <c r="G766" i="1"/>
  <c r="F766" i="1"/>
  <c r="O765" i="1"/>
  <c r="N765" i="1"/>
  <c r="M765" i="1"/>
  <c r="L765" i="1"/>
  <c r="K765" i="1"/>
  <c r="J765" i="1"/>
  <c r="I765" i="1"/>
  <c r="H765" i="1"/>
  <c r="G765" i="1"/>
  <c r="F765" i="1"/>
  <c r="O764" i="1"/>
  <c r="N764" i="1"/>
  <c r="M764" i="1"/>
  <c r="L764" i="1"/>
  <c r="K764" i="1"/>
  <c r="J764" i="1"/>
  <c r="I764" i="1"/>
  <c r="H764" i="1"/>
  <c r="G764" i="1"/>
  <c r="F764" i="1"/>
  <c r="O763" i="1"/>
  <c r="N763" i="1"/>
  <c r="M763" i="1"/>
  <c r="L763" i="1"/>
  <c r="K763" i="1"/>
  <c r="J763" i="1"/>
  <c r="I763" i="1"/>
  <c r="H763" i="1"/>
  <c r="G763" i="1"/>
  <c r="F763" i="1"/>
  <c r="O762" i="1"/>
  <c r="N762" i="1"/>
  <c r="M762" i="1"/>
  <c r="L762" i="1"/>
  <c r="K762" i="1"/>
  <c r="J762" i="1"/>
  <c r="I762" i="1"/>
  <c r="H762" i="1"/>
  <c r="G762" i="1"/>
  <c r="F762" i="1"/>
  <c r="O761" i="1"/>
  <c r="N761" i="1"/>
  <c r="M761" i="1"/>
  <c r="L761" i="1"/>
  <c r="K761" i="1"/>
  <c r="J761" i="1"/>
  <c r="I761" i="1"/>
  <c r="H761" i="1"/>
  <c r="G761" i="1"/>
  <c r="F761" i="1"/>
  <c r="O760" i="1"/>
  <c r="N760" i="1"/>
  <c r="M760" i="1"/>
  <c r="L760" i="1"/>
  <c r="K760" i="1"/>
  <c r="J760" i="1"/>
  <c r="I760" i="1"/>
  <c r="H760" i="1"/>
  <c r="G760" i="1"/>
  <c r="F760" i="1"/>
  <c r="O759" i="1"/>
  <c r="N759" i="1"/>
  <c r="M759" i="1"/>
  <c r="L759" i="1"/>
  <c r="K759" i="1"/>
  <c r="J759" i="1"/>
  <c r="I759" i="1"/>
  <c r="H759" i="1"/>
  <c r="G759" i="1"/>
  <c r="F759" i="1"/>
  <c r="O758" i="1"/>
  <c r="N758" i="1"/>
  <c r="M758" i="1"/>
  <c r="L758" i="1"/>
  <c r="K758" i="1"/>
  <c r="J758" i="1"/>
  <c r="I758" i="1"/>
  <c r="H758" i="1"/>
  <c r="G758" i="1"/>
  <c r="F758" i="1"/>
  <c r="O757" i="1"/>
  <c r="N757" i="1"/>
  <c r="M757" i="1"/>
  <c r="L757" i="1"/>
  <c r="K757" i="1"/>
  <c r="J757" i="1"/>
  <c r="I757" i="1"/>
  <c r="H757" i="1"/>
  <c r="G757" i="1"/>
  <c r="F757" i="1"/>
  <c r="O756" i="1"/>
  <c r="N756" i="1"/>
  <c r="M756" i="1"/>
  <c r="L756" i="1"/>
  <c r="K756" i="1"/>
  <c r="J756" i="1"/>
  <c r="I756" i="1"/>
  <c r="H756" i="1"/>
  <c r="G756" i="1"/>
  <c r="F756" i="1"/>
  <c r="O755" i="1"/>
  <c r="N755" i="1"/>
  <c r="M755" i="1"/>
  <c r="L755" i="1"/>
  <c r="K755" i="1"/>
  <c r="J755" i="1"/>
  <c r="I755" i="1"/>
  <c r="H755" i="1"/>
  <c r="G755" i="1"/>
  <c r="F755" i="1"/>
  <c r="O754" i="1"/>
  <c r="N754" i="1"/>
  <c r="M754" i="1"/>
  <c r="L754" i="1"/>
  <c r="K754" i="1"/>
  <c r="J754" i="1"/>
  <c r="I754" i="1"/>
  <c r="H754" i="1"/>
  <c r="G754" i="1"/>
  <c r="F754" i="1"/>
  <c r="O753" i="1"/>
  <c r="N753" i="1"/>
  <c r="M753" i="1"/>
  <c r="L753" i="1"/>
  <c r="K753" i="1"/>
  <c r="J753" i="1"/>
  <c r="I753" i="1"/>
  <c r="H753" i="1"/>
  <c r="G753" i="1"/>
  <c r="F753" i="1"/>
  <c r="O752" i="1"/>
  <c r="N752" i="1"/>
  <c r="M752" i="1"/>
  <c r="L752" i="1"/>
  <c r="K752" i="1"/>
  <c r="J752" i="1"/>
  <c r="I752" i="1"/>
  <c r="H752" i="1"/>
  <c r="G752" i="1"/>
  <c r="F752" i="1"/>
  <c r="O751" i="1"/>
  <c r="N751" i="1"/>
  <c r="M751" i="1"/>
  <c r="L751" i="1"/>
  <c r="K751" i="1"/>
  <c r="J751" i="1"/>
  <c r="I751" i="1"/>
  <c r="H751" i="1"/>
  <c r="G751" i="1"/>
  <c r="F751" i="1"/>
  <c r="O750" i="1"/>
  <c r="N750" i="1"/>
  <c r="M750" i="1"/>
  <c r="L750" i="1"/>
  <c r="K750" i="1"/>
  <c r="J750" i="1"/>
  <c r="I750" i="1"/>
  <c r="H750" i="1"/>
  <c r="G750" i="1"/>
  <c r="F750" i="1"/>
  <c r="O749" i="1"/>
  <c r="N749" i="1"/>
  <c r="M749" i="1"/>
  <c r="L749" i="1"/>
  <c r="K749" i="1"/>
  <c r="J749" i="1"/>
  <c r="I749" i="1"/>
  <c r="H749" i="1"/>
  <c r="G749" i="1"/>
  <c r="F749" i="1"/>
  <c r="O748" i="1"/>
  <c r="N748" i="1"/>
  <c r="M748" i="1"/>
  <c r="L748" i="1"/>
  <c r="K748" i="1"/>
  <c r="J748" i="1"/>
  <c r="I748" i="1"/>
  <c r="H748" i="1"/>
  <c r="G748" i="1"/>
  <c r="F748" i="1"/>
  <c r="O747" i="1"/>
  <c r="N747" i="1"/>
  <c r="M747" i="1"/>
  <c r="L747" i="1"/>
  <c r="K747" i="1"/>
  <c r="J747" i="1"/>
  <c r="I747" i="1"/>
  <c r="H747" i="1"/>
  <c r="G747" i="1"/>
  <c r="F747" i="1"/>
  <c r="O746" i="1"/>
  <c r="N746" i="1"/>
  <c r="M746" i="1"/>
  <c r="L746" i="1"/>
  <c r="K746" i="1"/>
  <c r="J746" i="1"/>
  <c r="I746" i="1"/>
  <c r="H746" i="1"/>
  <c r="G746" i="1"/>
  <c r="F746" i="1"/>
  <c r="O745" i="1"/>
  <c r="N745" i="1"/>
  <c r="M745" i="1"/>
  <c r="L745" i="1"/>
  <c r="K745" i="1"/>
  <c r="J745" i="1"/>
  <c r="I745" i="1"/>
  <c r="H745" i="1"/>
  <c r="G745" i="1"/>
  <c r="F745" i="1"/>
  <c r="O744" i="1"/>
  <c r="N744" i="1"/>
  <c r="M744" i="1"/>
  <c r="L744" i="1"/>
  <c r="K744" i="1"/>
  <c r="J744" i="1"/>
  <c r="I744" i="1"/>
  <c r="H744" i="1"/>
  <c r="G744" i="1"/>
  <c r="F744" i="1"/>
  <c r="O743" i="1"/>
  <c r="N743" i="1"/>
  <c r="M743" i="1"/>
  <c r="L743" i="1"/>
  <c r="K743" i="1"/>
  <c r="J743" i="1"/>
  <c r="I743" i="1"/>
  <c r="H743" i="1"/>
  <c r="G743" i="1"/>
  <c r="F743" i="1"/>
  <c r="O742" i="1"/>
  <c r="N742" i="1"/>
  <c r="M742" i="1"/>
  <c r="L742" i="1"/>
  <c r="K742" i="1"/>
  <c r="J742" i="1"/>
  <c r="I742" i="1"/>
  <c r="H742" i="1"/>
  <c r="G742" i="1"/>
  <c r="F742" i="1"/>
  <c r="O741" i="1"/>
  <c r="N741" i="1"/>
  <c r="M741" i="1"/>
  <c r="L741" i="1"/>
  <c r="K741" i="1"/>
  <c r="J741" i="1"/>
  <c r="I741" i="1"/>
  <c r="H741" i="1"/>
  <c r="G741" i="1"/>
  <c r="F741" i="1"/>
  <c r="O740" i="1"/>
  <c r="N740" i="1"/>
  <c r="M740" i="1"/>
  <c r="L740" i="1"/>
  <c r="K740" i="1"/>
  <c r="J740" i="1"/>
  <c r="I740" i="1"/>
  <c r="H740" i="1"/>
  <c r="G740" i="1"/>
  <c r="F740" i="1"/>
  <c r="O739" i="1"/>
  <c r="N739" i="1"/>
  <c r="M739" i="1"/>
  <c r="L739" i="1"/>
  <c r="K739" i="1"/>
  <c r="J739" i="1"/>
  <c r="I739" i="1"/>
  <c r="H739" i="1"/>
  <c r="G739" i="1"/>
  <c r="F739" i="1"/>
  <c r="O738" i="1"/>
  <c r="N738" i="1"/>
  <c r="M738" i="1"/>
  <c r="L738" i="1"/>
  <c r="K738" i="1"/>
  <c r="J738" i="1"/>
  <c r="I738" i="1"/>
  <c r="H738" i="1"/>
  <c r="G738" i="1"/>
  <c r="F738" i="1"/>
  <c r="O737" i="1"/>
  <c r="N737" i="1"/>
  <c r="M737" i="1"/>
  <c r="L737" i="1"/>
  <c r="K737" i="1"/>
  <c r="J737" i="1"/>
  <c r="I737" i="1"/>
  <c r="H737" i="1"/>
  <c r="G737" i="1"/>
  <c r="F737" i="1"/>
  <c r="O736" i="1"/>
  <c r="N736" i="1"/>
  <c r="M736" i="1"/>
  <c r="L736" i="1"/>
  <c r="K736" i="1"/>
  <c r="J736" i="1"/>
  <c r="I736" i="1"/>
  <c r="H736" i="1"/>
  <c r="G736" i="1"/>
  <c r="F736" i="1"/>
  <c r="O735" i="1"/>
  <c r="N735" i="1"/>
  <c r="M735" i="1"/>
  <c r="L735" i="1"/>
  <c r="K735" i="1"/>
  <c r="J735" i="1"/>
  <c r="I735" i="1"/>
  <c r="H735" i="1"/>
  <c r="G735" i="1"/>
  <c r="F735" i="1"/>
  <c r="O734" i="1"/>
  <c r="N734" i="1"/>
  <c r="M734" i="1"/>
  <c r="L734" i="1"/>
  <c r="K734" i="1"/>
  <c r="J734" i="1"/>
  <c r="I734" i="1"/>
  <c r="H734" i="1"/>
  <c r="G734" i="1"/>
  <c r="F734" i="1"/>
  <c r="O733" i="1"/>
  <c r="N733" i="1"/>
  <c r="M733" i="1"/>
  <c r="L733" i="1"/>
  <c r="K733" i="1"/>
  <c r="J733" i="1"/>
  <c r="I733" i="1"/>
  <c r="H733" i="1"/>
  <c r="G733" i="1"/>
  <c r="F733" i="1"/>
  <c r="O732" i="1"/>
  <c r="N732" i="1"/>
  <c r="M732" i="1"/>
  <c r="L732" i="1"/>
  <c r="K732" i="1"/>
  <c r="J732" i="1"/>
  <c r="I732" i="1"/>
  <c r="H732" i="1"/>
  <c r="G732" i="1"/>
  <c r="F732" i="1"/>
  <c r="O731" i="1"/>
  <c r="N731" i="1"/>
  <c r="M731" i="1"/>
  <c r="L731" i="1"/>
  <c r="K731" i="1"/>
  <c r="J731" i="1"/>
  <c r="I731" i="1"/>
  <c r="H731" i="1"/>
  <c r="G731" i="1"/>
  <c r="F731" i="1"/>
  <c r="O730" i="1"/>
  <c r="N730" i="1"/>
  <c r="M730" i="1"/>
  <c r="L730" i="1"/>
  <c r="K730" i="1"/>
  <c r="J730" i="1"/>
  <c r="I730" i="1"/>
  <c r="H730" i="1"/>
  <c r="G730" i="1"/>
  <c r="F730" i="1"/>
  <c r="O729" i="1"/>
  <c r="N729" i="1"/>
  <c r="M729" i="1"/>
  <c r="L729" i="1"/>
  <c r="K729" i="1"/>
  <c r="J729" i="1"/>
  <c r="I729" i="1"/>
  <c r="H729" i="1"/>
  <c r="G729" i="1"/>
  <c r="F729" i="1"/>
  <c r="O728" i="1"/>
  <c r="N728" i="1"/>
  <c r="M728" i="1"/>
  <c r="L728" i="1"/>
  <c r="K728" i="1"/>
  <c r="J728" i="1"/>
  <c r="I728" i="1"/>
  <c r="H728" i="1"/>
  <c r="G728" i="1"/>
  <c r="F728" i="1"/>
  <c r="O727" i="1"/>
  <c r="N727" i="1"/>
  <c r="M727" i="1"/>
  <c r="L727" i="1"/>
  <c r="K727" i="1"/>
  <c r="J727" i="1"/>
  <c r="I727" i="1"/>
  <c r="H727" i="1"/>
  <c r="G727" i="1"/>
  <c r="F727" i="1"/>
  <c r="O726" i="1"/>
  <c r="N726" i="1"/>
  <c r="M726" i="1"/>
  <c r="L726" i="1"/>
  <c r="K726" i="1"/>
  <c r="J726" i="1"/>
  <c r="I726" i="1"/>
  <c r="H726" i="1"/>
  <c r="G726" i="1"/>
  <c r="F726" i="1"/>
  <c r="O725" i="1"/>
  <c r="N725" i="1"/>
  <c r="M725" i="1"/>
  <c r="L725" i="1"/>
  <c r="K725" i="1"/>
  <c r="J725" i="1"/>
  <c r="I725" i="1"/>
  <c r="H725" i="1"/>
  <c r="G725" i="1"/>
  <c r="F725" i="1"/>
  <c r="O724" i="1"/>
  <c r="N724" i="1"/>
  <c r="M724" i="1"/>
  <c r="L724" i="1"/>
  <c r="K724" i="1"/>
  <c r="J724" i="1"/>
  <c r="I724" i="1"/>
  <c r="H724" i="1"/>
  <c r="G724" i="1"/>
  <c r="F724" i="1"/>
  <c r="O723" i="1"/>
  <c r="N723" i="1"/>
  <c r="M723" i="1"/>
  <c r="L723" i="1"/>
  <c r="K723" i="1"/>
  <c r="J723" i="1"/>
  <c r="I723" i="1"/>
  <c r="H723" i="1"/>
  <c r="G723" i="1"/>
  <c r="F723" i="1"/>
  <c r="O722" i="1"/>
  <c r="N722" i="1"/>
  <c r="M722" i="1"/>
  <c r="L722" i="1"/>
  <c r="K722" i="1"/>
  <c r="J722" i="1"/>
  <c r="I722" i="1"/>
  <c r="H722" i="1"/>
  <c r="G722" i="1"/>
  <c r="F722" i="1"/>
  <c r="O721" i="1"/>
  <c r="N721" i="1"/>
  <c r="M721" i="1"/>
  <c r="L721" i="1"/>
  <c r="K721" i="1"/>
  <c r="J721" i="1"/>
  <c r="I721" i="1"/>
  <c r="H721" i="1"/>
  <c r="G721" i="1"/>
  <c r="F721" i="1"/>
  <c r="O720" i="1"/>
  <c r="N720" i="1"/>
  <c r="M720" i="1"/>
  <c r="L720" i="1"/>
  <c r="K720" i="1"/>
  <c r="J720" i="1"/>
  <c r="I720" i="1"/>
  <c r="H720" i="1"/>
  <c r="G720" i="1"/>
  <c r="F720" i="1"/>
  <c r="O719" i="1"/>
  <c r="N719" i="1"/>
  <c r="M719" i="1"/>
  <c r="L719" i="1"/>
  <c r="K719" i="1"/>
  <c r="J719" i="1"/>
  <c r="I719" i="1"/>
  <c r="H719" i="1"/>
  <c r="G719" i="1"/>
  <c r="F719" i="1"/>
  <c r="O718" i="1"/>
  <c r="N718" i="1"/>
  <c r="M718" i="1"/>
  <c r="L718" i="1"/>
  <c r="K718" i="1"/>
  <c r="J718" i="1"/>
  <c r="I718" i="1"/>
  <c r="H718" i="1"/>
  <c r="G718" i="1"/>
  <c r="F718" i="1"/>
  <c r="O717" i="1"/>
  <c r="N717" i="1"/>
  <c r="M717" i="1"/>
  <c r="L717" i="1"/>
  <c r="K717" i="1"/>
  <c r="J717" i="1"/>
  <c r="I717" i="1"/>
  <c r="H717" i="1"/>
  <c r="G717" i="1"/>
  <c r="F717" i="1"/>
  <c r="O716" i="1"/>
  <c r="N716" i="1"/>
  <c r="M716" i="1"/>
  <c r="L716" i="1"/>
  <c r="K716" i="1"/>
  <c r="J716" i="1"/>
  <c r="I716" i="1"/>
  <c r="H716" i="1"/>
  <c r="G716" i="1"/>
  <c r="F716" i="1"/>
  <c r="O715" i="1"/>
  <c r="N715" i="1"/>
  <c r="M715" i="1"/>
  <c r="L715" i="1"/>
  <c r="K715" i="1"/>
  <c r="J715" i="1"/>
  <c r="I715" i="1"/>
  <c r="H715" i="1"/>
  <c r="G715" i="1"/>
  <c r="F715" i="1"/>
  <c r="O714" i="1"/>
  <c r="N714" i="1"/>
  <c r="M714" i="1"/>
  <c r="L714" i="1"/>
  <c r="K714" i="1"/>
  <c r="J714" i="1"/>
  <c r="I714" i="1"/>
  <c r="H714" i="1"/>
  <c r="G714" i="1"/>
  <c r="F714" i="1"/>
  <c r="O713" i="1"/>
  <c r="N713" i="1"/>
  <c r="M713" i="1"/>
  <c r="L713" i="1"/>
  <c r="K713" i="1"/>
  <c r="J713" i="1"/>
  <c r="I713" i="1"/>
  <c r="H713" i="1"/>
  <c r="G713" i="1"/>
  <c r="F713" i="1"/>
  <c r="O712" i="1"/>
  <c r="N712" i="1"/>
  <c r="M712" i="1"/>
  <c r="L712" i="1"/>
  <c r="K712" i="1"/>
  <c r="J712" i="1"/>
  <c r="I712" i="1"/>
  <c r="H712" i="1"/>
  <c r="G712" i="1"/>
  <c r="F712" i="1"/>
  <c r="O711" i="1"/>
  <c r="N711" i="1"/>
  <c r="M711" i="1"/>
  <c r="L711" i="1"/>
  <c r="K711" i="1"/>
  <c r="J711" i="1"/>
  <c r="I711" i="1"/>
  <c r="H711" i="1"/>
  <c r="G711" i="1"/>
  <c r="F711" i="1"/>
  <c r="O710" i="1"/>
  <c r="N710" i="1"/>
  <c r="M710" i="1"/>
  <c r="L710" i="1"/>
  <c r="K710" i="1"/>
  <c r="J710" i="1"/>
  <c r="I710" i="1"/>
  <c r="H710" i="1"/>
  <c r="G710" i="1"/>
  <c r="F710" i="1"/>
  <c r="O709" i="1"/>
  <c r="N709" i="1"/>
  <c r="M709" i="1"/>
  <c r="L709" i="1"/>
  <c r="K709" i="1"/>
  <c r="J709" i="1"/>
  <c r="I709" i="1"/>
  <c r="H709" i="1"/>
  <c r="G709" i="1"/>
  <c r="F709" i="1"/>
  <c r="O708" i="1"/>
  <c r="N708" i="1"/>
  <c r="M708" i="1"/>
  <c r="L708" i="1"/>
  <c r="K708" i="1"/>
  <c r="J708" i="1"/>
  <c r="I708" i="1"/>
  <c r="H708" i="1"/>
  <c r="G708" i="1"/>
  <c r="F708" i="1"/>
  <c r="O707" i="1"/>
  <c r="N707" i="1"/>
  <c r="M707" i="1"/>
  <c r="L707" i="1"/>
  <c r="K707" i="1"/>
  <c r="J707" i="1"/>
  <c r="I707" i="1"/>
  <c r="H707" i="1"/>
  <c r="G707" i="1"/>
  <c r="F707" i="1"/>
  <c r="O706" i="1"/>
  <c r="N706" i="1"/>
  <c r="M706" i="1"/>
  <c r="L706" i="1"/>
  <c r="K706" i="1"/>
  <c r="J706" i="1"/>
  <c r="I706" i="1"/>
  <c r="H706" i="1"/>
  <c r="G706" i="1"/>
  <c r="F706" i="1"/>
  <c r="O705" i="1"/>
  <c r="N705" i="1"/>
  <c r="M705" i="1"/>
  <c r="L705" i="1"/>
  <c r="K705" i="1"/>
  <c r="J705" i="1"/>
  <c r="I705" i="1"/>
  <c r="H705" i="1"/>
  <c r="G705" i="1"/>
  <c r="F705" i="1"/>
  <c r="O704" i="1"/>
  <c r="N704" i="1"/>
  <c r="M704" i="1"/>
  <c r="L704" i="1"/>
  <c r="K704" i="1"/>
  <c r="J704" i="1"/>
  <c r="I704" i="1"/>
  <c r="H704" i="1"/>
  <c r="G704" i="1"/>
  <c r="F704" i="1"/>
  <c r="O703" i="1"/>
  <c r="N703" i="1"/>
  <c r="M703" i="1"/>
  <c r="L703" i="1"/>
  <c r="K703" i="1"/>
  <c r="J703" i="1"/>
  <c r="I703" i="1"/>
  <c r="H703" i="1"/>
  <c r="G703" i="1"/>
  <c r="F703" i="1"/>
  <c r="O702" i="1"/>
  <c r="N702" i="1"/>
  <c r="M702" i="1"/>
  <c r="L702" i="1"/>
  <c r="K702" i="1"/>
  <c r="J702" i="1"/>
  <c r="I702" i="1"/>
  <c r="H702" i="1"/>
  <c r="G702" i="1"/>
  <c r="F702" i="1"/>
  <c r="O701" i="1"/>
  <c r="N701" i="1"/>
  <c r="M701" i="1"/>
  <c r="L701" i="1"/>
  <c r="K701" i="1"/>
  <c r="J701" i="1"/>
  <c r="I701" i="1"/>
  <c r="H701" i="1"/>
  <c r="G701" i="1"/>
  <c r="F701" i="1"/>
  <c r="O700" i="1"/>
  <c r="N700" i="1"/>
  <c r="M700" i="1"/>
  <c r="L700" i="1"/>
  <c r="K700" i="1"/>
  <c r="J700" i="1"/>
  <c r="I700" i="1"/>
  <c r="H700" i="1"/>
  <c r="G700" i="1"/>
  <c r="F700" i="1"/>
  <c r="O699" i="1"/>
  <c r="N699" i="1"/>
  <c r="M699" i="1"/>
  <c r="L699" i="1"/>
  <c r="K699" i="1"/>
  <c r="J699" i="1"/>
  <c r="I699" i="1"/>
  <c r="H699" i="1"/>
  <c r="G699" i="1"/>
  <c r="F699" i="1"/>
  <c r="O698" i="1"/>
  <c r="N698" i="1"/>
  <c r="M698" i="1"/>
  <c r="L698" i="1"/>
  <c r="K698" i="1"/>
  <c r="J698" i="1"/>
  <c r="I698" i="1"/>
  <c r="H698" i="1"/>
  <c r="G698" i="1"/>
  <c r="F698" i="1"/>
  <c r="O697" i="1"/>
  <c r="N697" i="1"/>
  <c r="M697" i="1"/>
  <c r="L697" i="1"/>
  <c r="K697" i="1"/>
  <c r="J697" i="1"/>
  <c r="I697" i="1"/>
  <c r="H697" i="1"/>
  <c r="G697" i="1"/>
  <c r="F697" i="1"/>
  <c r="O696" i="1"/>
  <c r="N696" i="1"/>
  <c r="M696" i="1"/>
  <c r="L696" i="1"/>
  <c r="K696" i="1"/>
  <c r="J696" i="1"/>
  <c r="I696" i="1"/>
  <c r="H696" i="1"/>
  <c r="G696" i="1"/>
  <c r="F696" i="1"/>
  <c r="O695" i="1"/>
  <c r="N695" i="1"/>
  <c r="M695" i="1"/>
  <c r="L695" i="1"/>
  <c r="K695" i="1"/>
  <c r="J695" i="1"/>
  <c r="I695" i="1"/>
  <c r="H695" i="1"/>
  <c r="G695" i="1"/>
  <c r="F695" i="1"/>
  <c r="O694" i="1"/>
  <c r="N694" i="1"/>
  <c r="M694" i="1"/>
  <c r="L694" i="1"/>
  <c r="K694" i="1"/>
  <c r="J694" i="1"/>
  <c r="I694" i="1"/>
  <c r="H694" i="1"/>
  <c r="G694" i="1"/>
  <c r="F694" i="1"/>
  <c r="O693" i="1"/>
  <c r="N693" i="1"/>
  <c r="M693" i="1"/>
  <c r="L693" i="1"/>
  <c r="K693" i="1"/>
  <c r="J693" i="1"/>
  <c r="I693" i="1"/>
  <c r="H693" i="1"/>
  <c r="G693" i="1"/>
  <c r="F693" i="1"/>
  <c r="O692" i="1"/>
  <c r="N692" i="1"/>
  <c r="M692" i="1"/>
  <c r="L692" i="1"/>
  <c r="K692" i="1"/>
  <c r="J692" i="1"/>
  <c r="I692" i="1"/>
  <c r="H692" i="1"/>
  <c r="G692" i="1"/>
  <c r="F692" i="1"/>
  <c r="O691" i="1"/>
  <c r="N691" i="1"/>
  <c r="M691" i="1"/>
  <c r="L691" i="1"/>
  <c r="K691" i="1"/>
  <c r="J691" i="1"/>
  <c r="I691" i="1"/>
  <c r="H691" i="1"/>
  <c r="G691" i="1"/>
  <c r="F691" i="1"/>
  <c r="O690" i="1"/>
  <c r="N690" i="1"/>
  <c r="M690" i="1"/>
  <c r="L690" i="1"/>
  <c r="K690" i="1"/>
  <c r="J690" i="1"/>
  <c r="I690" i="1"/>
  <c r="H690" i="1"/>
  <c r="G690" i="1"/>
  <c r="F690" i="1"/>
  <c r="O689" i="1"/>
  <c r="N689" i="1"/>
  <c r="M689" i="1"/>
  <c r="L689" i="1"/>
  <c r="K689" i="1"/>
  <c r="J689" i="1"/>
  <c r="I689" i="1"/>
  <c r="H689" i="1"/>
  <c r="G689" i="1"/>
  <c r="F689" i="1"/>
  <c r="O688" i="1"/>
  <c r="N688" i="1"/>
  <c r="M688" i="1"/>
  <c r="L688" i="1"/>
  <c r="K688" i="1"/>
  <c r="J688" i="1"/>
  <c r="I688" i="1"/>
  <c r="H688" i="1"/>
  <c r="G688" i="1"/>
  <c r="F688" i="1"/>
  <c r="O687" i="1"/>
  <c r="N687" i="1"/>
  <c r="M687" i="1"/>
  <c r="L687" i="1"/>
  <c r="K687" i="1"/>
  <c r="J687" i="1"/>
  <c r="I687" i="1"/>
  <c r="H687" i="1"/>
  <c r="G687" i="1"/>
  <c r="F687" i="1"/>
  <c r="O686" i="1"/>
  <c r="N686" i="1"/>
  <c r="M686" i="1"/>
  <c r="L686" i="1"/>
  <c r="K686" i="1"/>
  <c r="J686" i="1"/>
  <c r="I686" i="1"/>
  <c r="H686" i="1"/>
  <c r="G686" i="1"/>
  <c r="F686" i="1"/>
  <c r="O685" i="1"/>
  <c r="N685" i="1"/>
  <c r="M685" i="1"/>
  <c r="L685" i="1"/>
  <c r="K685" i="1"/>
  <c r="J685" i="1"/>
  <c r="I685" i="1"/>
  <c r="H685" i="1"/>
  <c r="G685" i="1"/>
  <c r="F685" i="1"/>
  <c r="O684" i="1"/>
  <c r="N684" i="1"/>
  <c r="M684" i="1"/>
  <c r="L684" i="1"/>
  <c r="K684" i="1"/>
  <c r="J684" i="1"/>
  <c r="I684" i="1"/>
  <c r="H684" i="1"/>
  <c r="G684" i="1"/>
  <c r="F684" i="1"/>
  <c r="O683" i="1"/>
  <c r="N683" i="1"/>
  <c r="M683" i="1"/>
  <c r="L683" i="1"/>
  <c r="K683" i="1"/>
  <c r="J683" i="1"/>
  <c r="I683" i="1"/>
  <c r="H683" i="1"/>
  <c r="G683" i="1"/>
  <c r="F683" i="1"/>
  <c r="O682" i="1"/>
  <c r="N682" i="1"/>
  <c r="M682" i="1"/>
  <c r="L682" i="1"/>
  <c r="K682" i="1"/>
  <c r="J682" i="1"/>
  <c r="I682" i="1"/>
  <c r="H682" i="1"/>
  <c r="G682" i="1"/>
  <c r="F682" i="1"/>
  <c r="O681" i="1"/>
  <c r="N681" i="1"/>
  <c r="M681" i="1"/>
  <c r="L681" i="1"/>
  <c r="K681" i="1"/>
  <c r="J681" i="1"/>
  <c r="I681" i="1"/>
  <c r="H681" i="1"/>
  <c r="G681" i="1"/>
  <c r="F681" i="1"/>
  <c r="O680" i="1"/>
  <c r="N680" i="1"/>
  <c r="M680" i="1"/>
  <c r="L680" i="1"/>
  <c r="K680" i="1"/>
  <c r="J680" i="1"/>
  <c r="I680" i="1"/>
  <c r="H680" i="1"/>
  <c r="G680" i="1"/>
  <c r="F680" i="1"/>
  <c r="O679" i="1"/>
  <c r="N679" i="1"/>
  <c r="M679" i="1"/>
  <c r="L679" i="1"/>
  <c r="K679" i="1"/>
  <c r="J679" i="1"/>
  <c r="I679" i="1"/>
  <c r="H679" i="1"/>
  <c r="G679" i="1"/>
  <c r="F679" i="1"/>
  <c r="O678" i="1"/>
  <c r="N678" i="1"/>
  <c r="M678" i="1"/>
  <c r="L678" i="1"/>
  <c r="K678" i="1"/>
  <c r="J678" i="1"/>
  <c r="I678" i="1"/>
  <c r="H678" i="1"/>
  <c r="G678" i="1"/>
  <c r="F678" i="1"/>
  <c r="O677" i="1"/>
  <c r="N677" i="1"/>
  <c r="M677" i="1"/>
  <c r="L677" i="1"/>
  <c r="K677" i="1"/>
  <c r="J677" i="1"/>
  <c r="I677" i="1"/>
  <c r="H677" i="1"/>
  <c r="G677" i="1"/>
  <c r="F677" i="1"/>
  <c r="O676" i="1"/>
  <c r="N676" i="1"/>
  <c r="M676" i="1"/>
  <c r="L676" i="1"/>
  <c r="K676" i="1"/>
  <c r="J676" i="1"/>
  <c r="I676" i="1"/>
  <c r="H676" i="1"/>
  <c r="G676" i="1"/>
  <c r="F676" i="1"/>
  <c r="O675" i="1"/>
  <c r="N675" i="1"/>
  <c r="M675" i="1"/>
  <c r="L675" i="1"/>
  <c r="K675" i="1"/>
  <c r="J675" i="1"/>
  <c r="I675" i="1"/>
  <c r="H675" i="1"/>
  <c r="G675" i="1"/>
  <c r="F675" i="1"/>
  <c r="O674" i="1"/>
  <c r="N674" i="1"/>
  <c r="M674" i="1"/>
  <c r="L674" i="1"/>
  <c r="K674" i="1"/>
  <c r="J674" i="1"/>
  <c r="I674" i="1"/>
  <c r="H674" i="1"/>
  <c r="G674" i="1"/>
  <c r="F674" i="1"/>
  <c r="O673" i="1"/>
  <c r="N673" i="1"/>
  <c r="M673" i="1"/>
  <c r="L673" i="1"/>
  <c r="K673" i="1"/>
  <c r="J673" i="1"/>
  <c r="I673" i="1"/>
  <c r="H673" i="1"/>
  <c r="G673" i="1"/>
  <c r="F673" i="1"/>
  <c r="O672" i="1"/>
  <c r="N672" i="1"/>
  <c r="M672" i="1"/>
  <c r="L672" i="1"/>
  <c r="K672" i="1"/>
  <c r="J672" i="1"/>
  <c r="I672" i="1"/>
  <c r="H672" i="1"/>
  <c r="G672" i="1"/>
  <c r="F672" i="1"/>
  <c r="O671" i="1"/>
  <c r="N671" i="1"/>
  <c r="M671" i="1"/>
  <c r="L671" i="1"/>
  <c r="K671" i="1"/>
  <c r="J671" i="1"/>
  <c r="I671" i="1"/>
  <c r="H671" i="1"/>
  <c r="G671" i="1"/>
  <c r="F671" i="1"/>
  <c r="O670" i="1"/>
  <c r="N670" i="1"/>
  <c r="M670" i="1"/>
  <c r="L670" i="1"/>
  <c r="K670" i="1"/>
  <c r="J670" i="1"/>
  <c r="I670" i="1"/>
  <c r="H670" i="1"/>
  <c r="G670" i="1"/>
  <c r="F670" i="1"/>
  <c r="O669" i="1"/>
  <c r="N669" i="1"/>
  <c r="M669" i="1"/>
  <c r="L669" i="1"/>
  <c r="K669" i="1"/>
  <c r="J669" i="1"/>
  <c r="I669" i="1"/>
  <c r="H669" i="1"/>
  <c r="G669" i="1"/>
  <c r="F669" i="1"/>
  <c r="O668" i="1"/>
  <c r="N668" i="1"/>
  <c r="M668" i="1"/>
  <c r="L668" i="1"/>
  <c r="K668" i="1"/>
  <c r="J668" i="1"/>
  <c r="I668" i="1"/>
  <c r="H668" i="1"/>
  <c r="G668" i="1"/>
  <c r="F668" i="1"/>
  <c r="O667" i="1"/>
  <c r="N667" i="1"/>
  <c r="M667" i="1"/>
  <c r="L667" i="1"/>
  <c r="K667" i="1"/>
  <c r="J667" i="1"/>
  <c r="I667" i="1"/>
  <c r="H667" i="1"/>
  <c r="G667" i="1"/>
  <c r="F667" i="1"/>
  <c r="O666" i="1"/>
  <c r="N666" i="1"/>
  <c r="M666" i="1"/>
  <c r="L666" i="1"/>
  <c r="K666" i="1"/>
  <c r="J666" i="1"/>
  <c r="I666" i="1"/>
  <c r="H666" i="1"/>
  <c r="G666" i="1"/>
  <c r="F666" i="1"/>
  <c r="O665" i="1"/>
  <c r="N665" i="1"/>
  <c r="M665" i="1"/>
  <c r="L665" i="1"/>
  <c r="K665" i="1"/>
  <c r="J665" i="1"/>
  <c r="I665" i="1"/>
  <c r="H665" i="1"/>
  <c r="G665" i="1"/>
  <c r="F665" i="1"/>
  <c r="O664" i="1"/>
  <c r="N664" i="1"/>
  <c r="M664" i="1"/>
  <c r="L664" i="1"/>
  <c r="K664" i="1"/>
  <c r="J664" i="1"/>
  <c r="I664" i="1"/>
  <c r="H664" i="1"/>
  <c r="G664" i="1"/>
  <c r="F664" i="1"/>
  <c r="O663" i="1"/>
  <c r="N663" i="1"/>
  <c r="M663" i="1"/>
  <c r="L663" i="1"/>
  <c r="K663" i="1"/>
  <c r="J663" i="1"/>
  <c r="I663" i="1"/>
  <c r="H663" i="1"/>
  <c r="G663" i="1"/>
  <c r="F663" i="1"/>
  <c r="O662" i="1"/>
  <c r="N662" i="1"/>
  <c r="M662" i="1"/>
  <c r="L662" i="1"/>
  <c r="K662" i="1"/>
  <c r="J662" i="1"/>
  <c r="I662" i="1"/>
  <c r="H662" i="1"/>
  <c r="G662" i="1"/>
  <c r="F662" i="1"/>
  <c r="O661" i="1"/>
  <c r="N661" i="1"/>
  <c r="M661" i="1"/>
  <c r="L661" i="1"/>
  <c r="K661" i="1"/>
  <c r="J661" i="1"/>
  <c r="I661" i="1"/>
  <c r="H661" i="1"/>
  <c r="G661" i="1"/>
  <c r="F661" i="1"/>
  <c r="O660" i="1"/>
  <c r="N660" i="1"/>
  <c r="M660" i="1"/>
  <c r="L660" i="1"/>
  <c r="K660" i="1"/>
  <c r="J660" i="1"/>
  <c r="I660" i="1"/>
  <c r="H660" i="1"/>
  <c r="G660" i="1"/>
  <c r="F660" i="1"/>
  <c r="O659" i="1"/>
  <c r="N659" i="1"/>
  <c r="M659" i="1"/>
  <c r="L659" i="1"/>
  <c r="K659" i="1"/>
  <c r="J659" i="1"/>
  <c r="I659" i="1"/>
  <c r="H659" i="1"/>
  <c r="G659" i="1"/>
  <c r="F659" i="1"/>
  <c r="O658" i="1"/>
  <c r="N658" i="1"/>
  <c r="M658" i="1"/>
  <c r="L658" i="1"/>
  <c r="K658" i="1"/>
  <c r="J658" i="1"/>
  <c r="I658" i="1"/>
  <c r="H658" i="1"/>
  <c r="G658" i="1"/>
  <c r="F658" i="1"/>
  <c r="O657" i="1"/>
  <c r="N657" i="1"/>
  <c r="M657" i="1"/>
  <c r="L657" i="1"/>
  <c r="K657" i="1"/>
  <c r="J657" i="1"/>
  <c r="I657" i="1"/>
  <c r="H657" i="1"/>
  <c r="G657" i="1"/>
  <c r="F657" i="1"/>
  <c r="O656" i="1"/>
  <c r="N656" i="1"/>
  <c r="M656" i="1"/>
  <c r="L656" i="1"/>
  <c r="K656" i="1"/>
  <c r="J656" i="1"/>
  <c r="I656" i="1"/>
  <c r="H656" i="1"/>
  <c r="G656" i="1"/>
  <c r="F656" i="1"/>
  <c r="O655" i="1"/>
  <c r="N655" i="1"/>
  <c r="M655" i="1"/>
  <c r="L655" i="1"/>
  <c r="K655" i="1"/>
  <c r="J655" i="1"/>
  <c r="I655" i="1"/>
  <c r="H655" i="1"/>
  <c r="G655" i="1"/>
  <c r="F655" i="1"/>
  <c r="O654" i="1"/>
  <c r="N654" i="1"/>
  <c r="M654" i="1"/>
  <c r="L654" i="1"/>
  <c r="K654" i="1"/>
  <c r="J654" i="1"/>
  <c r="I654" i="1"/>
  <c r="H654" i="1"/>
  <c r="G654" i="1"/>
  <c r="F654" i="1"/>
  <c r="O653" i="1"/>
  <c r="N653" i="1"/>
  <c r="M653" i="1"/>
  <c r="L653" i="1"/>
  <c r="K653" i="1"/>
  <c r="J653" i="1"/>
  <c r="I653" i="1"/>
  <c r="H653" i="1"/>
  <c r="G653" i="1"/>
  <c r="F653" i="1"/>
  <c r="O652" i="1"/>
  <c r="N652" i="1"/>
  <c r="M652" i="1"/>
  <c r="L652" i="1"/>
  <c r="K652" i="1"/>
  <c r="J652" i="1"/>
  <c r="I652" i="1"/>
  <c r="H652" i="1"/>
  <c r="G652" i="1"/>
  <c r="F652" i="1"/>
  <c r="O651" i="1"/>
  <c r="N651" i="1"/>
  <c r="M651" i="1"/>
  <c r="L651" i="1"/>
  <c r="K651" i="1"/>
  <c r="J651" i="1"/>
  <c r="I651" i="1"/>
  <c r="H651" i="1"/>
  <c r="G651" i="1"/>
  <c r="F651" i="1"/>
  <c r="O650" i="1"/>
  <c r="N650" i="1"/>
  <c r="M650" i="1"/>
  <c r="L650" i="1"/>
  <c r="K650" i="1"/>
  <c r="J650" i="1"/>
  <c r="I650" i="1"/>
  <c r="H650" i="1"/>
  <c r="G650" i="1"/>
  <c r="F650" i="1"/>
  <c r="O649" i="1"/>
  <c r="N649" i="1"/>
  <c r="M649" i="1"/>
  <c r="L649" i="1"/>
  <c r="K649" i="1"/>
  <c r="J649" i="1"/>
  <c r="I649" i="1"/>
  <c r="H649" i="1"/>
  <c r="G649" i="1"/>
  <c r="F649" i="1"/>
  <c r="O648" i="1"/>
  <c r="N648" i="1"/>
  <c r="M648" i="1"/>
  <c r="L648" i="1"/>
  <c r="K648" i="1"/>
  <c r="J648" i="1"/>
  <c r="I648" i="1"/>
  <c r="H648" i="1"/>
  <c r="G648" i="1"/>
  <c r="F648" i="1"/>
  <c r="O647" i="1"/>
  <c r="N647" i="1"/>
  <c r="M647" i="1"/>
  <c r="L647" i="1"/>
  <c r="K647" i="1"/>
  <c r="J647" i="1"/>
  <c r="I647" i="1"/>
  <c r="H647" i="1"/>
  <c r="G647" i="1"/>
  <c r="F647" i="1"/>
  <c r="O646" i="1"/>
  <c r="N646" i="1"/>
  <c r="M646" i="1"/>
  <c r="L646" i="1"/>
  <c r="K646" i="1"/>
  <c r="J646" i="1"/>
  <c r="I646" i="1"/>
  <c r="H646" i="1"/>
  <c r="G646" i="1"/>
  <c r="F646" i="1"/>
  <c r="O645" i="1"/>
  <c r="N645" i="1"/>
  <c r="M645" i="1"/>
  <c r="L645" i="1"/>
  <c r="K645" i="1"/>
  <c r="J645" i="1"/>
  <c r="I645" i="1"/>
  <c r="H645" i="1"/>
  <c r="G645" i="1"/>
  <c r="F645" i="1"/>
  <c r="O644" i="1"/>
  <c r="N644" i="1"/>
  <c r="M644" i="1"/>
  <c r="L644" i="1"/>
  <c r="K644" i="1"/>
  <c r="J644" i="1"/>
  <c r="I644" i="1"/>
  <c r="H644" i="1"/>
  <c r="G644" i="1"/>
  <c r="F644" i="1"/>
  <c r="O643" i="1"/>
  <c r="N643" i="1"/>
  <c r="M643" i="1"/>
  <c r="L643" i="1"/>
  <c r="K643" i="1"/>
  <c r="J643" i="1"/>
  <c r="I643" i="1"/>
  <c r="H643" i="1"/>
  <c r="G643" i="1"/>
  <c r="F643" i="1"/>
  <c r="O642" i="1"/>
  <c r="N642" i="1"/>
  <c r="M642" i="1"/>
  <c r="L642" i="1"/>
  <c r="K642" i="1"/>
  <c r="J642" i="1"/>
  <c r="I642" i="1"/>
  <c r="H642" i="1"/>
  <c r="G642" i="1"/>
  <c r="F642" i="1"/>
  <c r="O641" i="1"/>
  <c r="N641" i="1"/>
  <c r="M641" i="1"/>
  <c r="L641" i="1"/>
  <c r="K641" i="1"/>
  <c r="J641" i="1"/>
  <c r="I641" i="1"/>
  <c r="H641" i="1"/>
  <c r="G641" i="1"/>
  <c r="F641" i="1"/>
  <c r="O640" i="1"/>
  <c r="N640" i="1"/>
  <c r="M640" i="1"/>
  <c r="L640" i="1"/>
  <c r="K640" i="1"/>
  <c r="J640" i="1"/>
  <c r="I640" i="1"/>
  <c r="H640" i="1"/>
  <c r="G640" i="1"/>
  <c r="F640" i="1"/>
  <c r="O639" i="1"/>
  <c r="N639" i="1"/>
  <c r="M639" i="1"/>
  <c r="L639" i="1"/>
  <c r="K639" i="1"/>
  <c r="J639" i="1"/>
  <c r="I639" i="1"/>
  <c r="H639" i="1"/>
  <c r="G639" i="1"/>
  <c r="F639" i="1"/>
  <c r="O638" i="1"/>
  <c r="N638" i="1"/>
  <c r="M638" i="1"/>
  <c r="L638" i="1"/>
  <c r="K638" i="1"/>
  <c r="J638" i="1"/>
  <c r="I638" i="1"/>
  <c r="H638" i="1"/>
  <c r="G638" i="1"/>
  <c r="F638" i="1"/>
  <c r="O637" i="1"/>
  <c r="N637" i="1"/>
  <c r="M637" i="1"/>
  <c r="L637" i="1"/>
  <c r="K637" i="1"/>
  <c r="J637" i="1"/>
  <c r="I637" i="1"/>
  <c r="H637" i="1"/>
  <c r="G637" i="1"/>
  <c r="F637" i="1"/>
  <c r="O636" i="1"/>
  <c r="N636" i="1"/>
  <c r="M636" i="1"/>
  <c r="L636" i="1"/>
  <c r="K636" i="1"/>
  <c r="J636" i="1"/>
  <c r="I636" i="1"/>
  <c r="H636" i="1"/>
  <c r="G636" i="1"/>
  <c r="F636" i="1"/>
  <c r="O635" i="1"/>
  <c r="N635" i="1"/>
  <c r="M635" i="1"/>
  <c r="L635" i="1"/>
  <c r="K635" i="1"/>
  <c r="J635" i="1"/>
  <c r="I635" i="1"/>
  <c r="H635" i="1"/>
  <c r="G635" i="1"/>
  <c r="F635" i="1"/>
  <c r="O634" i="1"/>
  <c r="N634" i="1"/>
  <c r="M634" i="1"/>
  <c r="L634" i="1"/>
  <c r="K634" i="1"/>
  <c r="J634" i="1"/>
  <c r="I634" i="1"/>
  <c r="H634" i="1"/>
  <c r="G634" i="1"/>
  <c r="F634" i="1"/>
  <c r="O633" i="1"/>
  <c r="N633" i="1"/>
  <c r="M633" i="1"/>
  <c r="L633" i="1"/>
  <c r="K633" i="1"/>
  <c r="J633" i="1"/>
  <c r="I633" i="1"/>
  <c r="H633" i="1"/>
  <c r="G633" i="1"/>
  <c r="F633" i="1"/>
  <c r="O632" i="1"/>
  <c r="N632" i="1"/>
  <c r="M632" i="1"/>
  <c r="L632" i="1"/>
  <c r="K632" i="1"/>
  <c r="J632" i="1"/>
  <c r="I632" i="1"/>
  <c r="H632" i="1"/>
  <c r="G632" i="1"/>
  <c r="F632" i="1"/>
  <c r="O631" i="1"/>
  <c r="N631" i="1"/>
  <c r="M631" i="1"/>
  <c r="L631" i="1"/>
  <c r="K631" i="1"/>
  <c r="J631" i="1"/>
  <c r="I631" i="1"/>
  <c r="H631" i="1"/>
  <c r="G631" i="1"/>
  <c r="F631" i="1"/>
  <c r="O630" i="1"/>
  <c r="N630" i="1"/>
  <c r="M630" i="1"/>
  <c r="L630" i="1"/>
  <c r="K630" i="1"/>
  <c r="J630" i="1"/>
  <c r="I630" i="1"/>
  <c r="H630" i="1"/>
  <c r="G630" i="1"/>
  <c r="F630" i="1"/>
  <c r="O629" i="1"/>
  <c r="N629" i="1"/>
  <c r="M629" i="1"/>
  <c r="L629" i="1"/>
  <c r="K629" i="1"/>
  <c r="J629" i="1"/>
  <c r="I629" i="1"/>
  <c r="H629" i="1"/>
  <c r="G629" i="1"/>
  <c r="F629" i="1"/>
  <c r="O628" i="1"/>
  <c r="N628" i="1"/>
  <c r="M628" i="1"/>
  <c r="L628" i="1"/>
  <c r="K628" i="1"/>
  <c r="J628" i="1"/>
  <c r="I628" i="1"/>
  <c r="H628" i="1"/>
  <c r="G628" i="1"/>
  <c r="F628" i="1"/>
  <c r="O627" i="1"/>
  <c r="N627" i="1"/>
  <c r="M627" i="1"/>
  <c r="L627" i="1"/>
  <c r="K627" i="1"/>
  <c r="J627" i="1"/>
  <c r="I627" i="1"/>
  <c r="H627" i="1"/>
  <c r="G627" i="1"/>
  <c r="F627" i="1"/>
  <c r="O626" i="1"/>
  <c r="N626" i="1"/>
  <c r="M626" i="1"/>
  <c r="L626" i="1"/>
  <c r="K626" i="1"/>
  <c r="J626" i="1"/>
  <c r="I626" i="1"/>
  <c r="H626" i="1"/>
  <c r="G626" i="1"/>
  <c r="F626" i="1"/>
  <c r="O625" i="1"/>
  <c r="N625" i="1"/>
  <c r="M625" i="1"/>
  <c r="L625" i="1"/>
  <c r="K625" i="1"/>
  <c r="J625" i="1"/>
  <c r="I625" i="1"/>
  <c r="H625" i="1"/>
  <c r="G625" i="1"/>
  <c r="F625" i="1"/>
  <c r="O624" i="1"/>
  <c r="N624" i="1"/>
  <c r="M624" i="1"/>
  <c r="L624" i="1"/>
  <c r="K624" i="1"/>
  <c r="J624" i="1"/>
  <c r="I624" i="1"/>
  <c r="H624" i="1"/>
  <c r="G624" i="1"/>
  <c r="F624" i="1"/>
  <c r="O623" i="1"/>
  <c r="N623" i="1"/>
  <c r="M623" i="1"/>
  <c r="L623" i="1"/>
  <c r="K623" i="1"/>
  <c r="J623" i="1"/>
  <c r="I623" i="1"/>
  <c r="H623" i="1"/>
  <c r="G623" i="1"/>
  <c r="F623" i="1"/>
  <c r="O622" i="1"/>
  <c r="N622" i="1"/>
  <c r="M622" i="1"/>
  <c r="L622" i="1"/>
  <c r="K622" i="1"/>
  <c r="J622" i="1"/>
  <c r="I622" i="1"/>
  <c r="H622" i="1"/>
  <c r="G622" i="1"/>
  <c r="F622" i="1"/>
  <c r="O621" i="1"/>
  <c r="N621" i="1"/>
  <c r="M621" i="1"/>
  <c r="L621" i="1"/>
  <c r="K621" i="1"/>
  <c r="J621" i="1"/>
  <c r="I621" i="1"/>
  <c r="H621" i="1"/>
  <c r="G621" i="1"/>
  <c r="F621" i="1"/>
  <c r="O620" i="1"/>
  <c r="N620" i="1"/>
  <c r="M620" i="1"/>
  <c r="L620" i="1"/>
  <c r="K620" i="1"/>
  <c r="J620" i="1"/>
  <c r="I620" i="1"/>
  <c r="H620" i="1"/>
  <c r="G620" i="1"/>
  <c r="F620" i="1"/>
  <c r="O619" i="1"/>
  <c r="N619" i="1"/>
  <c r="M619" i="1"/>
  <c r="L619" i="1"/>
  <c r="K619" i="1"/>
  <c r="J619" i="1"/>
  <c r="I619" i="1"/>
  <c r="H619" i="1"/>
  <c r="G619" i="1"/>
  <c r="F619" i="1"/>
  <c r="O618" i="1"/>
  <c r="N618" i="1"/>
  <c r="M618" i="1"/>
  <c r="L618" i="1"/>
  <c r="K618" i="1"/>
  <c r="J618" i="1"/>
  <c r="I618" i="1"/>
  <c r="H618" i="1"/>
  <c r="G618" i="1"/>
  <c r="F618" i="1"/>
  <c r="O617" i="1"/>
  <c r="N617" i="1"/>
  <c r="M617" i="1"/>
  <c r="L617" i="1"/>
  <c r="K617" i="1"/>
  <c r="J617" i="1"/>
  <c r="I617" i="1"/>
  <c r="H617" i="1"/>
  <c r="G617" i="1"/>
  <c r="F617" i="1"/>
  <c r="O616" i="1"/>
  <c r="N616" i="1"/>
  <c r="M616" i="1"/>
  <c r="L616" i="1"/>
  <c r="K616" i="1"/>
  <c r="J616" i="1"/>
  <c r="I616" i="1"/>
  <c r="H616" i="1"/>
  <c r="G616" i="1"/>
  <c r="F616" i="1"/>
  <c r="O615" i="1"/>
  <c r="N615" i="1"/>
  <c r="M615" i="1"/>
  <c r="L615" i="1"/>
  <c r="K615" i="1"/>
  <c r="J615" i="1"/>
  <c r="I615" i="1"/>
  <c r="H615" i="1"/>
  <c r="G615" i="1"/>
  <c r="F615" i="1"/>
  <c r="O614" i="1"/>
  <c r="N614" i="1"/>
  <c r="M614" i="1"/>
  <c r="L614" i="1"/>
  <c r="K614" i="1"/>
  <c r="J614" i="1"/>
  <c r="I614" i="1"/>
  <c r="H614" i="1"/>
  <c r="G614" i="1"/>
  <c r="F614" i="1"/>
  <c r="O613" i="1"/>
  <c r="N613" i="1"/>
  <c r="M613" i="1"/>
  <c r="L613" i="1"/>
  <c r="K613" i="1"/>
  <c r="J613" i="1"/>
  <c r="I613" i="1"/>
  <c r="H613" i="1"/>
  <c r="G613" i="1"/>
  <c r="F613" i="1"/>
  <c r="O612" i="1"/>
  <c r="N612" i="1"/>
  <c r="M612" i="1"/>
  <c r="L612" i="1"/>
  <c r="K612" i="1"/>
  <c r="J612" i="1"/>
  <c r="I612" i="1"/>
  <c r="H612" i="1"/>
  <c r="G612" i="1"/>
  <c r="F612" i="1"/>
  <c r="O611" i="1"/>
  <c r="N611" i="1"/>
  <c r="M611" i="1"/>
  <c r="L611" i="1"/>
  <c r="K611" i="1"/>
  <c r="J611" i="1"/>
  <c r="I611" i="1"/>
  <c r="H611" i="1"/>
  <c r="G611" i="1"/>
  <c r="F611" i="1"/>
  <c r="O610" i="1"/>
  <c r="N610" i="1"/>
  <c r="M610" i="1"/>
  <c r="L610" i="1"/>
  <c r="K610" i="1"/>
  <c r="J610" i="1"/>
  <c r="I610" i="1"/>
  <c r="H610" i="1"/>
  <c r="G610" i="1"/>
  <c r="F610" i="1"/>
  <c r="O609" i="1"/>
  <c r="N609" i="1"/>
  <c r="M609" i="1"/>
  <c r="L609" i="1"/>
  <c r="K609" i="1"/>
  <c r="J609" i="1"/>
  <c r="I609" i="1"/>
  <c r="H609" i="1"/>
  <c r="G609" i="1"/>
  <c r="F609" i="1"/>
  <c r="O608" i="1"/>
  <c r="N608" i="1"/>
  <c r="M608" i="1"/>
  <c r="L608" i="1"/>
  <c r="K608" i="1"/>
  <c r="J608" i="1"/>
  <c r="I608" i="1"/>
  <c r="H608" i="1"/>
  <c r="G608" i="1"/>
  <c r="F608" i="1"/>
  <c r="O607" i="1"/>
  <c r="N607" i="1"/>
  <c r="M607" i="1"/>
  <c r="L607" i="1"/>
  <c r="K607" i="1"/>
  <c r="J607" i="1"/>
  <c r="I607" i="1"/>
  <c r="H607" i="1"/>
  <c r="G607" i="1"/>
  <c r="F607" i="1"/>
  <c r="O606" i="1"/>
  <c r="N606" i="1"/>
  <c r="M606" i="1"/>
  <c r="L606" i="1"/>
  <c r="K606" i="1"/>
  <c r="J606" i="1"/>
  <c r="I606" i="1"/>
  <c r="H606" i="1"/>
  <c r="G606" i="1"/>
  <c r="F606" i="1"/>
  <c r="O605" i="1"/>
  <c r="N605" i="1"/>
  <c r="M605" i="1"/>
  <c r="L605" i="1"/>
  <c r="K605" i="1"/>
  <c r="J605" i="1"/>
  <c r="I605" i="1"/>
  <c r="H605" i="1"/>
  <c r="G605" i="1"/>
  <c r="F605" i="1"/>
  <c r="O604" i="1"/>
  <c r="N604" i="1"/>
  <c r="M604" i="1"/>
  <c r="L604" i="1"/>
  <c r="K604" i="1"/>
  <c r="J604" i="1"/>
  <c r="I604" i="1"/>
  <c r="H604" i="1"/>
  <c r="G604" i="1"/>
  <c r="F604" i="1"/>
  <c r="O603" i="1"/>
  <c r="N603" i="1"/>
  <c r="M603" i="1"/>
  <c r="L603" i="1"/>
  <c r="K603" i="1"/>
  <c r="J603" i="1"/>
  <c r="I603" i="1"/>
  <c r="H603" i="1"/>
  <c r="G603" i="1"/>
  <c r="F603" i="1"/>
  <c r="O602" i="1"/>
  <c r="N602" i="1"/>
  <c r="M602" i="1"/>
  <c r="L602" i="1"/>
  <c r="K602" i="1"/>
  <c r="J602" i="1"/>
  <c r="I602" i="1"/>
  <c r="H602" i="1"/>
  <c r="G602" i="1"/>
  <c r="F602" i="1"/>
  <c r="O601" i="1"/>
  <c r="N601" i="1"/>
  <c r="M601" i="1"/>
  <c r="L601" i="1"/>
  <c r="K601" i="1"/>
  <c r="J601" i="1"/>
  <c r="I601" i="1"/>
  <c r="H601" i="1"/>
  <c r="G601" i="1"/>
  <c r="F601" i="1"/>
  <c r="O600" i="1"/>
  <c r="N600" i="1"/>
  <c r="M600" i="1"/>
  <c r="L600" i="1"/>
  <c r="K600" i="1"/>
  <c r="J600" i="1"/>
  <c r="I600" i="1"/>
  <c r="H600" i="1"/>
  <c r="G600" i="1"/>
  <c r="F600" i="1"/>
  <c r="O599" i="1"/>
  <c r="N599" i="1"/>
  <c r="M599" i="1"/>
  <c r="L599" i="1"/>
  <c r="K599" i="1"/>
  <c r="J599" i="1"/>
  <c r="I599" i="1"/>
  <c r="H599" i="1"/>
  <c r="G599" i="1"/>
  <c r="F599" i="1"/>
  <c r="O598" i="1"/>
  <c r="N598" i="1"/>
  <c r="M598" i="1"/>
  <c r="L598" i="1"/>
  <c r="K598" i="1"/>
  <c r="J598" i="1"/>
  <c r="I598" i="1"/>
  <c r="H598" i="1"/>
  <c r="G598" i="1"/>
  <c r="F598" i="1"/>
  <c r="O597" i="1"/>
  <c r="N597" i="1"/>
  <c r="M597" i="1"/>
  <c r="L597" i="1"/>
  <c r="K597" i="1"/>
  <c r="J597" i="1"/>
  <c r="I597" i="1"/>
  <c r="H597" i="1"/>
  <c r="G597" i="1"/>
  <c r="F597" i="1"/>
  <c r="O596" i="1"/>
  <c r="N596" i="1"/>
  <c r="M596" i="1"/>
  <c r="L596" i="1"/>
  <c r="K596" i="1"/>
  <c r="J596" i="1"/>
  <c r="I596" i="1"/>
  <c r="H596" i="1"/>
  <c r="G596" i="1"/>
  <c r="F596" i="1"/>
  <c r="O595" i="1"/>
  <c r="N595" i="1"/>
  <c r="M595" i="1"/>
  <c r="L595" i="1"/>
  <c r="K595" i="1"/>
  <c r="J595" i="1"/>
  <c r="I595" i="1"/>
  <c r="H595" i="1"/>
  <c r="G595" i="1"/>
  <c r="F595" i="1"/>
  <c r="O594" i="1"/>
  <c r="N594" i="1"/>
  <c r="M594" i="1"/>
  <c r="L594" i="1"/>
  <c r="K594" i="1"/>
  <c r="J594" i="1"/>
  <c r="I594" i="1"/>
  <c r="H594" i="1"/>
  <c r="G594" i="1"/>
  <c r="F594" i="1"/>
  <c r="O593" i="1"/>
  <c r="N593" i="1"/>
  <c r="M593" i="1"/>
  <c r="L593" i="1"/>
  <c r="K593" i="1"/>
  <c r="J593" i="1"/>
  <c r="I593" i="1"/>
  <c r="H593" i="1"/>
  <c r="G593" i="1"/>
  <c r="F593" i="1"/>
  <c r="O592" i="1"/>
  <c r="N592" i="1"/>
  <c r="M592" i="1"/>
  <c r="L592" i="1"/>
  <c r="K592" i="1"/>
  <c r="J592" i="1"/>
  <c r="I592" i="1"/>
  <c r="H592" i="1"/>
  <c r="G592" i="1"/>
  <c r="F592" i="1"/>
  <c r="O591" i="1"/>
  <c r="N591" i="1"/>
  <c r="M591" i="1"/>
  <c r="L591" i="1"/>
  <c r="K591" i="1"/>
  <c r="J591" i="1"/>
  <c r="I591" i="1"/>
  <c r="H591" i="1"/>
  <c r="G591" i="1"/>
  <c r="F591" i="1"/>
  <c r="O590" i="1"/>
  <c r="N590" i="1"/>
  <c r="M590" i="1"/>
  <c r="L590" i="1"/>
  <c r="K590" i="1"/>
  <c r="J590" i="1"/>
  <c r="I590" i="1"/>
  <c r="H590" i="1"/>
  <c r="G590" i="1"/>
  <c r="F590" i="1"/>
  <c r="O589" i="1"/>
  <c r="N589" i="1"/>
  <c r="M589" i="1"/>
  <c r="L589" i="1"/>
  <c r="K589" i="1"/>
  <c r="J589" i="1"/>
  <c r="I589" i="1"/>
  <c r="H589" i="1"/>
  <c r="G589" i="1"/>
  <c r="F589" i="1"/>
  <c r="O588" i="1"/>
  <c r="N588" i="1"/>
  <c r="M588" i="1"/>
  <c r="L588" i="1"/>
  <c r="K588" i="1"/>
  <c r="J588" i="1"/>
  <c r="I588" i="1"/>
  <c r="H588" i="1"/>
  <c r="G588" i="1"/>
  <c r="F588" i="1"/>
  <c r="O587" i="1"/>
  <c r="N587" i="1"/>
  <c r="M587" i="1"/>
  <c r="L587" i="1"/>
  <c r="K587" i="1"/>
  <c r="J587" i="1"/>
  <c r="I587" i="1"/>
  <c r="H587" i="1"/>
  <c r="G587" i="1"/>
  <c r="F587" i="1"/>
  <c r="O586" i="1"/>
  <c r="N586" i="1"/>
  <c r="M586" i="1"/>
  <c r="L586" i="1"/>
  <c r="K586" i="1"/>
  <c r="J586" i="1"/>
  <c r="I586" i="1"/>
  <c r="H586" i="1"/>
  <c r="G586" i="1"/>
  <c r="F586" i="1"/>
  <c r="O585" i="1"/>
  <c r="N585" i="1"/>
  <c r="M585" i="1"/>
  <c r="L585" i="1"/>
  <c r="K585" i="1"/>
  <c r="J585" i="1"/>
  <c r="I585" i="1"/>
  <c r="H585" i="1"/>
  <c r="G585" i="1"/>
  <c r="F585" i="1"/>
  <c r="O584" i="1"/>
  <c r="N584" i="1"/>
  <c r="M584" i="1"/>
  <c r="L584" i="1"/>
  <c r="K584" i="1"/>
  <c r="J584" i="1"/>
  <c r="I584" i="1"/>
  <c r="H584" i="1"/>
  <c r="G584" i="1"/>
  <c r="F584" i="1"/>
  <c r="O583" i="1"/>
  <c r="N583" i="1"/>
  <c r="M583" i="1"/>
  <c r="L583" i="1"/>
  <c r="K583" i="1"/>
  <c r="J583" i="1"/>
  <c r="I583" i="1"/>
  <c r="H583" i="1"/>
  <c r="G583" i="1"/>
  <c r="F583" i="1"/>
  <c r="O582" i="1"/>
  <c r="N582" i="1"/>
  <c r="M582" i="1"/>
  <c r="L582" i="1"/>
  <c r="K582" i="1"/>
  <c r="J582" i="1"/>
  <c r="I582" i="1"/>
  <c r="H582" i="1"/>
  <c r="G582" i="1"/>
  <c r="F582" i="1"/>
  <c r="O581" i="1"/>
  <c r="N581" i="1"/>
  <c r="M581" i="1"/>
  <c r="L581" i="1"/>
  <c r="K581" i="1"/>
  <c r="J581" i="1"/>
  <c r="I581" i="1"/>
  <c r="H581" i="1"/>
  <c r="G581" i="1"/>
  <c r="F581" i="1"/>
  <c r="O580" i="1"/>
  <c r="N580" i="1"/>
  <c r="M580" i="1"/>
  <c r="L580" i="1"/>
  <c r="K580" i="1"/>
  <c r="J580" i="1"/>
  <c r="I580" i="1"/>
  <c r="H580" i="1"/>
  <c r="G580" i="1"/>
  <c r="F580" i="1"/>
  <c r="O579" i="1"/>
  <c r="N579" i="1"/>
  <c r="M579" i="1"/>
  <c r="L579" i="1"/>
  <c r="K579" i="1"/>
  <c r="J579" i="1"/>
  <c r="I579" i="1"/>
  <c r="H579" i="1"/>
  <c r="G579" i="1"/>
  <c r="F579" i="1"/>
  <c r="O578" i="1"/>
  <c r="N578" i="1"/>
  <c r="M578" i="1"/>
  <c r="L578" i="1"/>
  <c r="K578" i="1"/>
  <c r="J578" i="1"/>
  <c r="I578" i="1"/>
  <c r="H578" i="1"/>
  <c r="G578" i="1"/>
  <c r="F578" i="1"/>
  <c r="O577" i="1"/>
  <c r="N577" i="1"/>
  <c r="M577" i="1"/>
  <c r="L577" i="1"/>
  <c r="K577" i="1"/>
  <c r="J577" i="1"/>
  <c r="I577" i="1"/>
  <c r="H577" i="1"/>
  <c r="G577" i="1"/>
  <c r="F577" i="1"/>
  <c r="O576" i="1"/>
  <c r="N576" i="1"/>
  <c r="M576" i="1"/>
  <c r="L576" i="1"/>
  <c r="K576" i="1"/>
  <c r="J576" i="1"/>
  <c r="I576" i="1"/>
  <c r="H576" i="1"/>
  <c r="G576" i="1"/>
  <c r="F576" i="1"/>
  <c r="O575" i="1"/>
  <c r="N575" i="1"/>
  <c r="M575" i="1"/>
  <c r="L575" i="1"/>
  <c r="K575" i="1"/>
  <c r="J575" i="1"/>
  <c r="I575" i="1"/>
  <c r="H575" i="1"/>
  <c r="G575" i="1"/>
  <c r="F575" i="1"/>
  <c r="O574" i="1"/>
  <c r="N574" i="1"/>
  <c r="M574" i="1"/>
  <c r="L574" i="1"/>
  <c r="K574" i="1"/>
  <c r="J574" i="1"/>
  <c r="I574" i="1"/>
  <c r="H574" i="1"/>
  <c r="G574" i="1"/>
  <c r="F574" i="1"/>
  <c r="O573" i="1"/>
  <c r="N573" i="1"/>
  <c r="M573" i="1"/>
  <c r="L573" i="1"/>
  <c r="K573" i="1"/>
  <c r="J573" i="1"/>
  <c r="I573" i="1"/>
  <c r="H573" i="1"/>
  <c r="G573" i="1"/>
  <c r="F573" i="1"/>
  <c r="O572" i="1"/>
  <c r="N572" i="1"/>
  <c r="M572" i="1"/>
  <c r="L572" i="1"/>
  <c r="K572" i="1"/>
  <c r="J572" i="1"/>
  <c r="I572" i="1"/>
  <c r="H572" i="1"/>
  <c r="G572" i="1"/>
  <c r="F572" i="1"/>
  <c r="O571" i="1"/>
  <c r="N571" i="1"/>
  <c r="M571" i="1"/>
  <c r="L571" i="1"/>
  <c r="K571" i="1"/>
  <c r="J571" i="1"/>
  <c r="I571" i="1"/>
  <c r="H571" i="1"/>
  <c r="G571" i="1"/>
  <c r="F571" i="1"/>
  <c r="O570" i="1"/>
  <c r="N570" i="1"/>
  <c r="M570" i="1"/>
  <c r="L570" i="1"/>
  <c r="K570" i="1"/>
  <c r="J570" i="1"/>
  <c r="I570" i="1"/>
  <c r="H570" i="1"/>
  <c r="G570" i="1"/>
  <c r="F570" i="1"/>
  <c r="O569" i="1"/>
  <c r="N569" i="1"/>
  <c r="M569" i="1"/>
  <c r="L569" i="1"/>
  <c r="K569" i="1"/>
  <c r="J569" i="1"/>
  <c r="I569" i="1"/>
  <c r="H569" i="1"/>
  <c r="G569" i="1"/>
  <c r="F569" i="1"/>
  <c r="O568" i="1"/>
  <c r="N568" i="1"/>
  <c r="M568" i="1"/>
  <c r="L568" i="1"/>
  <c r="K568" i="1"/>
  <c r="J568" i="1"/>
  <c r="I568" i="1"/>
  <c r="H568" i="1"/>
  <c r="G568" i="1"/>
  <c r="F568" i="1"/>
  <c r="O567" i="1"/>
  <c r="N567" i="1"/>
  <c r="M567" i="1"/>
  <c r="L567" i="1"/>
  <c r="K567" i="1"/>
  <c r="J567" i="1"/>
  <c r="I567" i="1"/>
  <c r="H567" i="1"/>
  <c r="G567" i="1"/>
  <c r="F567" i="1"/>
  <c r="O566" i="1"/>
  <c r="N566" i="1"/>
  <c r="M566" i="1"/>
  <c r="L566" i="1"/>
  <c r="K566" i="1"/>
  <c r="J566" i="1"/>
  <c r="I566" i="1"/>
  <c r="H566" i="1"/>
  <c r="G566" i="1"/>
  <c r="F566" i="1"/>
  <c r="O565" i="1"/>
  <c r="N565" i="1"/>
  <c r="M565" i="1"/>
  <c r="L565" i="1"/>
  <c r="K565" i="1"/>
  <c r="J565" i="1"/>
  <c r="I565" i="1"/>
  <c r="H565" i="1"/>
  <c r="G565" i="1"/>
  <c r="F565" i="1"/>
  <c r="O564" i="1"/>
  <c r="N564" i="1"/>
  <c r="M564" i="1"/>
  <c r="L564" i="1"/>
  <c r="K564" i="1"/>
  <c r="J564" i="1"/>
  <c r="I564" i="1"/>
  <c r="H564" i="1"/>
  <c r="G564" i="1"/>
  <c r="F564" i="1"/>
  <c r="O563" i="1"/>
  <c r="N563" i="1"/>
  <c r="M563" i="1"/>
  <c r="L563" i="1"/>
  <c r="K563" i="1"/>
  <c r="J563" i="1"/>
  <c r="I563" i="1"/>
  <c r="H563" i="1"/>
  <c r="G563" i="1"/>
  <c r="F563" i="1"/>
  <c r="O562" i="1"/>
  <c r="N562" i="1"/>
  <c r="M562" i="1"/>
  <c r="L562" i="1"/>
  <c r="K562" i="1"/>
  <c r="J562" i="1"/>
  <c r="I562" i="1"/>
  <c r="H562" i="1"/>
  <c r="G562" i="1"/>
  <c r="F562" i="1"/>
  <c r="O561" i="1"/>
  <c r="N561" i="1"/>
  <c r="M561" i="1"/>
  <c r="L561" i="1"/>
  <c r="K561" i="1"/>
  <c r="J561" i="1"/>
  <c r="I561" i="1"/>
  <c r="H561" i="1"/>
  <c r="G561" i="1"/>
  <c r="F561" i="1"/>
  <c r="O560" i="1"/>
  <c r="N560" i="1"/>
  <c r="M560" i="1"/>
  <c r="L560" i="1"/>
  <c r="K560" i="1"/>
  <c r="J560" i="1"/>
  <c r="I560" i="1"/>
  <c r="H560" i="1"/>
  <c r="G560" i="1"/>
  <c r="F560" i="1"/>
  <c r="O559" i="1"/>
  <c r="N559" i="1"/>
  <c r="M559" i="1"/>
  <c r="L559" i="1"/>
  <c r="K559" i="1"/>
  <c r="J559" i="1"/>
  <c r="I559" i="1"/>
  <c r="H559" i="1"/>
  <c r="G559" i="1"/>
  <c r="F559" i="1"/>
  <c r="O558" i="1"/>
  <c r="N558" i="1"/>
  <c r="M558" i="1"/>
  <c r="L558" i="1"/>
  <c r="K558" i="1"/>
  <c r="J558" i="1"/>
  <c r="I558" i="1"/>
  <c r="H558" i="1"/>
  <c r="G558" i="1"/>
  <c r="F558" i="1"/>
  <c r="O557" i="1"/>
  <c r="N557" i="1"/>
  <c r="M557" i="1"/>
  <c r="L557" i="1"/>
  <c r="K557" i="1"/>
  <c r="J557" i="1"/>
  <c r="I557" i="1"/>
  <c r="H557" i="1"/>
  <c r="G557" i="1"/>
  <c r="F557" i="1"/>
  <c r="O556" i="1"/>
  <c r="N556" i="1"/>
  <c r="M556" i="1"/>
  <c r="L556" i="1"/>
  <c r="K556" i="1"/>
  <c r="J556" i="1"/>
  <c r="I556" i="1"/>
  <c r="H556" i="1"/>
  <c r="G556" i="1"/>
  <c r="F556" i="1"/>
  <c r="O555" i="1"/>
  <c r="N555" i="1"/>
  <c r="M555" i="1"/>
  <c r="L555" i="1"/>
  <c r="K555" i="1"/>
  <c r="J555" i="1"/>
  <c r="I555" i="1"/>
  <c r="H555" i="1"/>
  <c r="G555" i="1"/>
  <c r="F555" i="1"/>
  <c r="O554" i="1"/>
  <c r="N554" i="1"/>
  <c r="M554" i="1"/>
  <c r="L554" i="1"/>
  <c r="K554" i="1"/>
  <c r="J554" i="1"/>
  <c r="I554" i="1"/>
  <c r="H554" i="1"/>
  <c r="G554" i="1"/>
  <c r="F554" i="1"/>
  <c r="O553" i="1"/>
  <c r="N553" i="1"/>
  <c r="M553" i="1"/>
  <c r="L553" i="1"/>
  <c r="K553" i="1"/>
  <c r="J553" i="1"/>
  <c r="I553" i="1"/>
  <c r="H553" i="1"/>
  <c r="G553" i="1"/>
  <c r="F553" i="1"/>
  <c r="O552" i="1"/>
  <c r="N552" i="1"/>
  <c r="M552" i="1"/>
  <c r="L552" i="1"/>
  <c r="K552" i="1"/>
  <c r="J552" i="1"/>
  <c r="I552" i="1"/>
  <c r="H552" i="1"/>
  <c r="G552" i="1"/>
  <c r="F552" i="1"/>
  <c r="O551" i="1"/>
  <c r="N551" i="1"/>
  <c r="M551" i="1"/>
  <c r="L551" i="1"/>
  <c r="K551" i="1"/>
  <c r="J551" i="1"/>
  <c r="I551" i="1"/>
  <c r="H551" i="1"/>
  <c r="G551" i="1"/>
  <c r="F551" i="1"/>
  <c r="O550" i="1"/>
  <c r="N550" i="1"/>
  <c r="M550" i="1"/>
  <c r="L550" i="1"/>
  <c r="K550" i="1"/>
  <c r="J550" i="1"/>
  <c r="I550" i="1"/>
  <c r="H550" i="1"/>
  <c r="G550" i="1"/>
  <c r="F550" i="1"/>
  <c r="O549" i="1"/>
  <c r="N549" i="1"/>
  <c r="M549" i="1"/>
  <c r="L549" i="1"/>
  <c r="K549" i="1"/>
  <c r="J549" i="1"/>
  <c r="I549" i="1"/>
  <c r="H549" i="1"/>
  <c r="G549" i="1"/>
  <c r="F549" i="1"/>
  <c r="O548" i="1"/>
  <c r="N548" i="1"/>
  <c r="M548" i="1"/>
  <c r="L548" i="1"/>
  <c r="K548" i="1"/>
  <c r="J548" i="1"/>
  <c r="I548" i="1"/>
  <c r="H548" i="1"/>
  <c r="G548" i="1"/>
  <c r="F548" i="1"/>
  <c r="O547" i="1"/>
  <c r="N547" i="1"/>
  <c r="M547" i="1"/>
  <c r="L547" i="1"/>
  <c r="K547" i="1"/>
  <c r="J547" i="1"/>
  <c r="I547" i="1"/>
  <c r="H547" i="1"/>
  <c r="G547" i="1"/>
  <c r="F547" i="1"/>
  <c r="O546" i="1"/>
  <c r="N546" i="1"/>
  <c r="M546" i="1"/>
  <c r="L546" i="1"/>
  <c r="K546" i="1"/>
  <c r="J546" i="1"/>
  <c r="I546" i="1"/>
  <c r="H546" i="1"/>
  <c r="G546" i="1"/>
  <c r="F546" i="1"/>
  <c r="O545" i="1"/>
  <c r="N545" i="1"/>
  <c r="M545" i="1"/>
  <c r="L545" i="1"/>
  <c r="K545" i="1"/>
  <c r="J545" i="1"/>
  <c r="I545" i="1"/>
  <c r="H545" i="1"/>
  <c r="G545" i="1"/>
  <c r="F545" i="1"/>
  <c r="O544" i="1"/>
  <c r="N544" i="1"/>
  <c r="M544" i="1"/>
  <c r="L544" i="1"/>
  <c r="K544" i="1"/>
  <c r="J544" i="1"/>
  <c r="I544" i="1"/>
  <c r="H544" i="1"/>
  <c r="G544" i="1"/>
  <c r="F544" i="1"/>
  <c r="O543" i="1"/>
  <c r="N543" i="1"/>
  <c r="M543" i="1"/>
  <c r="L543" i="1"/>
  <c r="K543" i="1"/>
  <c r="J543" i="1"/>
  <c r="I543" i="1"/>
  <c r="H543" i="1"/>
  <c r="G543" i="1"/>
  <c r="F543" i="1"/>
  <c r="O542" i="1"/>
  <c r="N542" i="1"/>
  <c r="M542" i="1"/>
  <c r="L542" i="1"/>
  <c r="K542" i="1"/>
  <c r="J542" i="1"/>
  <c r="I542" i="1"/>
  <c r="H542" i="1"/>
  <c r="G542" i="1"/>
  <c r="F542" i="1"/>
  <c r="O541" i="1"/>
  <c r="N541" i="1"/>
  <c r="M541" i="1"/>
  <c r="L541" i="1"/>
  <c r="K541" i="1"/>
  <c r="J541" i="1"/>
  <c r="I541" i="1"/>
  <c r="H541" i="1"/>
  <c r="G541" i="1"/>
  <c r="F541" i="1"/>
  <c r="O540" i="1"/>
  <c r="N540" i="1"/>
  <c r="M540" i="1"/>
  <c r="L540" i="1"/>
  <c r="K540" i="1"/>
  <c r="J540" i="1"/>
  <c r="I540" i="1"/>
  <c r="H540" i="1"/>
  <c r="G540" i="1"/>
  <c r="F540" i="1"/>
  <c r="O539" i="1"/>
  <c r="N539" i="1"/>
  <c r="M539" i="1"/>
  <c r="L539" i="1"/>
  <c r="K539" i="1"/>
  <c r="J539" i="1"/>
  <c r="I539" i="1"/>
  <c r="H539" i="1"/>
  <c r="G539" i="1"/>
  <c r="F539" i="1"/>
  <c r="O538" i="1"/>
  <c r="N538" i="1"/>
  <c r="M538" i="1"/>
  <c r="L538" i="1"/>
  <c r="K538" i="1"/>
  <c r="J538" i="1"/>
  <c r="I538" i="1"/>
  <c r="H538" i="1"/>
  <c r="G538" i="1"/>
  <c r="F538" i="1"/>
  <c r="O537" i="1"/>
  <c r="N537" i="1"/>
  <c r="M537" i="1"/>
  <c r="L537" i="1"/>
  <c r="K537" i="1"/>
  <c r="J537" i="1"/>
  <c r="I537" i="1"/>
  <c r="H537" i="1"/>
  <c r="G537" i="1"/>
  <c r="F537" i="1"/>
  <c r="O536" i="1"/>
  <c r="N536" i="1"/>
  <c r="M536" i="1"/>
  <c r="L536" i="1"/>
  <c r="K536" i="1"/>
  <c r="J536" i="1"/>
  <c r="I536" i="1"/>
  <c r="H536" i="1"/>
  <c r="G536" i="1"/>
  <c r="F536" i="1"/>
  <c r="O535" i="1"/>
  <c r="N535" i="1"/>
  <c r="M535" i="1"/>
  <c r="L535" i="1"/>
  <c r="K535" i="1"/>
  <c r="J535" i="1"/>
  <c r="I535" i="1"/>
  <c r="H535" i="1"/>
  <c r="G535" i="1"/>
  <c r="F535" i="1"/>
  <c r="O534" i="1"/>
  <c r="N534" i="1"/>
  <c r="M534" i="1"/>
  <c r="L534" i="1"/>
  <c r="K534" i="1"/>
  <c r="J534" i="1"/>
  <c r="I534" i="1"/>
  <c r="H534" i="1"/>
  <c r="G534" i="1"/>
  <c r="F534" i="1"/>
  <c r="O533" i="1"/>
  <c r="N533" i="1"/>
  <c r="M533" i="1"/>
  <c r="L533" i="1"/>
  <c r="K533" i="1"/>
  <c r="J533" i="1"/>
  <c r="I533" i="1"/>
  <c r="H533" i="1"/>
  <c r="G533" i="1"/>
  <c r="F533" i="1"/>
  <c r="O532" i="1"/>
  <c r="N532" i="1"/>
  <c r="M532" i="1"/>
  <c r="L532" i="1"/>
  <c r="K532" i="1"/>
  <c r="J532" i="1"/>
  <c r="I532" i="1"/>
  <c r="H532" i="1"/>
  <c r="G532" i="1"/>
  <c r="F532" i="1"/>
  <c r="O531" i="1"/>
  <c r="N531" i="1"/>
  <c r="M531" i="1"/>
  <c r="L531" i="1"/>
  <c r="K531" i="1"/>
  <c r="J531" i="1"/>
  <c r="I531" i="1"/>
  <c r="H531" i="1"/>
  <c r="G531" i="1"/>
  <c r="F531" i="1"/>
  <c r="O530" i="1"/>
  <c r="N530" i="1"/>
  <c r="M530" i="1"/>
  <c r="L530" i="1"/>
  <c r="K530" i="1"/>
  <c r="J530" i="1"/>
  <c r="I530" i="1"/>
  <c r="H530" i="1"/>
  <c r="G530" i="1"/>
  <c r="F530" i="1"/>
  <c r="O529" i="1"/>
  <c r="N529" i="1"/>
  <c r="M529" i="1"/>
  <c r="L529" i="1"/>
  <c r="K529" i="1"/>
  <c r="J529" i="1"/>
  <c r="I529" i="1"/>
  <c r="H529" i="1"/>
  <c r="G529" i="1"/>
  <c r="F529" i="1"/>
  <c r="O528" i="1"/>
  <c r="N528" i="1"/>
  <c r="M528" i="1"/>
  <c r="L528" i="1"/>
  <c r="K528" i="1"/>
  <c r="J528" i="1"/>
  <c r="I528" i="1"/>
  <c r="H528" i="1"/>
  <c r="G528" i="1"/>
  <c r="F528" i="1"/>
  <c r="O527" i="1"/>
  <c r="N527" i="1"/>
  <c r="M527" i="1"/>
  <c r="L527" i="1"/>
  <c r="K527" i="1"/>
  <c r="J527" i="1"/>
  <c r="I527" i="1"/>
  <c r="H527" i="1"/>
  <c r="G527" i="1"/>
  <c r="F527" i="1"/>
  <c r="O526" i="1"/>
  <c r="N526" i="1"/>
  <c r="M526" i="1"/>
  <c r="L526" i="1"/>
  <c r="K526" i="1"/>
  <c r="J526" i="1"/>
  <c r="I526" i="1"/>
  <c r="H526" i="1"/>
  <c r="G526" i="1"/>
  <c r="F526" i="1"/>
  <c r="O525" i="1"/>
  <c r="N525" i="1"/>
  <c r="M525" i="1"/>
  <c r="L525" i="1"/>
  <c r="K525" i="1"/>
  <c r="J525" i="1"/>
  <c r="I525" i="1"/>
  <c r="H525" i="1"/>
  <c r="G525" i="1"/>
  <c r="F525" i="1"/>
  <c r="O524" i="1"/>
  <c r="N524" i="1"/>
  <c r="M524" i="1"/>
  <c r="L524" i="1"/>
  <c r="K524" i="1"/>
  <c r="J524" i="1"/>
  <c r="I524" i="1"/>
  <c r="H524" i="1"/>
  <c r="G524" i="1"/>
  <c r="F524" i="1"/>
  <c r="O523" i="1"/>
  <c r="N523" i="1"/>
  <c r="M523" i="1"/>
  <c r="L523" i="1"/>
  <c r="K523" i="1"/>
  <c r="J523" i="1"/>
  <c r="I523" i="1"/>
  <c r="H523" i="1"/>
  <c r="G523" i="1"/>
  <c r="F523" i="1"/>
  <c r="O522" i="1"/>
  <c r="N522" i="1"/>
  <c r="M522" i="1"/>
  <c r="L522" i="1"/>
  <c r="K522" i="1"/>
  <c r="J522" i="1"/>
  <c r="I522" i="1"/>
  <c r="H522" i="1"/>
  <c r="G522" i="1"/>
  <c r="F522" i="1"/>
  <c r="O521" i="1"/>
  <c r="N521" i="1"/>
  <c r="M521" i="1"/>
  <c r="L521" i="1"/>
  <c r="K521" i="1"/>
  <c r="J521" i="1"/>
  <c r="I521" i="1"/>
  <c r="H521" i="1"/>
  <c r="G521" i="1"/>
  <c r="F521" i="1"/>
  <c r="O520" i="1"/>
  <c r="N520" i="1"/>
  <c r="M520" i="1"/>
  <c r="L520" i="1"/>
  <c r="K520" i="1"/>
  <c r="J520" i="1"/>
  <c r="I520" i="1"/>
  <c r="H520" i="1"/>
  <c r="G520" i="1"/>
  <c r="F520" i="1"/>
  <c r="O519" i="1"/>
  <c r="N519" i="1"/>
  <c r="M519" i="1"/>
  <c r="L519" i="1"/>
  <c r="K519" i="1"/>
  <c r="J519" i="1"/>
  <c r="I519" i="1"/>
  <c r="H519" i="1"/>
  <c r="G519" i="1"/>
  <c r="F519" i="1"/>
  <c r="O518" i="1"/>
  <c r="N518" i="1"/>
  <c r="M518" i="1"/>
  <c r="L518" i="1"/>
  <c r="K518" i="1"/>
  <c r="J518" i="1"/>
  <c r="I518" i="1"/>
  <c r="H518" i="1"/>
  <c r="G518" i="1"/>
  <c r="F518" i="1"/>
  <c r="O517" i="1"/>
  <c r="N517" i="1"/>
  <c r="M517" i="1"/>
  <c r="L517" i="1"/>
  <c r="K517" i="1"/>
  <c r="J517" i="1"/>
  <c r="I517" i="1"/>
  <c r="H517" i="1"/>
  <c r="G517" i="1"/>
  <c r="F517" i="1"/>
  <c r="O516" i="1"/>
  <c r="N516" i="1"/>
  <c r="M516" i="1"/>
  <c r="L516" i="1"/>
  <c r="K516" i="1"/>
  <c r="J516" i="1"/>
  <c r="I516" i="1"/>
  <c r="H516" i="1"/>
  <c r="G516" i="1"/>
  <c r="F516" i="1"/>
  <c r="O515" i="1"/>
  <c r="N515" i="1"/>
  <c r="M515" i="1"/>
  <c r="L515" i="1"/>
  <c r="K515" i="1"/>
  <c r="J515" i="1"/>
  <c r="I515" i="1"/>
  <c r="H515" i="1"/>
  <c r="G515" i="1"/>
  <c r="F515" i="1"/>
  <c r="O514" i="1"/>
  <c r="N514" i="1"/>
  <c r="M514" i="1"/>
  <c r="L514" i="1"/>
  <c r="K514" i="1"/>
  <c r="J514" i="1"/>
  <c r="I514" i="1"/>
  <c r="H514" i="1"/>
  <c r="G514" i="1"/>
  <c r="F514" i="1"/>
  <c r="O513" i="1"/>
  <c r="N513" i="1"/>
  <c r="M513" i="1"/>
  <c r="L513" i="1"/>
  <c r="K513" i="1"/>
  <c r="J513" i="1"/>
  <c r="I513" i="1"/>
  <c r="H513" i="1"/>
  <c r="G513" i="1"/>
  <c r="F513" i="1"/>
  <c r="O512" i="1"/>
  <c r="N512" i="1"/>
  <c r="M512" i="1"/>
  <c r="L512" i="1"/>
  <c r="K512" i="1"/>
  <c r="J512" i="1"/>
  <c r="I512" i="1"/>
  <c r="H512" i="1"/>
  <c r="G512" i="1"/>
  <c r="F512" i="1"/>
  <c r="O511" i="1"/>
  <c r="N511" i="1"/>
  <c r="M511" i="1"/>
  <c r="L511" i="1"/>
  <c r="K511" i="1"/>
  <c r="J511" i="1"/>
  <c r="I511" i="1"/>
  <c r="H511" i="1"/>
  <c r="G511" i="1"/>
  <c r="F511" i="1"/>
  <c r="O510" i="1"/>
  <c r="N510" i="1"/>
  <c r="M510" i="1"/>
  <c r="L510" i="1"/>
  <c r="K510" i="1"/>
  <c r="J510" i="1"/>
  <c r="I510" i="1"/>
  <c r="H510" i="1"/>
  <c r="G510" i="1"/>
  <c r="F510" i="1"/>
  <c r="O509" i="1"/>
  <c r="N509" i="1"/>
  <c r="M509" i="1"/>
  <c r="L509" i="1"/>
  <c r="K509" i="1"/>
  <c r="J509" i="1"/>
  <c r="I509" i="1"/>
  <c r="H509" i="1"/>
  <c r="G509" i="1"/>
  <c r="F509" i="1"/>
  <c r="O508" i="1"/>
  <c r="N508" i="1"/>
  <c r="M508" i="1"/>
  <c r="L508" i="1"/>
  <c r="K508" i="1"/>
  <c r="J508" i="1"/>
  <c r="I508" i="1"/>
  <c r="H508" i="1"/>
  <c r="G508" i="1"/>
  <c r="F508" i="1"/>
  <c r="O507" i="1"/>
  <c r="N507" i="1"/>
  <c r="M507" i="1"/>
  <c r="L507" i="1"/>
  <c r="K507" i="1"/>
  <c r="J507" i="1"/>
  <c r="I507" i="1"/>
  <c r="H507" i="1"/>
  <c r="G507" i="1"/>
  <c r="F507" i="1"/>
  <c r="O506" i="1"/>
  <c r="N506" i="1"/>
  <c r="M506" i="1"/>
  <c r="L506" i="1"/>
  <c r="K506" i="1"/>
  <c r="J506" i="1"/>
  <c r="I506" i="1"/>
  <c r="H506" i="1"/>
  <c r="G506" i="1"/>
  <c r="F506" i="1"/>
  <c r="O505" i="1"/>
  <c r="N505" i="1"/>
  <c r="M505" i="1"/>
  <c r="L505" i="1"/>
  <c r="K505" i="1"/>
  <c r="J505" i="1"/>
  <c r="I505" i="1"/>
  <c r="H505" i="1"/>
  <c r="G505" i="1"/>
  <c r="F505" i="1"/>
  <c r="O504" i="1"/>
  <c r="N504" i="1"/>
  <c r="M504" i="1"/>
  <c r="L504" i="1"/>
  <c r="K504" i="1"/>
  <c r="J504" i="1"/>
  <c r="I504" i="1"/>
  <c r="H504" i="1"/>
  <c r="G504" i="1"/>
  <c r="F504" i="1"/>
  <c r="O503" i="1"/>
  <c r="N503" i="1"/>
  <c r="M503" i="1"/>
  <c r="L503" i="1"/>
  <c r="K503" i="1"/>
  <c r="J503" i="1"/>
  <c r="I503" i="1"/>
  <c r="H503" i="1"/>
  <c r="G503" i="1"/>
  <c r="F503" i="1"/>
  <c r="O502" i="1"/>
  <c r="N502" i="1"/>
  <c r="M502" i="1"/>
  <c r="L502" i="1"/>
  <c r="K502" i="1"/>
  <c r="J502" i="1"/>
  <c r="I502" i="1"/>
  <c r="H502" i="1"/>
  <c r="G502" i="1"/>
  <c r="F502" i="1"/>
  <c r="O501" i="1"/>
  <c r="N501" i="1"/>
  <c r="M501" i="1"/>
  <c r="L501" i="1"/>
  <c r="K501" i="1"/>
  <c r="J501" i="1"/>
  <c r="I501" i="1"/>
  <c r="H501" i="1"/>
  <c r="G501" i="1"/>
  <c r="F501" i="1"/>
  <c r="O500" i="1"/>
  <c r="N500" i="1"/>
  <c r="M500" i="1"/>
  <c r="L500" i="1"/>
  <c r="K500" i="1"/>
  <c r="J500" i="1"/>
  <c r="I500" i="1"/>
  <c r="H500" i="1"/>
  <c r="G500" i="1"/>
  <c r="F500" i="1"/>
  <c r="O499" i="1"/>
  <c r="N499" i="1"/>
  <c r="M499" i="1"/>
  <c r="L499" i="1"/>
  <c r="K499" i="1"/>
  <c r="J499" i="1"/>
  <c r="I499" i="1"/>
  <c r="H499" i="1"/>
  <c r="G499" i="1"/>
  <c r="F499" i="1"/>
  <c r="O498" i="1"/>
  <c r="N498" i="1"/>
  <c r="M498" i="1"/>
  <c r="L498" i="1"/>
  <c r="K498" i="1"/>
  <c r="J498" i="1"/>
  <c r="I498" i="1"/>
  <c r="H498" i="1"/>
  <c r="G498" i="1"/>
  <c r="F498" i="1"/>
  <c r="O497" i="1"/>
  <c r="N497" i="1"/>
  <c r="M497" i="1"/>
  <c r="L497" i="1"/>
  <c r="K497" i="1"/>
  <c r="J497" i="1"/>
  <c r="I497" i="1"/>
  <c r="H497" i="1"/>
  <c r="G497" i="1"/>
  <c r="F497" i="1"/>
  <c r="O496" i="1"/>
  <c r="N496" i="1"/>
  <c r="M496" i="1"/>
  <c r="L496" i="1"/>
  <c r="K496" i="1"/>
  <c r="J496" i="1"/>
  <c r="I496" i="1"/>
  <c r="H496" i="1"/>
  <c r="G496" i="1"/>
  <c r="F496" i="1"/>
  <c r="O495" i="1"/>
  <c r="N495" i="1"/>
  <c r="M495" i="1"/>
  <c r="L495" i="1"/>
  <c r="K495" i="1"/>
  <c r="J495" i="1"/>
  <c r="I495" i="1"/>
  <c r="H495" i="1"/>
  <c r="G495" i="1"/>
  <c r="F495" i="1"/>
  <c r="O494" i="1"/>
  <c r="N494" i="1"/>
  <c r="M494" i="1"/>
  <c r="L494" i="1"/>
  <c r="K494" i="1"/>
  <c r="J494" i="1"/>
  <c r="I494" i="1"/>
  <c r="H494" i="1"/>
  <c r="G494" i="1"/>
  <c r="F494" i="1"/>
  <c r="O493" i="1"/>
  <c r="N493" i="1"/>
  <c r="M493" i="1"/>
  <c r="L493" i="1"/>
  <c r="K493" i="1"/>
  <c r="J493" i="1"/>
  <c r="I493" i="1"/>
  <c r="H493" i="1"/>
  <c r="G493" i="1"/>
  <c r="F493" i="1"/>
  <c r="O492" i="1"/>
  <c r="N492" i="1"/>
  <c r="M492" i="1"/>
  <c r="L492" i="1"/>
  <c r="K492" i="1"/>
  <c r="J492" i="1"/>
  <c r="I492" i="1"/>
  <c r="H492" i="1"/>
  <c r="G492" i="1"/>
  <c r="F492" i="1"/>
  <c r="O491" i="1"/>
  <c r="N491" i="1"/>
  <c r="M491" i="1"/>
  <c r="L491" i="1"/>
  <c r="K491" i="1"/>
  <c r="J491" i="1"/>
  <c r="I491" i="1"/>
  <c r="H491" i="1"/>
  <c r="G491" i="1"/>
  <c r="F491" i="1"/>
  <c r="O490" i="1"/>
  <c r="N490" i="1"/>
  <c r="M490" i="1"/>
  <c r="L490" i="1"/>
  <c r="K490" i="1"/>
  <c r="J490" i="1"/>
  <c r="I490" i="1"/>
  <c r="H490" i="1"/>
  <c r="G490" i="1"/>
  <c r="F490" i="1"/>
  <c r="O489" i="1"/>
  <c r="N489" i="1"/>
  <c r="M489" i="1"/>
  <c r="L489" i="1"/>
  <c r="K489" i="1"/>
  <c r="J489" i="1"/>
  <c r="I489" i="1"/>
  <c r="H489" i="1"/>
  <c r="G489" i="1"/>
  <c r="F489" i="1"/>
  <c r="O488" i="1"/>
  <c r="N488" i="1"/>
  <c r="M488" i="1"/>
  <c r="L488" i="1"/>
  <c r="K488" i="1"/>
  <c r="J488" i="1"/>
  <c r="I488" i="1"/>
  <c r="H488" i="1"/>
  <c r="G488" i="1"/>
  <c r="F488" i="1"/>
  <c r="O487" i="1"/>
  <c r="N487" i="1"/>
  <c r="M487" i="1"/>
  <c r="L487" i="1"/>
  <c r="K487" i="1"/>
  <c r="J487" i="1"/>
  <c r="I487" i="1"/>
  <c r="H487" i="1"/>
  <c r="G487" i="1"/>
  <c r="F487" i="1"/>
  <c r="O486" i="1"/>
  <c r="N486" i="1"/>
  <c r="M486" i="1"/>
  <c r="L486" i="1"/>
  <c r="K486" i="1"/>
  <c r="J486" i="1"/>
  <c r="I486" i="1"/>
  <c r="H486" i="1"/>
  <c r="G486" i="1"/>
  <c r="F486" i="1"/>
  <c r="O485" i="1"/>
  <c r="N485" i="1"/>
  <c r="M485" i="1"/>
  <c r="L485" i="1"/>
  <c r="K485" i="1"/>
  <c r="J485" i="1"/>
  <c r="I485" i="1"/>
  <c r="H485" i="1"/>
  <c r="G485" i="1"/>
  <c r="F485" i="1"/>
  <c r="O484" i="1"/>
  <c r="N484" i="1"/>
  <c r="M484" i="1"/>
  <c r="L484" i="1"/>
  <c r="K484" i="1"/>
  <c r="J484" i="1"/>
  <c r="I484" i="1"/>
  <c r="H484" i="1"/>
  <c r="G484" i="1"/>
  <c r="F484" i="1"/>
  <c r="O483" i="1"/>
  <c r="N483" i="1"/>
  <c r="M483" i="1"/>
  <c r="L483" i="1"/>
  <c r="K483" i="1"/>
  <c r="J483" i="1"/>
  <c r="I483" i="1"/>
  <c r="H483" i="1"/>
  <c r="G483" i="1"/>
  <c r="F483" i="1"/>
  <c r="O482" i="1"/>
  <c r="N482" i="1"/>
  <c r="M482" i="1"/>
  <c r="L482" i="1"/>
  <c r="K482" i="1"/>
  <c r="J482" i="1"/>
  <c r="I482" i="1"/>
  <c r="H482" i="1"/>
  <c r="G482" i="1"/>
  <c r="F482" i="1"/>
  <c r="O481" i="1"/>
  <c r="N481" i="1"/>
  <c r="M481" i="1"/>
  <c r="L481" i="1"/>
  <c r="K481" i="1"/>
  <c r="J481" i="1"/>
  <c r="I481" i="1"/>
  <c r="H481" i="1"/>
  <c r="G481" i="1"/>
  <c r="F481" i="1"/>
  <c r="O480" i="1"/>
  <c r="N480" i="1"/>
  <c r="M480" i="1"/>
  <c r="L480" i="1"/>
  <c r="K480" i="1"/>
  <c r="J480" i="1"/>
  <c r="I480" i="1"/>
  <c r="H480" i="1"/>
  <c r="G480" i="1"/>
  <c r="F480" i="1"/>
  <c r="O479" i="1"/>
  <c r="N479" i="1"/>
  <c r="M479" i="1"/>
  <c r="L479" i="1"/>
  <c r="K479" i="1"/>
  <c r="J479" i="1"/>
  <c r="I479" i="1"/>
  <c r="H479" i="1"/>
  <c r="G479" i="1"/>
  <c r="F479" i="1"/>
  <c r="O478" i="1"/>
  <c r="N478" i="1"/>
  <c r="M478" i="1"/>
  <c r="L478" i="1"/>
  <c r="K478" i="1"/>
  <c r="J478" i="1"/>
  <c r="I478" i="1"/>
  <c r="H478" i="1"/>
  <c r="G478" i="1"/>
  <c r="F478" i="1"/>
  <c r="O477" i="1"/>
  <c r="N477" i="1"/>
  <c r="M477" i="1"/>
  <c r="L477" i="1"/>
  <c r="K477" i="1"/>
  <c r="J477" i="1"/>
  <c r="I477" i="1"/>
  <c r="H477" i="1"/>
  <c r="G477" i="1"/>
  <c r="F477" i="1"/>
  <c r="O476" i="1"/>
  <c r="N476" i="1"/>
  <c r="M476" i="1"/>
  <c r="L476" i="1"/>
  <c r="K476" i="1"/>
  <c r="J476" i="1"/>
  <c r="I476" i="1"/>
  <c r="H476" i="1"/>
  <c r="G476" i="1"/>
  <c r="F476" i="1"/>
  <c r="O475" i="1"/>
  <c r="N475" i="1"/>
  <c r="M475" i="1"/>
  <c r="L475" i="1"/>
  <c r="K475" i="1"/>
  <c r="J475" i="1"/>
  <c r="I475" i="1"/>
  <c r="H475" i="1"/>
  <c r="G475" i="1"/>
  <c r="F475" i="1"/>
  <c r="O474" i="1"/>
  <c r="N474" i="1"/>
  <c r="M474" i="1"/>
  <c r="L474" i="1"/>
  <c r="K474" i="1"/>
  <c r="J474" i="1"/>
  <c r="I474" i="1"/>
  <c r="H474" i="1"/>
  <c r="G474" i="1"/>
  <c r="F474" i="1"/>
  <c r="O473" i="1"/>
  <c r="N473" i="1"/>
  <c r="M473" i="1"/>
  <c r="L473" i="1"/>
  <c r="K473" i="1"/>
  <c r="J473" i="1"/>
  <c r="I473" i="1"/>
  <c r="H473" i="1"/>
  <c r="G473" i="1"/>
  <c r="F473" i="1"/>
  <c r="O472" i="1"/>
  <c r="N472" i="1"/>
  <c r="M472" i="1"/>
  <c r="L472" i="1"/>
  <c r="K472" i="1"/>
  <c r="J472" i="1"/>
  <c r="I472" i="1"/>
  <c r="H472" i="1"/>
  <c r="G472" i="1"/>
  <c r="F472" i="1"/>
  <c r="O471" i="1"/>
  <c r="N471" i="1"/>
  <c r="M471" i="1"/>
  <c r="L471" i="1"/>
  <c r="K471" i="1"/>
  <c r="J471" i="1"/>
  <c r="I471" i="1"/>
  <c r="H471" i="1"/>
  <c r="G471" i="1"/>
  <c r="F471" i="1"/>
  <c r="O470" i="1"/>
  <c r="N470" i="1"/>
  <c r="M470" i="1"/>
  <c r="L470" i="1"/>
  <c r="K470" i="1"/>
  <c r="J470" i="1"/>
  <c r="I470" i="1"/>
  <c r="H470" i="1"/>
  <c r="G470" i="1"/>
  <c r="F470" i="1"/>
  <c r="O469" i="1"/>
  <c r="N469" i="1"/>
  <c r="M469" i="1"/>
  <c r="L469" i="1"/>
  <c r="K469" i="1"/>
  <c r="J469" i="1"/>
  <c r="I469" i="1"/>
  <c r="H469" i="1"/>
  <c r="G469" i="1"/>
  <c r="F469" i="1"/>
  <c r="O468" i="1"/>
  <c r="N468" i="1"/>
  <c r="M468" i="1"/>
  <c r="L468" i="1"/>
  <c r="K468" i="1"/>
  <c r="J468" i="1"/>
  <c r="I468" i="1"/>
  <c r="H468" i="1"/>
  <c r="G468" i="1"/>
  <c r="F468" i="1"/>
  <c r="O467" i="1"/>
  <c r="N467" i="1"/>
  <c r="M467" i="1"/>
  <c r="L467" i="1"/>
  <c r="K467" i="1"/>
  <c r="J467" i="1"/>
  <c r="I467" i="1"/>
  <c r="H467" i="1"/>
  <c r="G467" i="1"/>
  <c r="F467" i="1"/>
  <c r="O466" i="1"/>
  <c r="N466" i="1"/>
  <c r="M466" i="1"/>
  <c r="L466" i="1"/>
  <c r="K466" i="1"/>
  <c r="J466" i="1"/>
  <c r="I466" i="1"/>
  <c r="H466" i="1"/>
  <c r="G466" i="1"/>
  <c r="F466" i="1"/>
  <c r="O465" i="1"/>
  <c r="N465" i="1"/>
  <c r="M465" i="1"/>
  <c r="L465" i="1"/>
  <c r="K465" i="1"/>
  <c r="J465" i="1"/>
  <c r="I465" i="1"/>
  <c r="H465" i="1"/>
  <c r="G465" i="1"/>
  <c r="F465" i="1"/>
  <c r="O464" i="1"/>
  <c r="N464" i="1"/>
  <c r="M464" i="1"/>
  <c r="L464" i="1"/>
  <c r="K464" i="1"/>
  <c r="J464" i="1"/>
  <c r="I464" i="1"/>
  <c r="H464" i="1"/>
  <c r="G464" i="1"/>
  <c r="F464" i="1"/>
  <c r="O463" i="1"/>
  <c r="N463" i="1"/>
  <c r="M463" i="1"/>
  <c r="L463" i="1"/>
  <c r="K463" i="1"/>
  <c r="J463" i="1"/>
  <c r="I463" i="1"/>
  <c r="H463" i="1"/>
  <c r="G463" i="1"/>
  <c r="F463" i="1"/>
  <c r="O462" i="1"/>
  <c r="N462" i="1"/>
  <c r="M462" i="1"/>
  <c r="L462" i="1"/>
  <c r="K462" i="1"/>
  <c r="J462" i="1"/>
  <c r="I462" i="1"/>
  <c r="H462" i="1"/>
  <c r="G462" i="1"/>
  <c r="F462" i="1"/>
  <c r="O461" i="1"/>
  <c r="N461" i="1"/>
  <c r="M461" i="1"/>
  <c r="L461" i="1"/>
  <c r="K461" i="1"/>
  <c r="J461" i="1"/>
  <c r="I461" i="1"/>
  <c r="H461" i="1"/>
  <c r="G461" i="1"/>
  <c r="F461" i="1"/>
  <c r="O460" i="1"/>
  <c r="N460" i="1"/>
  <c r="M460" i="1"/>
  <c r="L460" i="1"/>
  <c r="K460" i="1"/>
  <c r="J460" i="1"/>
  <c r="I460" i="1"/>
  <c r="H460" i="1"/>
  <c r="G460" i="1"/>
  <c r="F460" i="1"/>
  <c r="O459" i="1"/>
  <c r="N459" i="1"/>
  <c r="M459" i="1"/>
  <c r="L459" i="1"/>
  <c r="K459" i="1"/>
  <c r="J459" i="1"/>
  <c r="I459" i="1"/>
  <c r="H459" i="1"/>
  <c r="G459" i="1"/>
  <c r="F459" i="1"/>
  <c r="O458" i="1"/>
  <c r="N458" i="1"/>
  <c r="M458" i="1"/>
  <c r="L458" i="1"/>
  <c r="K458" i="1"/>
  <c r="J458" i="1"/>
  <c r="I458" i="1"/>
  <c r="H458" i="1"/>
  <c r="G458" i="1"/>
  <c r="F458" i="1"/>
  <c r="O457" i="1"/>
  <c r="N457" i="1"/>
  <c r="M457" i="1"/>
  <c r="L457" i="1"/>
  <c r="K457" i="1"/>
  <c r="J457" i="1"/>
  <c r="I457" i="1"/>
  <c r="H457" i="1"/>
  <c r="G457" i="1"/>
  <c r="F457" i="1"/>
  <c r="O456" i="1"/>
  <c r="N456" i="1"/>
  <c r="M456" i="1"/>
  <c r="L456" i="1"/>
  <c r="K456" i="1"/>
  <c r="J456" i="1"/>
  <c r="I456" i="1"/>
  <c r="H456" i="1"/>
  <c r="G456" i="1"/>
  <c r="F456" i="1"/>
  <c r="O455" i="1"/>
  <c r="N455" i="1"/>
  <c r="M455" i="1"/>
  <c r="L455" i="1"/>
  <c r="K455" i="1"/>
  <c r="J455" i="1"/>
  <c r="I455" i="1"/>
  <c r="H455" i="1"/>
  <c r="G455" i="1"/>
  <c r="F455" i="1"/>
  <c r="O454" i="1"/>
  <c r="N454" i="1"/>
  <c r="M454" i="1"/>
  <c r="L454" i="1"/>
  <c r="K454" i="1"/>
  <c r="J454" i="1"/>
  <c r="I454" i="1"/>
  <c r="H454" i="1"/>
  <c r="G454" i="1"/>
  <c r="F454" i="1"/>
  <c r="O453" i="1"/>
  <c r="N453" i="1"/>
  <c r="M453" i="1"/>
  <c r="L453" i="1"/>
  <c r="K453" i="1"/>
  <c r="J453" i="1"/>
  <c r="I453" i="1"/>
  <c r="H453" i="1"/>
  <c r="G453" i="1"/>
  <c r="F453" i="1"/>
  <c r="O452" i="1"/>
  <c r="N452" i="1"/>
  <c r="M452" i="1"/>
  <c r="L452" i="1"/>
  <c r="K452" i="1"/>
  <c r="J452" i="1"/>
  <c r="I452" i="1"/>
  <c r="H452" i="1"/>
  <c r="G452" i="1"/>
  <c r="F452" i="1"/>
  <c r="O451" i="1"/>
  <c r="N451" i="1"/>
  <c r="M451" i="1"/>
  <c r="L451" i="1"/>
  <c r="K451" i="1"/>
  <c r="J451" i="1"/>
  <c r="I451" i="1"/>
  <c r="H451" i="1"/>
  <c r="G451" i="1"/>
  <c r="F451" i="1"/>
  <c r="O450" i="1"/>
  <c r="N450" i="1"/>
  <c r="M450" i="1"/>
  <c r="L450" i="1"/>
  <c r="K450" i="1"/>
  <c r="J450" i="1"/>
  <c r="I450" i="1"/>
  <c r="H450" i="1"/>
  <c r="G450" i="1"/>
  <c r="F450" i="1"/>
  <c r="O449" i="1"/>
  <c r="N449" i="1"/>
  <c r="M449" i="1"/>
  <c r="L449" i="1"/>
  <c r="K449" i="1"/>
  <c r="J449" i="1"/>
  <c r="I449" i="1"/>
  <c r="H449" i="1"/>
  <c r="G449" i="1"/>
  <c r="F449" i="1"/>
  <c r="O448" i="1"/>
  <c r="N448" i="1"/>
  <c r="M448" i="1"/>
  <c r="L448" i="1"/>
  <c r="K448" i="1"/>
  <c r="J448" i="1"/>
  <c r="I448" i="1"/>
  <c r="H448" i="1"/>
  <c r="G448" i="1"/>
  <c r="F448" i="1"/>
  <c r="O447" i="1"/>
  <c r="N447" i="1"/>
  <c r="M447" i="1"/>
  <c r="L447" i="1"/>
  <c r="K447" i="1"/>
  <c r="J447" i="1"/>
  <c r="I447" i="1"/>
  <c r="H447" i="1"/>
  <c r="G447" i="1"/>
  <c r="F447" i="1"/>
  <c r="O446" i="1"/>
  <c r="N446" i="1"/>
  <c r="M446" i="1"/>
  <c r="L446" i="1"/>
  <c r="K446" i="1"/>
  <c r="J446" i="1"/>
  <c r="I446" i="1"/>
  <c r="H446" i="1"/>
  <c r="G446" i="1"/>
  <c r="F446" i="1"/>
  <c r="O445" i="1"/>
  <c r="N445" i="1"/>
  <c r="M445" i="1"/>
  <c r="L445" i="1"/>
  <c r="K445" i="1"/>
  <c r="J445" i="1"/>
  <c r="I445" i="1"/>
  <c r="H445" i="1"/>
  <c r="G445" i="1"/>
  <c r="F445" i="1"/>
  <c r="O444" i="1"/>
  <c r="N444" i="1"/>
  <c r="M444" i="1"/>
  <c r="L444" i="1"/>
  <c r="K444" i="1"/>
  <c r="J444" i="1"/>
  <c r="I444" i="1"/>
  <c r="H444" i="1"/>
  <c r="G444" i="1"/>
  <c r="F444" i="1"/>
  <c r="O443" i="1"/>
  <c r="N443" i="1"/>
  <c r="M443" i="1"/>
  <c r="L443" i="1"/>
  <c r="K443" i="1"/>
  <c r="J443" i="1"/>
  <c r="I443" i="1"/>
  <c r="H443" i="1"/>
  <c r="G443" i="1"/>
  <c r="F443" i="1"/>
  <c r="O442" i="1"/>
  <c r="N442" i="1"/>
  <c r="M442" i="1"/>
  <c r="L442" i="1"/>
  <c r="K442" i="1"/>
  <c r="J442" i="1"/>
  <c r="I442" i="1"/>
  <c r="H442" i="1"/>
  <c r="G442" i="1"/>
  <c r="F442" i="1"/>
  <c r="O441" i="1"/>
  <c r="N441" i="1"/>
  <c r="M441" i="1"/>
  <c r="L441" i="1"/>
  <c r="K441" i="1"/>
  <c r="J441" i="1"/>
  <c r="I441" i="1"/>
  <c r="H441" i="1"/>
  <c r="G441" i="1"/>
  <c r="F441" i="1"/>
  <c r="O440" i="1"/>
  <c r="N440" i="1"/>
  <c r="M440" i="1"/>
  <c r="L440" i="1"/>
  <c r="K440" i="1"/>
  <c r="J440" i="1"/>
  <c r="I440" i="1"/>
  <c r="H440" i="1"/>
  <c r="G440" i="1"/>
  <c r="F440" i="1"/>
  <c r="O439" i="1"/>
  <c r="N439" i="1"/>
  <c r="M439" i="1"/>
  <c r="L439" i="1"/>
  <c r="K439" i="1"/>
  <c r="J439" i="1"/>
  <c r="I439" i="1"/>
  <c r="H439" i="1"/>
  <c r="G439" i="1"/>
  <c r="F439" i="1"/>
  <c r="O438" i="1"/>
  <c r="N438" i="1"/>
  <c r="M438" i="1"/>
  <c r="L438" i="1"/>
  <c r="K438" i="1"/>
  <c r="J438" i="1"/>
  <c r="I438" i="1"/>
  <c r="H438" i="1"/>
  <c r="G438" i="1"/>
  <c r="F438" i="1"/>
  <c r="O437" i="1"/>
  <c r="N437" i="1"/>
  <c r="M437" i="1"/>
  <c r="L437" i="1"/>
  <c r="K437" i="1"/>
  <c r="J437" i="1"/>
  <c r="I437" i="1"/>
  <c r="H437" i="1"/>
  <c r="G437" i="1"/>
  <c r="F437" i="1"/>
  <c r="O436" i="1"/>
  <c r="N436" i="1"/>
  <c r="M436" i="1"/>
  <c r="L436" i="1"/>
  <c r="K436" i="1"/>
  <c r="J436" i="1"/>
  <c r="I436" i="1"/>
  <c r="H436" i="1"/>
  <c r="G436" i="1"/>
  <c r="F436" i="1"/>
  <c r="O435" i="1"/>
  <c r="N435" i="1"/>
  <c r="M435" i="1"/>
  <c r="L435" i="1"/>
  <c r="K435" i="1"/>
  <c r="J435" i="1"/>
  <c r="I435" i="1"/>
  <c r="H435" i="1"/>
  <c r="G435" i="1"/>
  <c r="F435" i="1"/>
  <c r="O434" i="1"/>
  <c r="N434" i="1"/>
  <c r="M434" i="1"/>
  <c r="L434" i="1"/>
  <c r="K434" i="1"/>
  <c r="J434" i="1"/>
  <c r="I434" i="1"/>
  <c r="H434" i="1"/>
  <c r="G434" i="1"/>
  <c r="F434" i="1"/>
  <c r="O433" i="1"/>
  <c r="N433" i="1"/>
  <c r="M433" i="1"/>
  <c r="L433" i="1"/>
  <c r="K433" i="1"/>
  <c r="J433" i="1"/>
  <c r="I433" i="1"/>
  <c r="H433" i="1"/>
  <c r="G433" i="1"/>
  <c r="F433" i="1"/>
  <c r="O432" i="1"/>
  <c r="N432" i="1"/>
  <c r="M432" i="1"/>
  <c r="L432" i="1"/>
  <c r="K432" i="1"/>
  <c r="J432" i="1"/>
  <c r="I432" i="1"/>
  <c r="H432" i="1"/>
  <c r="G432" i="1"/>
  <c r="F432" i="1"/>
  <c r="O431" i="1"/>
  <c r="N431" i="1"/>
  <c r="M431" i="1"/>
  <c r="L431" i="1"/>
  <c r="K431" i="1"/>
  <c r="J431" i="1"/>
  <c r="I431" i="1"/>
  <c r="H431" i="1"/>
  <c r="G431" i="1"/>
  <c r="F431" i="1"/>
  <c r="O430" i="1"/>
  <c r="N430" i="1"/>
  <c r="M430" i="1"/>
  <c r="L430" i="1"/>
  <c r="K430" i="1"/>
  <c r="J430" i="1"/>
  <c r="I430" i="1"/>
  <c r="H430" i="1"/>
  <c r="G430" i="1"/>
  <c r="F430" i="1"/>
  <c r="O429" i="1"/>
  <c r="N429" i="1"/>
  <c r="M429" i="1"/>
  <c r="L429" i="1"/>
  <c r="K429" i="1"/>
  <c r="J429" i="1"/>
  <c r="I429" i="1"/>
  <c r="H429" i="1"/>
  <c r="G429" i="1"/>
  <c r="F429" i="1"/>
  <c r="O428" i="1"/>
  <c r="N428" i="1"/>
  <c r="M428" i="1"/>
  <c r="L428" i="1"/>
  <c r="K428" i="1"/>
  <c r="J428" i="1"/>
  <c r="I428" i="1"/>
  <c r="H428" i="1"/>
  <c r="G428" i="1"/>
  <c r="F428" i="1"/>
  <c r="O427" i="1"/>
  <c r="N427" i="1"/>
  <c r="M427" i="1"/>
  <c r="L427" i="1"/>
  <c r="K427" i="1"/>
  <c r="J427" i="1"/>
  <c r="I427" i="1"/>
  <c r="H427" i="1"/>
  <c r="G427" i="1"/>
  <c r="F427" i="1"/>
  <c r="O426" i="1"/>
  <c r="N426" i="1"/>
  <c r="M426" i="1"/>
  <c r="L426" i="1"/>
  <c r="K426" i="1"/>
  <c r="J426" i="1"/>
  <c r="I426" i="1"/>
  <c r="H426" i="1"/>
  <c r="G426" i="1"/>
  <c r="F426" i="1"/>
  <c r="O425" i="1"/>
  <c r="N425" i="1"/>
  <c r="M425" i="1"/>
  <c r="L425" i="1"/>
  <c r="K425" i="1"/>
  <c r="J425" i="1"/>
  <c r="I425" i="1"/>
  <c r="H425" i="1"/>
  <c r="G425" i="1"/>
  <c r="F425" i="1"/>
  <c r="O424" i="1"/>
  <c r="N424" i="1"/>
  <c r="M424" i="1"/>
  <c r="L424" i="1"/>
  <c r="K424" i="1"/>
  <c r="J424" i="1"/>
  <c r="I424" i="1"/>
  <c r="H424" i="1"/>
  <c r="G424" i="1"/>
  <c r="F424" i="1"/>
  <c r="O423" i="1"/>
  <c r="N423" i="1"/>
  <c r="M423" i="1"/>
  <c r="L423" i="1"/>
  <c r="K423" i="1"/>
  <c r="J423" i="1"/>
  <c r="I423" i="1"/>
  <c r="H423" i="1"/>
  <c r="G423" i="1"/>
  <c r="F423" i="1"/>
  <c r="O422" i="1"/>
  <c r="N422" i="1"/>
  <c r="M422" i="1"/>
  <c r="L422" i="1"/>
  <c r="K422" i="1"/>
  <c r="J422" i="1"/>
  <c r="I422" i="1"/>
  <c r="H422" i="1"/>
  <c r="G422" i="1"/>
  <c r="F422" i="1"/>
  <c r="O421" i="1"/>
  <c r="N421" i="1"/>
  <c r="M421" i="1"/>
  <c r="L421" i="1"/>
  <c r="K421" i="1"/>
  <c r="J421" i="1"/>
  <c r="I421" i="1"/>
  <c r="H421" i="1"/>
  <c r="G421" i="1"/>
  <c r="F421" i="1"/>
  <c r="O420" i="1"/>
  <c r="N420" i="1"/>
  <c r="M420" i="1"/>
  <c r="L420" i="1"/>
  <c r="K420" i="1"/>
  <c r="J420" i="1"/>
  <c r="I420" i="1"/>
  <c r="H420" i="1"/>
  <c r="G420" i="1"/>
  <c r="F420" i="1"/>
  <c r="O419" i="1"/>
  <c r="N419" i="1"/>
  <c r="M419" i="1"/>
  <c r="L419" i="1"/>
  <c r="K419" i="1"/>
  <c r="J419" i="1"/>
  <c r="I419" i="1"/>
  <c r="H419" i="1"/>
  <c r="G419" i="1"/>
  <c r="F419" i="1"/>
  <c r="O418" i="1"/>
  <c r="N418" i="1"/>
  <c r="M418" i="1"/>
  <c r="L418" i="1"/>
  <c r="K418" i="1"/>
  <c r="J418" i="1"/>
  <c r="I418" i="1"/>
  <c r="H418" i="1"/>
  <c r="G418" i="1"/>
  <c r="F418" i="1"/>
  <c r="O417" i="1"/>
  <c r="N417" i="1"/>
  <c r="M417" i="1"/>
  <c r="L417" i="1"/>
  <c r="K417" i="1"/>
  <c r="J417" i="1"/>
  <c r="I417" i="1"/>
  <c r="H417" i="1"/>
  <c r="G417" i="1"/>
  <c r="F417" i="1"/>
  <c r="O416" i="1"/>
  <c r="N416" i="1"/>
  <c r="M416" i="1"/>
  <c r="L416" i="1"/>
  <c r="K416" i="1"/>
  <c r="J416" i="1"/>
  <c r="I416" i="1"/>
  <c r="H416" i="1"/>
  <c r="G416" i="1"/>
  <c r="F416" i="1"/>
  <c r="O415" i="1"/>
  <c r="N415" i="1"/>
  <c r="M415" i="1"/>
  <c r="L415" i="1"/>
  <c r="K415" i="1"/>
  <c r="J415" i="1"/>
  <c r="I415" i="1"/>
  <c r="H415" i="1"/>
  <c r="G415" i="1"/>
  <c r="F415" i="1"/>
  <c r="O414" i="1"/>
  <c r="N414" i="1"/>
  <c r="M414" i="1"/>
  <c r="L414" i="1"/>
  <c r="K414" i="1"/>
  <c r="J414" i="1"/>
  <c r="I414" i="1"/>
  <c r="H414" i="1"/>
  <c r="G414" i="1"/>
  <c r="F414" i="1"/>
  <c r="O413" i="1"/>
  <c r="N413" i="1"/>
  <c r="M413" i="1"/>
  <c r="L413" i="1"/>
  <c r="K413" i="1"/>
  <c r="J413" i="1"/>
  <c r="I413" i="1"/>
  <c r="H413" i="1"/>
  <c r="G413" i="1"/>
  <c r="F413" i="1"/>
  <c r="O412" i="1"/>
  <c r="N412" i="1"/>
  <c r="M412" i="1"/>
  <c r="L412" i="1"/>
  <c r="K412" i="1"/>
  <c r="J412" i="1"/>
  <c r="I412" i="1"/>
  <c r="H412" i="1"/>
  <c r="G412" i="1"/>
  <c r="F412" i="1"/>
  <c r="O411" i="1"/>
  <c r="N411" i="1"/>
  <c r="M411" i="1"/>
  <c r="L411" i="1"/>
  <c r="K411" i="1"/>
  <c r="J411" i="1"/>
  <c r="I411" i="1"/>
  <c r="H411" i="1"/>
  <c r="G411" i="1"/>
  <c r="F411" i="1"/>
  <c r="O410" i="1"/>
  <c r="N410" i="1"/>
  <c r="M410" i="1"/>
  <c r="L410" i="1"/>
  <c r="K410" i="1"/>
  <c r="J410" i="1"/>
  <c r="I410" i="1"/>
  <c r="H410" i="1"/>
  <c r="G410" i="1"/>
  <c r="F410" i="1"/>
  <c r="O409" i="1"/>
  <c r="N409" i="1"/>
  <c r="M409" i="1"/>
  <c r="L409" i="1"/>
  <c r="K409" i="1"/>
  <c r="J409" i="1"/>
  <c r="I409" i="1"/>
  <c r="H409" i="1"/>
  <c r="G409" i="1"/>
  <c r="F409" i="1"/>
  <c r="O408" i="1"/>
  <c r="N408" i="1"/>
  <c r="M408" i="1"/>
  <c r="L408" i="1"/>
  <c r="K408" i="1"/>
  <c r="J408" i="1"/>
  <c r="I408" i="1"/>
  <c r="H408" i="1"/>
  <c r="G408" i="1"/>
  <c r="F408" i="1"/>
  <c r="O407" i="1"/>
  <c r="N407" i="1"/>
  <c r="M407" i="1"/>
  <c r="L407" i="1"/>
  <c r="K407" i="1"/>
  <c r="J407" i="1"/>
  <c r="I407" i="1"/>
  <c r="H407" i="1"/>
  <c r="G407" i="1"/>
  <c r="F407" i="1"/>
  <c r="O406" i="1"/>
  <c r="N406" i="1"/>
  <c r="M406" i="1"/>
  <c r="L406" i="1"/>
  <c r="K406" i="1"/>
  <c r="J406" i="1"/>
  <c r="I406" i="1"/>
  <c r="H406" i="1"/>
  <c r="G406" i="1"/>
  <c r="F406" i="1"/>
  <c r="O405" i="1"/>
  <c r="N405" i="1"/>
  <c r="M405" i="1"/>
  <c r="L405" i="1"/>
  <c r="K405" i="1"/>
  <c r="J405" i="1"/>
  <c r="I405" i="1"/>
  <c r="H405" i="1"/>
  <c r="G405" i="1"/>
  <c r="F405" i="1"/>
  <c r="O404" i="1"/>
  <c r="N404" i="1"/>
  <c r="M404" i="1"/>
  <c r="L404" i="1"/>
  <c r="K404" i="1"/>
  <c r="J404" i="1"/>
  <c r="I404" i="1"/>
  <c r="H404" i="1"/>
  <c r="G404" i="1"/>
  <c r="F404" i="1"/>
  <c r="O403" i="1"/>
  <c r="N403" i="1"/>
  <c r="M403" i="1"/>
  <c r="L403" i="1"/>
  <c r="K403" i="1"/>
  <c r="J403" i="1"/>
  <c r="I403" i="1"/>
  <c r="H403" i="1"/>
  <c r="G403" i="1"/>
  <c r="F403" i="1"/>
  <c r="O402" i="1"/>
  <c r="N402" i="1"/>
  <c r="M402" i="1"/>
  <c r="L402" i="1"/>
  <c r="K402" i="1"/>
  <c r="J402" i="1"/>
  <c r="I402" i="1"/>
  <c r="H402" i="1"/>
  <c r="G402" i="1"/>
  <c r="F402" i="1"/>
  <c r="O401" i="1"/>
  <c r="N401" i="1"/>
  <c r="M401" i="1"/>
  <c r="L401" i="1"/>
  <c r="K401" i="1"/>
  <c r="J401" i="1"/>
  <c r="I401" i="1"/>
  <c r="H401" i="1"/>
  <c r="G401" i="1"/>
  <c r="F401" i="1"/>
  <c r="O400" i="1"/>
  <c r="N400" i="1"/>
  <c r="M400" i="1"/>
  <c r="L400" i="1"/>
  <c r="K400" i="1"/>
  <c r="J400" i="1"/>
  <c r="I400" i="1"/>
  <c r="H400" i="1"/>
  <c r="G400" i="1"/>
  <c r="F400" i="1"/>
  <c r="O399" i="1"/>
  <c r="N399" i="1"/>
  <c r="M399" i="1"/>
  <c r="L399" i="1"/>
  <c r="K399" i="1"/>
  <c r="J399" i="1"/>
  <c r="I399" i="1"/>
  <c r="H399" i="1"/>
  <c r="G399" i="1"/>
  <c r="F399" i="1"/>
  <c r="O398" i="1"/>
  <c r="N398" i="1"/>
  <c r="M398" i="1"/>
  <c r="L398" i="1"/>
  <c r="K398" i="1"/>
  <c r="J398" i="1"/>
  <c r="I398" i="1"/>
  <c r="H398" i="1"/>
  <c r="G398" i="1"/>
  <c r="F398" i="1"/>
  <c r="O397" i="1"/>
  <c r="N397" i="1"/>
  <c r="M397" i="1"/>
  <c r="L397" i="1"/>
  <c r="K397" i="1"/>
  <c r="J397" i="1"/>
  <c r="I397" i="1"/>
  <c r="H397" i="1"/>
  <c r="G397" i="1"/>
  <c r="F397" i="1"/>
  <c r="O396" i="1"/>
  <c r="N396" i="1"/>
  <c r="M396" i="1"/>
  <c r="L396" i="1"/>
  <c r="K396" i="1"/>
  <c r="J396" i="1"/>
  <c r="I396" i="1"/>
  <c r="H396" i="1"/>
  <c r="G396" i="1"/>
  <c r="F396" i="1"/>
  <c r="O395" i="1"/>
  <c r="N395" i="1"/>
  <c r="M395" i="1"/>
  <c r="L395" i="1"/>
  <c r="K395" i="1"/>
  <c r="J395" i="1"/>
  <c r="I395" i="1"/>
  <c r="H395" i="1"/>
  <c r="G395" i="1"/>
  <c r="F395" i="1"/>
  <c r="O394" i="1"/>
  <c r="N394" i="1"/>
  <c r="M394" i="1"/>
  <c r="L394" i="1"/>
  <c r="K394" i="1"/>
  <c r="J394" i="1"/>
  <c r="I394" i="1"/>
  <c r="H394" i="1"/>
  <c r="G394" i="1"/>
  <c r="F394" i="1"/>
  <c r="O393" i="1"/>
  <c r="N393" i="1"/>
  <c r="M393" i="1"/>
  <c r="L393" i="1"/>
  <c r="K393" i="1"/>
  <c r="J393" i="1"/>
  <c r="I393" i="1"/>
  <c r="H393" i="1"/>
  <c r="G393" i="1"/>
  <c r="F393" i="1"/>
  <c r="O392" i="1"/>
  <c r="N392" i="1"/>
  <c r="M392" i="1"/>
  <c r="L392" i="1"/>
  <c r="K392" i="1"/>
  <c r="J392" i="1"/>
  <c r="I392" i="1"/>
  <c r="H392" i="1"/>
  <c r="G392" i="1"/>
  <c r="F392" i="1"/>
  <c r="O391" i="1"/>
  <c r="N391" i="1"/>
  <c r="M391" i="1"/>
  <c r="L391" i="1"/>
  <c r="K391" i="1"/>
  <c r="J391" i="1"/>
  <c r="I391" i="1"/>
  <c r="H391" i="1"/>
  <c r="G391" i="1"/>
  <c r="F391" i="1"/>
  <c r="O390" i="1"/>
  <c r="N390" i="1"/>
  <c r="M390" i="1"/>
  <c r="L390" i="1"/>
  <c r="K390" i="1"/>
  <c r="J390" i="1"/>
  <c r="I390" i="1"/>
  <c r="H390" i="1"/>
  <c r="G390" i="1"/>
  <c r="F390" i="1"/>
  <c r="O389" i="1"/>
  <c r="N389" i="1"/>
  <c r="M389" i="1"/>
  <c r="L389" i="1"/>
  <c r="K389" i="1"/>
  <c r="J389" i="1"/>
  <c r="I389" i="1"/>
  <c r="H389" i="1"/>
  <c r="G389" i="1"/>
  <c r="F389" i="1"/>
  <c r="O388" i="1"/>
  <c r="N388" i="1"/>
  <c r="M388" i="1"/>
  <c r="L388" i="1"/>
  <c r="K388" i="1"/>
  <c r="J388" i="1"/>
  <c r="I388" i="1"/>
  <c r="H388" i="1"/>
  <c r="G388" i="1"/>
  <c r="F388" i="1"/>
  <c r="O387" i="1"/>
  <c r="N387" i="1"/>
  <c r="M387" i="1"/>
  <c r="L387" i="1"/>
  <c r="K387" i="1"/>
  <c r="J387" i="1"/>
  <c r="I387" i="1"/>
  <c r="H387" i="1"/>
  <c r="G387" i="1"/>
  <c r="F387" i="1"/>
  <c r="O386" i="1"/>
  <c r="N386" i="1"/>
  <c r="M386" i="1"/>
  <c r="L386" i="1"/>
  <c r="K386" i="1"/>
  <c r="J386" i="1"/>
  <c r="I386" i="1"/>
  <c r="H386" i="1"/>
  <c r="G386" i="1"/>
  <c r="F386" i="1"/>
  <c r="O385" i="1"/>
  <c r="N385" i="1"/>
  <c r="M385" i="1"/>
  <c r="L385" i="1"/>
  <c r="K385" i="1"/>
  <c r="J385" i="1"/>
  <c r="I385" i="1"/>
  <c r="H385" i="1"/>
  <c r="G385" i="1"/>
  <c r="F385" i="1"/>
  <c r="O384" i="1"/>
  <c r="N384" i="1"/>
  <c r="M384" i="1"/>
  <c r="L384" i="1"/>
  <c r="K384" i="1"/>
  <c r="J384" i="1"/>
  <c r="I384" i="1"/>
  <c r="H384" i="1"/>
  <c r="G384" i="1"/>
  <c r="F384" i="1"/>
  <c r="O383" i="1"/>
  <c r="N383" i="1"/>
  <c r="M383" i="1"/>
  <c r="L383" i="1"/>
  <c r="K383" i="1"/>
  <c r="J383" i="1"/>
  <c r="I383" i="1"/>
  <c r="H383" i="1"/>
  <c r="G383" i="1"/>
  <c r="F383" i="1"/>
  <c r="O382" i="1"/>
  <c r="N382" i="1"/>
  <c r="M382" i="1"/>
  <c r="L382" i="1"/>
  <c r="K382" i="1"/>
  <c r="J382" i="1"/>
  <c r="I382" i="1"/>
  <c r="H382" i="1"/>
  <c r="G382" i="1"/>
  <c r="F382" i="1"/>
  <c r="O381" i="1"/>
  <c r="N381" i="1"/>
  <c r="M381" i="1"/>
  <c r="L381" i="1"/>
  <c r="K381" i="1"/>
  <c r="J381" i="1"/>
  <c r="I381" i="1"/>
  <c r="H381" i="1"/>
  <c r="G381" i="1"/>
  <c r="F381" i="1"/>
  <c r="O380" i="1"/>
  <c r="N380" i="1"/>
  <c r="M380" i="1"/>
  <c r="L380" i="1"/>
  <c r="K380" i="1"/>
  <c r="J380" i="1"/>
  <c r="I380" i="1"/>
  <c r="H380" i="1"/>
  <c r="G380" i="1"/>
  <c r="F380" i="1"/>
  <c r="O379" i="1"/>
  <c r="N379" i="1"/>
  <c r="M379" i="1"/>
  <c r="L379" i="1"/>
  <c r="K379" i="1"/>
  <c r="J379" i="1"/>
  <c r="I379" i="1"/>
  <c r="H379" i="1"/>
  <c r="G379" i="1"/>
  <c r="F379" i="1"/>
  <c r="O378" i="1"/>
  <c r="N378" i="1"/>
  <c r="M378" i="1"/>
  <c r="L378" i="1"/>
  <c r="K378" i="1"/>
  <c r="J378" i="1"/>
  <c r="I378" i="1"/>
  <c r="H378" i="1"/>
  <c r="G378" i="1"/>
  <c r="F378" i="1"/>
  <c r="O377" i="1"/>
  <c r="N377" i="1"/>
  <c r="M377" i="1"/>
  <c r="L377" i="1"/>
  <c r="K377" i="1"/>
  <c r="J377" i="1"/>
  <c r="I377" i="1"/>
  <c r="H377" i="1"/>
  <c r="G377" i="1"/>
  <c r="F377" i="1"/>
  <c r="O376" i="1"/>
  <c r="N376" i="1"/>
  <c r="M376" i="1"/>
  <c r="L376" i="1"/>
  <c r="K376" i="1"/>
  <c r="J376" i="1"/>
  <c r="I376" i="1"/>
  <c r="H376" i="1"/>
  <c r="G376" i="1"/>
  <c r="F376" i="1"/>
  <c r="O375" i="1"/>
  <c r="N375" i="1"/>
  <c r="M375" i="1"/>
  <c r="L375" i="1"/>
  <c r="K375" i="1"/>
  <c r="J375" i="1"/>
  <c r="I375" i="1"/>
  <c r="H375" i="1"/>
  <c r="G375" i="1"/>
  <c r="F375" i="1"/>
  <c r="O374" i="1"/>
  <c r="N374" i="1"/>
  <c r="M374" i="1"/>
  <c r="L374" i="1"/>
  <c r="K374" i="1"/>
  <c r="J374" i="1"/>
  <c r="I374" i="1"/>
  <c r="H374" i="1"/>
  <c r="G374" i="1"/>
  <c r="F374" i="1"/>
  <c r="O373" i="1"/>
  <c r="N373" i="1"/>
  <c r="M373" i="1"/>
  <c r="L373" i="1"/>
  <c r="K373" i="1"/>
  <c r="J373" i="1"/>
  <c r="I373" i="1"/>
  <c r="H373" i="1"/>
  <c r="G373" i="1"/>
  <c r="F373" i="1"/>
  <c r="O372" i="1"/>
  <c r="N372" i="1"/>
  <c r="M372" i="1"/>
  <c r="L372" i="1"/>
  <c r="K372" i="1"/>
  <c r="J372" i="1"/>
  <c r="I372" i="1"/>
  <c r="H372" i="1"/>
  <c r="G372" i="1"/>
  <c r="F372" i="1"/>
  <c r="O371" i="1"/>
  <c r="N371" i="1"/>
  <c r="M371" i="1"/>
  <c r="L371" i="1"/>
  <c r="K371" i="1"/>
  <c r="J371" i="1"/>
  <c r="I371" i="1"/>
  <c r="H371" i="1"/>
  <c r="G371" i="1"/>
  <c r="F371" i="1"/>
  <c r="O370" i="1"/>
  <c r="N370" i="1"/>
  <c r="M370" i="1"/>
  <c r="L370" i="1"/>
  <c r="K370" i="1"/>
  <c r="J370" i="1"/>
  <c r="I370" i="1"/>
  <c r="H370" i="1"/>
  <c r="G370" i="1"/>
  <c r="F370" i="1"/>
  <c r="O369" i="1"/>
  <c r="N369" i="1"/>
  <c r="M369" i="1"/>
  <c r="L369" i="1"/>
  <c r="K369" i="1"/>
  <c r="J369" i="1"/>
  <c r="I369" i="1"/>
  <c r="H369" i="1"/>
  <c r="G369" i="1"/>
  <c r="F369" i="1"/>
  <c r="O368" i="1"/>
  <c r="N368" i="1"/>
  <c r="M368" i="1"/>
  <c r="L368" i="1"/>
  <c r="K368" i="1"/>
  <c r="J368" i="1"/>
  <c r="I368" i="1"/>
  <c r="H368" i="1"/>
  <c r="G368" i="1"/>
  <c r="F368" i="1"/>
  <c r="O367" i="1"/>
  <c r="N367" i="1"/>
  <c r="M367" i="1"/>
  <c r="L367" i="1"/>
  <c r="K367" i="1"/>
  <c r="J367" i="1"/>
  <c r="I367" i="1"/>
  <c r="H367" i="1"/>
  <c r="G367" i="1"/>
  <c r="F367" i="1"/>
  <c r="O366" i="1"/>
  <c r="N366" i="1"/>
  <c r="M366" i="1"/>
  <c r="L366" i="1"/>
  <c r="K366" i="1"/>
  <c r="J366" i="1"/>
  <c r="I366" i="1"/>
  <c r="H366" i="1"/>
  <c r="G366" i="1"/>
  <c r="F366" i="1"/>
  <c r="O365" i="1"/>
  <c r="N365" i="1"/>
  <c r="M365" i="1"/>
  <c r="L365" i="1"/>
  <c r="K365" i="1"/>
  <c r="J365" i="1"/>
  <c r="I365" i="1"/>
  <c r="H365" i="1"/>
  <c r="G365" i="1"/>
  <c r="F365" i="1"/>
  <c r="O364" i="1"/>
  <c r="N364" i="1"/>
  <c r="M364" i="1"/>
  <c r="L364" i="1"/>
  <c r="K364" i="1"/>
  <c r="J364" i="1"/>
  <c r="I364" i="1"/>
  <c r="H364" i="1"/>
  <c r="G364" i="1"/>
  <c r="F364" i="1"/>
  <c r="O363" i="1"/>
  <c r="N363" i="1"/>
  <c r="M363" i="1"/>
  <c r="L363" i="1"/>
  <c r="K363" i="1"/>
  <c r="J363" i="1"/>
  <c r="I363" i="1"/>
  <c r="H363" i="1"/>
  <c r="G363" i="1"/>
  <c r="F363" i="1"/>
  <c r="O362" i="1"/>
  <c r="N362" i="1"/>
  <c r="M362" i="1"/>
  <c r="L362" i="1"/>
  <c r="K362" i="1"/>
  <c r="J362" i="1"/>
  <c r="I362" i="1"/>
  <c r="H362" i="1"/>
  <c r="G362" i="1"/>
  <c r="F362" i="1"/>
  <c r="O361" i="1"/>
  <c r="N361" i="1"/>
  <c r="M361" i="1"/>
  <c r="L361" i="1"/>
  <c r="K361" i="1"/>
  <c r="J361" i="1"/>
  <c r="I361" i="1"/>
  <c r="H361" i="1"/>
  <c r="G361" i="1"/>
  <c r="F361" i="1"/>
  <c r="O360" i="1"/>
  <c r="N360" i="1"/>
  <c r="M360" i="1"/>
  <c r="L360" i="1"/>
  <c r="K360" i="1"/>
  <c r="J360" i="1"/>
  <c r="I360" i="1"/>
  <c r="H360" i="1"/>
  <c r="G360" i="1"/>
  <c r="F360" i="1"/>
  <c r="O359" i="1"/>
  <c r="N359" i="1"/>
  <c r="M359" i="1"/>
  <c r="L359" i="1"/>
  <c r="K359" i="1"/>
  <c r="J359" i="1"/>
  <c r="I359" i="1"/>
  <c r="H359" i="1"/>
  <c r="G359" i="1"/>
  <c r="F359" i="1"/>
  <c r="O358" i="1"/>
  <c r="N358" i="1"/>
  <c r="M358" i="1"/>
  <c r="L358" i="1"/>
  <c r="K358" i="1"/>
  <c r="J358" i="1"/>
  <c r="I358" i="1"/>
  <c r="H358" i="1"/>
  <c r="G358" i="1"/>
  <c r="F358" i="1"/>
  <c r="O357" i="1"/>
  <c r="N357" i="1"/>
  <c r="M357" i="1"/>
  <c r="L357" i="1"/>
  <c r="K357" i="1"/>
  <c r="J357" i="1"/>
  <c r="I357" i="1"/>
  <c r="H357" i="1"/>
  <c r="G357" i="1"/>
  <c r="F357" i="1"/>
  <c r="O356" i="1"/>
  <c r="N356" i="1"/>
  <c r="M356" i="1"/>
  <c r="L356" i="1"/>
  <c r="K356" i="1"/>
  <c r="J356" i="1"/>
  <c r="I356" i="1"/>
  <c r="H356" i="1"/>
  <c r="G356" i="1"/>
  <c r="F356" i="1"/>
  <c r="O355" i="1"/>
  <c r="N355" i="1"/>
  <c r="M355" i="1"/>
  <c r="L355" i="1"/>
  <c r="K355" i="1"/>
  <c r="J355" i="1"/>
  <c r="I355" i="1"/>
  <c r="H355" i="1"/>
  <c r="G355" i="1"/>
  <c r="F355" i="1"/>
  <c r="O354" i="1"/>
  <c r="N354" i="1"/>
  <c r="M354" i="1"/>
  <c r="L354" i="1"/>
  <c r="K354" i="1"/>
  <c r="J354" i="1"/>
  <c r="I354" i="1"/>
  <c r="H354" i="1"/>
  <c r="G354" i="1"/>
  <c r="F354" i="1"/>
  <c r="O353" i="1"/>
  <c r="N353" i="1"/>
  <c r="M353" i="1"/>
  <c r="L353" i="1"/>
  <c r="K353" i="1"/>
  <c r="J353" i="1"/>
  <c r="I353" i="1"/>
  <c r="H353" i="1"/>
  <c r="G353" i="1"/>
  <c r="F353" i="1"/>
  <c r="O352" i="1"/>
  <c r="N352" i="1"/>
  <c r="M352" i="1"/>
  <c r="L352" i="1"/>
  <c r="K352" i="1"/>
  <c r="J352" i="1"/>
  <c r="I352" i="1"/>
  <c r="H352" i="1"/>
  <c r="G352" i="1"/>
  <c r="F352" i="1"/>
  <c r="O351" i="1"/>
  <c r="N351" i="1"/>
  <c r="M351" i="1"/>
  <c r="L351" i="1"/>
  <c r="K351" i="1"/>
  <c r="J351" i="1"/>
  <c r="I351" i="1"/>
  <c r="H351" i="1"/>
  <c r="G351" i="1"/>
  <c r="F351" i="1"/>
  <c r="O350" i="1"/>
  <c r="N350" i="1"/>
  <c r="M350" i="1"/>
  <c r="L350" i="1"/>
  <c r="K350" i="1"/>
  <c r="J350" i="1"/>
  <c r="I350" i="1"/>
  <c r="H350" i="1"/>
  <c r="G350" i="1"/>
  <c r="F350" i="1"/>
  <c r="O349" i="1"/>
  <c r="N349" i="1"/>
  <c r="M349" i="1"/>
  <c r="L349" i="1"/>
  <c r="K349" i="1"/>
  <c r="J349" i="1"/>
  <c r="I349" i="1"/>
  <c r="H349" i="1"/>
  <c r="G349" i="1"/>
  <c r="F349" i="1"/>
  <c r="O348" i="1"/>
  <c r="N348" i="1"/>
  <c r="M348" i="1"/>
  <c r="L348" i="1"/>
  <c r="K348" i="1"/>
  <c r="J348" i="1"/>
  <c r="I348" i="1"/>
  <c r="H348" i="1"/>
  <c r="G348" i="1"/>
  <c r="F348" i="1"/>
  <c r="O347" i="1"/>
  <c r="N347" i="1"/>
  <c r="M347" i="1"/>
  <c r="L347" i="1"/>
  <c r="K347" i="1"/>
  <c r="J347" i="1"/>
  <c r="I347" i="1"/>
  <c r="H347" i="1"/>
  <c r="G347" i="1"/>
  <c r="F347" i="1"/>
  <c r="O346" i="1"/>
  <c r="N346" i="1"/>
  <c r="M346" i="1"/>
  <c r="L346" i="1"/>
  <c r="K346" i="1"/>
  <c r="J346" i="1"/>
  <c r="I346" i="1"/>
  <c r="H346" i="1"/>
  <c r="G346" i="1"/>
  <c r="F346" i="1"/>
  <c r="O345" i="1"/>
  <c r="N345" i="1"/>
  <c r="M345" i="1"/>
  <c r="L345" i="1"/>
  <c r="K345" i="1"/>
  <c r="J345" i="1"/>
  <c r="I345" i="1"/>
  <c r="H345" i="1"/>
  <c r="G345" i="1"/>
  <c r="F345" i="1"/>
  <c r="O344" i="1"/>
  <c r="N344" i="1"/>
  <c r="M344" i="1"/>
  <c r="L344" i="1"/>
  <c r="K344" i="1"/>
  <c r="J344" i="1"/>
  <c r="I344" i="1"/>
  <c r="H344" i="1"/>
  <c r="G344" i="1"/>
  <c r="F344" i="1"/>
  <c r="O343" i="1"/>
  <c r="N343" i="1"/>
  <c r="M343" i="1"/>
  <c r="L343" i="1"/>
  <c r="K343" i="1"/>
  <c r="J343" i="1"/>
  <c r="I343" i="1"/>
  <c r="H343" i="1"/>
  <c r="G343" i="1"/>
  <c r="F343" i="1"/>
  <c r="O342" i="1"/>
  <c r="N342" i="1"/>
  <c r="M342" i="1"/>
  <c r="L342" i="1"/>
  <c r="K342" i="1"/>
  <c r="J342" i="1"/>
  <c r="I342" i="1"/>
  <c r="H342" i="1"/>
  <c r="G342" i="1"/>
  <c r="F342" i="1"/>
  <c r="O341" i="1"/>
  <c r="N341" i="1"/>
  <c r="M341" i="1"/>
  <c r="L341" i="1"/>
  <c r="K341" i="1"/>
  <c r="J341" i="1"/>
  <c r="I341" i="1"/>
  <c r="H341" i="1"/>
  <c r="G341" i="1"/>
  <c r="F341" i="1"/>
  <c r="O340" i="1"/>
  <c r="N340" i="1"/>
  <c r="M340" i="1"/>
  <c r="L340" i="1"/>
  <c r="K340" i="1"/>
  <c r="J340" i="1"/>
  <c r="I340" i="1"/>
  <c r="H340" i="1"/>
  <c r="G340" i="1"/>
  <c r="F340" i="1"/>
  <c r="O339" i="1"/>
  <c r="N339" i="1"/>
  <c r="M339" i="1"/>
  <c r="L339" i="1"/>
  <c r="K339" i="1"/>
  <c r="J339" i="1"/>
  <c r="I339" i="1"/>
  <c r="H339" i="1"/>
  <c r="G339" i="1"/>
  <c r="F339" i="1"/>
  <c r="O338" i="1"/>
  <c r="N338" i="1"/>
  <c r="M338" i="1"/>
  <c r="L338" i="1"/>
  <c r="K338" i="1"/>
  <c r="J338" i="1"/>
  <c r="I338" i="1"/>
  <c r="H338" i="1"/>
  <c r="G338" i="1"/>
  <c r="F338" i="1"/>
  <c r="O337" i="1"/>
  <c r="N337" i="1"/>
  <c r="M337" i="1"/>
  <c r="L337" i="1"/>
  <c r="K337" i="1"/>
  <c r="J337" i="1"/>
  <c r="I337" i="1"/>
  <c r="H337" i="1"/>
  <c r="G337" i="1"/>
  <c r="F337" i="1"/>
  <c r="O336" i="1"/>
  <c r="N336" i="1"/>
  <c r="M336" i="1"/>
  <c r="L336" i="1"/>
  <c r="K336" i="1"/>
  <c r="J336" i="1"/>
  <c r="I336" i="1"/>
  <c r="H336" i="1"/>
  <c r="G336" i="1"/>
  <c r="F336" i="1"/>
  <c r="O335" i="1"/>
  <c r="N335" i="1"/>
  <c r="M335" i="1"/>
  <c r="L335" i="1"/>
  <c r="K335" i="1"/>
  <c r="J335" i="1"/>
  <c r="I335" i="1"/>
  <c r="H335" i="1"/>
  <c r="G335" i="1"/>
  <c r="F335" i="1"/>
  <c r="O334" i="1"/>
  <c r="N334" i="1"/>
  <c r="M334" i="1"/>
  <c r="L334" i="1"/>
  <c r="K334" i="1"/>
  <c r="J334" i="1"/>
  <c r="I334" i="1"/>
  <c r="H334" i="1"/>
  <c r="G334" i="1"/>
  <c r="F334" i="1"/>
  <c r="O333" i="1"/>
  <c r="N333" i="1"/>
  <c r="M333" i="1"/>
  <c r="L333" i="1"/>
  <c r="K333" i="1"/>
  <c r="J333" i="1"/>
  <c r="I333" i="1"/>
  <c r="H333" i="1"/>
  <c r="G333" i="1"/>
  <c r="F333" i="1"/>
  <c r="O332" i="1"/>
  <c r="N332" i="1"/>
  <c r="M332" i="1"/>
  <c r="L332" i="1"/>
  <c r="K332" i="1"/>
  <c r="J332" i="1"/>
  <c r="I332" i="1"/>
  <c r="H332" i="1"/>
  <c r="G332" i="1"/>
  <c r="F332" i="1"/>
  <c r="O331" i="1"/>
  <c r="N331" i="1"/>
  <c r="M331" i="1"/>
  <c r="L331" i="1"/>
  <c r="K331" i="1"/>
  <c r="J331" i="1"/>
  <c r="I331" i="1"/>
  <c r="H331" i="1"/>
  <c r="G331" i="1"/>
  <c r="F331" i="1"/>
  <c r="O330" i="1"/>
  <c r="N330" i="1"/>
  <c r="M330" i="1"/>
  <c r="L330" i="1"/>
  <c r="K330" i="1"/>
  <c r="J330" i="1"/>
  <c r="I330" i="1"/>
  <c r="H330" i="1"/>
  <c r="G330" i="1"/>
  <c r="F330" i="1"/>
  <c r="O329" i="1"/>
  <c r="N329" i="1"/>
  <c r="M329" i="1"/>
  <c r="L329" i="1"/>
  <c r="K329" i="1"/>
  <c r="J329" i="1"/>
  <c r="I329" i="1"/>
  <c r="H329" i="1"/>
  <c r="G329" i="1"/>
  <c r="F329" i="1"/>
  <c r="O328" i="1"/>
  <c r="N328" i="1"/>
  <c r="M328" i="1"/>
  <c r="L328" i="1"/>
  <c r="K328" i="1"/>
  <c r="J328" i="1"/>
  <c r="I328" i="1"/>
  <c r="H328" i="1"/>
  <c r="G328" i="1"/>
  <c r="F328" i="1"/>
  <c r="O327" i="1"/>
  <c r="N327" i="1"/>
  <c r="M327" i="1"/>
  <c r="L327" i="1"/>
  <c r="K327" i="1"/>
  <c r="J327" i="1"/>
  <c r="I327" i="1"/>
  <c r="H327" i="1"/>
  <c r="G327" i="1"/>
  <c r="F327" i="1"/>
  <c r="O326" i="1"/>
  <c r="N326" i="1"/>
  <c r="M326" i="1"/>
  <c r="L326" i="1"/>
  <c r="K326" i="1"/>
  <c r="J326" i="1"/>
  <c r="I326" i="1"/>
  <c r="H326" i="1"/>
  <c r="G326" i="1"/>
  <c r="F326" i="1"/>
  <c r="O325" i="1"/>
  <c r="N325" i="1"/>
  <c r="M325" i="1"/>
  <c r="L325" i="1"/>
  <c r="K325" i="1"/>
  <c r="J325" i="1"/>
  <c r="I325" i="1"/>
  <c r="H325" i="1"/>
  <c r="G325" i="1"/>
  <c r="F325" i="1"/>
  <c r="O324" i="1"/>
  <c r="N324" i="1"/>
  <c r="M324" i="1"/>
  <c r="L324" i="1"/>
  <c r="K324" i="1"/>
  <c r="J324" i="1"/>
  <c r="I324" i="1"/>
  <c r="H324" i="1"/>
  <c r="G324" i="1"/>
  <c r="F324" i="1"/>
  <c r="O323" i="1"/>
  <c r="N323" i="1"/>
  <c r="M323" i="1"/>
  <c r="L323" i="1"/>
  <c r="K323" i="1"/>
  <c r="J323" i="1"/>
  <c r="I323" i="1"/>
  <c r="H323" i="1"/>
  <c r="G323" i="1"/>
  <c r="F323" i="1"/>
  <c r="O322" i="1"/>
  <c r="N322" i="1"/>
  <c r="M322" i="1"/>
  <c r="L322" i="1"/>
  <c r="K322" i="1"/>
  <c r="J322" i="1"/>
  <c r="I322" i="1"/>
  <c r="H322" i="1"/>
  <c r="G322" i="1"/>
  <c r="F322" i="1"/>
  <c r="O321" i="1"/>
  <c r="N321" i="1"/>
  <c r="M321" i="1"/>
  <c r="L321" i="1"/>
  <c r="K321" i="1"/>
  <c r="J321" i="1"/>
  <c r="I321" i="1"/>
  <c r="H321" i="1"/>
  <c r="G321" i="1"/>
  <c r="F321" i="1"/>
  <c r="O320" i="1"/>
  <c r="N320" i="1"/>
  <c r="M320" i="1"/>
  <c r="L320" i="1"/>
  <c r="K320" i="1"/>
  <c r="J320" i="1"/>
  <c r="I320" i="1"/>
  <c r="H320" i="1"/>
  <c r="G320" i="1"/>
  <c r="F320" i="1"/>
  <c r="O319" i="1"/>
  <c r="N319" i="1"/>
  <c r="M319" i="1"/>
  <c r="L319" i="1"/>
  <c r="K319" i="1"/>
  <c r="J319" i="1"/>
  <c r="I319" i="1"/>
  <c r="H319" i="1"/>
  <c r="G319" i="1"/>
  <c r="F319" i="1"/>
  <c r="O318" i="1"/>
  <c r="N318" i="1"/>
  <c r="M318" i="1"/>
  <c r="L318" i="1"/>
  <c r="K318" i="1"/>
  <c r="J318" i="1"/>
  <c r="I318" i="1"/>
  <c r="H318" i="1"/>
  <c r="G318" i="1"/>
  <c r="F318" i="1"/>
  <c r="O317" i="1"/>
  <c r="N317" i="1"/>
  <c r="M317" i="1"/>
  <c r="L317" i="1"/>
  <c r="K317" i="1"/>
  <c r="J317" i="1"/>
  <c r="I317" i="1"/>
  <c r="H317" i="1"/>
  <c r="G317" i="1"/>
  <c r="F317" i="1"/>
  <c r="O316" i="1"/>
  <c r="N316" i="1"/>
  <c r="M316" i="1"/>
  <c r="L316" i="1"/>
  <c r="K316" i="1"/>
  <c r="J316" i="1"/>
  <c r="I316" i="1"/>
  <c r="H316" i="1"/>
  <c r="G316" i="1"/>
  <c r="F316" i="1"/>
  <c r="O315" i="1"/>
  <c r="N315" i="1"/>
  <c r="M315" i="1"/>
  <c r="L315" i="1"/>
  <c r="K315" i="1"/>
  <c r="J315" i="1"/>
  <c r="I315" i="1"/>
  <c r="H315" i="1"/>
  <c r="G315" i="1"/>
  <c r="F315" i="1"/>
  <c r="O314" i="1"/>
  <c r="N314" i="1"/>
  <c r="M314" i="1"/>
  <c r="L314" i="1"/>
  <c r="K314" i="1"/>
  <c r="J314" i="1"/>
  <c r="I314" i="1"/>
  <c r="H314" i="1"/>
  <c r="G314" i="1"/>
  <c r="F314" i="1"/>
  <c r="O313" i="1"/>
  <c r="N313" i="1"/>
  <c r="M313" i="1"/>
  <c r="L313" i="1"/>
  <c r="K313" i="1"/>
  <c r="J313" i="1"/>
  <c r="I313" i="1"/>
  <c r="H313" i="1"/>
  <c r="G313" i="1"/>
  <c r="F313" i="1"/>
  <c r="O312" i="1"/>
  <c r="N312" i="1"/>
  <c r="M312" i="1"/>
  <c r="L312" i="1"/>
  <c r="K312" i="1"/>
  <c r="J312" i="1"/>
  <c r="I312" i="1"/>
  <c r="H312" i="1"/>
  <c r="G312" i="1"/>
  <c r="F312" i="1"/>
  <c r="O311" i="1"/>
  <c r="N311" i="1"/>
  <c r="M311" i="1"/>
  <c r="L311" i="1"/>
  <c r="K311" i="1"/>
  <c r="J311" i="1"/>
  <c r="I311" i="1"/>
  <c r="H311" i="1"/>
  <c r="G311" i="1"/>
  <c r="F311" i="1"/>
  <c r="O310" i="1"/>
  <c r="N310" i="1"/>
  <c r="M310" i="1"/>
  <c r="L310" i="1"/>
  <c r="K310" i="1"/>
  <c r="J310" i="1"/>
  <c r="I310" i="1"/>
  <c r="H310" i="1"/>
  <c r="G310" i="1"/>
  <c r="F310" i="1"/>
  <c r="O309" i="1"/>
  <c r="N309" i="1"/>
  <c r="M309" i="1"/>
  <c r="L309" i="1"/>
  <c r="K309" i="1"/>
  <c r="J309" i="1"/>
  <c r="I309" i="1"/>
  <c r="H309" i="1"/>
  <c r="G309" i="1"/>
  <c r="F309" i="1"/>
  <c r="O308" i="1"/>
  <c r="N308" i="1"/>
  <c r="M308" i="1"/>
  <c r="L308" i="1"/>
  <c r="K308" i="1"/>
  <c r="J308" i="1"/>
  <c r="I308" i="1"/>
  <c r="H308" i="1"/>
  <c r="G308" i="1"/>
  <c r="F308" i="1"/>
  <c r="O307" i="1"/>
  <c r="N307" i="1"/>
  <c r="M307" i="1"/>
  <c r="L307" i="1"/>
  <c r="K307" i="1"/>
  <c r="J307" i="1"/>
  <c r="I307" i="1"/>
  <c r="H307" i="1"/>
  <c r="G307" i="1"/>
  <c r="F307" i="1"/>
  <c r="O306" i="1"/>
  <c r="N306" i="1"/>
  <c r="M306" i="1"/>
  <c r="L306" i="1"/>
  <c r="K306" i="1"/>
  <c r="J306" i="1"/>
  <c r="I306" i="1"/>
  <c r="H306" i="1"/>
  <c r="G306" i="1"/>
  <c r="F306" i="1"/>
  <c r="O305" i="1"/>
  <c r="N305" i="1"/>
  <c r="M305" i="1"/>
  <c r="L305" i="1"/>
  <c r="K305" i="1"/>
  <c r="J305" i="1"/>
  <c r="I305" i="1"/>
  <c r="H305" i="1"/>
  <c r="G305" i="1"/>
  <c r="F305" i="1"/>
  <c r="O304" i="1"/>
  <c r="N304" i="1"/>
  <c r="M304" i="1"/>
  <c r="L304" i="1"/>
  <c r="K304" i="1"/>
  <c r="J304" i="1"/>
  <c r="I304" i="1"/>
  <c r="H304" i="1"/>
  <c r="G304" i="1"/>
  <c r="F304" i="1"/>
  <c r="O303" i="1"/>
  <c r="N303" i="1"/>
  <c r="M303" i="1"/>
  <c r="L303" i="1"/>
  <c r="K303" i="1"/>
  <c r="J303" i="1"/>
  <c r="I303" i="1"/>
  <c r="H303" i="1"/>
  <c r="G303" i="1"/>
  <c r="F303" i="1"/>
  <c r="O302" i="1"/>
  <c r="N302" i="1"/>
  <c r="M302" i="1"/>
  <c r="L302" i="1"/>
  <c r="K302" i="1"/>
  <c r="J302" i="1"/>
  <c r="I302" i="1"/>
  <c r="H302" i="1"/>
  <c r="G302" i="1"/>
  <c r="F302" i="1"/>
  <c r="O301" i="1"/>
  <c r="N301" i="1"/>
  <c r="M301" i="1"/>
  <c r="L301" i="1"/>
  <c r="K301" i="1"/>
  <c r="J301" i="1"/>
  <c r="I301" i="1"/>
  <c r="H301" i="1"/>
  <c r="G301" i="1"/>
  <c r="F301" i="1"/>
  <c r="O300" i="1"/>
  <c r="N300" i="1"/>
  <c r="M300" i="1"/>
  <c r="L300" i="1"/>
  <c r="K300" i="1"/>
  <c r="J300" i="1"/>
  <c r="I300" i="1"/>
  <c r="H300" i="1"/>
  <c r="G300" i="1"/>
  <c r="F300" i="1"/>
  <c r="O299" i="1"/>
  <c r="N299" i="1"/>
  <c r="M299" i="1"/>
  <c r="L299" i="1"/>
  <c r="K299" i="1"/>
  <c r="J299" i="1"/>
  <c r="I299" i="1"/>
  <c r="H299" i="1"/>
  <c r="G299" i="1"/>
  <c r="F299" i="1"/>
  <c r="O298" i="1"/>
  <c r="N298" i="1"/>
  <c r="M298" i="1"/>
  <c r="L298" i="1"/>
  <c r="K298" i="1"/>
  <c r="J298" i="1"/>
  <c r="I298" i="1"/>
  <c r="H298" i="1"/>
  <c r="G298" i="1"/>
  <c r="F298" i="1"/>
  <c r="O297" i="1"/>
  <c r="N297" i="1"/>
  <c r="M297" i="1"/>
  <c r="L297" i="1"/>
  <c r="K297" i="1"/>
  <c r="J297" i="1"/>
  <c r="I297" i="1"/>
  <c r="H297" i="1"/>
  <c r="G297" i="1"/>
  <c r="F297" i="1"/>
  <c r="O296" i="1"/>
  <c r="N296" i="1"/>
  <c r="M296" i="1"/>
  <c r="L296" i="1"/>
  <c r="K296" i="1"/>
  <c r="J296" i="1"/>
  <c r="I296" i="1"/>
  <c r="H296" i="1"/>
  <c r="G296" i="1"/>
  <c r="F296" i="1"/>
  <c r="O295" i="1"/>
  <c r="N295" i="1"/>
  <c r="M295" i="1"/>
  <c r="L295" i="1"/>
  <c r="K295" i="1"/>
  <c r="J295" i="1"/>
  <c r="I295" i="1"/>
  <c r="H295" i="1"/>
  <c r="G295" i="1"/>
  <c r="F295" i="1"/>
  <c r="O294" i="1"/>
  <c r="N294" i="1"/>
  <c r="M294" i="1"/>
  <c r="L294" i="1"/>
  <c r="K294" i="1"/>
  <c r="J294" i="1"/>
  <c r="I294" i="1"/>
  <c r="H294" i="1"/>
  <c r="G294" i="1"/>
  <c r="F294" i="1"/>
  <c r="O293" i="1"/>
  <c r="N293" i="1"/>
  <c r="M293" i="1"/>
  <c r="L293" i="1"/>
  <c r="K293" i="1"/>
  <c r="J293" i="1"/>
  <c r="I293" i="1"/>
  <c r="H293" i="1"/>
  <c r="G293" i="1"/>
  <c r="F293" i="1"/>
  <c r="O292" i="1"/>
  <c r="N292" i="1"/>
  <c r="M292" i="1"/>
  <c r="L292" i="1"/>
  <c r="K292" i="1"/>
  <c r="J292" i="1"/>
  <c r="I292" i="1"/>
  <c r="H292" i="1"/>
  <c r="G292" i="1"/>
  <c r="F292" i="1"/>
  <c r="O291" i="1"/>
  <c r="N291" i="1"/>
  <c r="M291" i="1"/>
  <c r="L291" i="1"/>
  <c r="K291" i="1"/>
  <c r="J291" i="1"/>
  <c r="I291" i="1"/>
  <c r="H291" i="1"/>
  <c r="G291" i="1"/>
  <c r="F291" i="1"/>
  <c r="O290" i="1"/>
  <c r="N290" i="1"/>
  <c r="M290" i="1"/>
  <c r="L290" i="1"/>
  <c r="K290" i="1"/>
  <c r="J290" i="1"/>
  <c r="I290" i="1"/>
  <c r="H290" i="1"/>
  <c r="G290" i="1"/>
  <c r="F290" i="1"/>
  <c r="O289" i="1"/>
  <c r="N289" i="1"/>
  <c r="M289" i="1"/>
  <c r="L289" i="1"/>
  <c r="K289" i="1"/>
  <c r="J289" i="1"/>
  <c r="I289" i="1"/>
  <c r="H289" i="1"/>
  <c r="G289" i="1"/>
  <c r="F289" i="1"/>
  <c r="O288" i="1"/>
  <c r="N288" i="1"/>
  <c r="M288" i="1"/>
  <c r="L288" i="1"/>
  <c r="K288" i="1"/>
  <c r="J288" i="1"/>
  <c r="I288" i="1"/>
  <c r="H288" i="1"/>
  <c r="G288" i="1"/>
  <c r="F288" i="1"/>
  <c r="O287" i="1"/>
  <c r="N287" i="1"/>
  <c r="M287" i="1"/>
  <c r="L287" i="1"/>
  <c r="K287" i="1"/>
  <c r="J287" i="1"/>
  <c r="I287" i="1"/>
  <c r="H287" i="1"/>
  <c r="G287" i="1"/>
  <c r="F287" i="1"/>
  <c r="O286" i="1"/>
  <c r="N286" i="1"/>
  <c r="M286" i="1"/>
  <c r="L286" i="1"/>
  <c r="K286" i="1"/>
  <c r="J286" i="1"/>
  <c r="I286" i="1"/>
  <c r="H286" i="1"/>
  <c r="G286" i="1"/>
  <c r="F286" i="1"/>
  <c r="O285" i="1"/>
  <c r="N285" i="1"/>
  <c r="M285" i="1"/>
  <c r="L285" i="1"/>
  <c r="K285" i="1"/>
  <c r="J285" i="1"/>
  <c r="I285" i="1"/>
  <c r="H285" i="1"/>
  <c r="G285" i="1"/>
  <c r="F285" i="1"/>
  <c r="O284" i="1"/>
  <c r="N284" i="1"/>
  <c r="M284" i="1"/>
  <c r="L284" i="1"/>
  <c r="K284" i="1"/>
  <c r="J284" i="1"/>
  <c r="I284" i="1"/>
  <c r="H284" i="1"/>
  <c r="G284" i="1"/>
  <c r="F284" i="1"/>
  <c r="O283" i="1"/>
  <c r="N283" i="1"/>
  <c r="M283" i="1"/>
  <c r="L283" i="1"/>
  <c r="K283" i="1"/>
  <c r="J283" i="1"/>
  <c r="I283" i="1"/>
  <c r="H283" i="1"/>
  <c r="G283" i="1"/>
  <c r="F283" i="1"/>
  <c r="O282" i="1"/>
  <c r="N282" i="1"/>
  <c r="M282" i="1"/>
  <c r="L282" i="1"/>
  <c r="K282" i="1"/>
  <c r="J282" i="1"/>
  <c r="I282" i="1"/>
  <c r="H282" i="1"/>
  <c r="G282" i="1"/>
  <c r="F282" i="1"/>
  <c r="O281" i="1"/>
  <c r="N281" i="1"/>
  <c r="M281" i="1"/>
  <c r="L281" i="1"/>
  <c r="K281" i="1"/>
  <c r="J281" i="1"/>
  <c r="I281" i="1"/>
  <c r="H281" i="1"/>
  <c r="G281" i="1"/>
  <c r="F281" i="1"/>
  <c r="O280" i="1"/>
  <c r="N280" i="1"/>
  <c r="M280" i="1"/>
  <c r="L280" i="1"/>
  <c r="K280" i="1"/>
  <c r="J280" i="1"/>
  <c r="I280" i="1"/>
  <c r="H280" i="1"/>
  <c r="G280" i="1"/>
  <c r="F280" i="1"/>
  <c r="O279" i="1"/>
  <c r="N279" i="1"/>
  <c r="M279" i="1"/>
  <c r="L279" i="1"/>
  <c r="K279" i="1"/>
  <c r="J279" i="1"/>
  <c r="I279" i="1"/>
  <c r="H279" i="1"/>
  <c r="G279" i="1"/>
  <c r="F279" i="1"/>
  <c r="O278" i="1"/>
  <c r="N278" i="1"/>
  <c r="M278" i="1"/>
  <c r="L278" i="1"/>
  <c r="K278" i="1"/>
  <c r="J278" i="1"/>
  <c r="I278" i="1"/>
  <c r="H278" i="1"/>
  <c r="G278" i="1"/>
  <c r="F278" i="1"/>
  <c r="O277" i="1"/>
  <c r="N277" i="1"/>
  <c r="M277" i="1"/>
  <c r="L277" i="1"/>
  <c r="K277" i="1"/>
  <c r="J277" i="1"/>
  <c r="I277" i="1"/>
  <c r="H277" i="1"/>
  <c r="G277" i="1"/>
  <c r="F277" i="1"/>
  <c r="O276" i="1"/>
  <c r="N276" i="1"/>
  <c r="M276" i="1"/>
  <c r="L276" i="1"/>
  <c r="K276" i="1"/>
  <c r="J276" i="1"/>
  <c r="I276" i="1"/>
  <c r="H276" i="1"/>
  <c r="G276" i="1"/>
  <c r="F276" i="1"/>
  <c r="O275" i="1"/>
  <c r="N275" i="1"/>
  <c r="M275" i="1"/>
  <c r="L275" i="1"/>
  <c r="K275" i="1"/>
  <c r="J275" i="1"/>
  <c r="I275" i="1"/>
  <c r="H275" i="1"/>
  <c r="G275" i="1"/>
  <c r="F275" i="1"/>
  <c r="O274" i="1"/>
  <c r="N274" i="1"/>
  <c r="M274" i="1"/>
  <c r="L274" i="1"/>
  <c r="K274" i="1"/>
  <c r="J274" i="1"/>
  <c r="I274" i="1"/>
  <c r="H274" i="1"/>
  <c r="G274" i="1"/>
  <c r="F274" i="1"/>
  <c r="O273" i="1"/>
  <c r="N273" i="1"/>
  <c r="M273" i="1"/>
  <c r="L273" i="1"/>
  <c r="K273" i="1"/>
  <c r="J273" i="1"/>
  <c r="I273" i="1"/>
  <c r="H273" i="1"/>
  <c r="G273" i="1"/>
  <c r="F273" i="1"/>
  <c r="O272" i="1"/>
  <c r="N272" i="1"/>
  <c r="M272" i="1"/>
  <c r="L272" i="1"/>
  <c r="K272" i="1"/>
  <c r="J272" i="1"/>
  <c r="I272" i="1"/>
  <c r="H272" i="1"/>
  <c r="G272" i="1"/>
  <c r="F272" i="1"/>
  <c r="O271" i="1"/>
  <c r="N271" i="1"/>
  <c r="M271" i="1"/>
  <c r="L271" i="1"/>
  <c r="K271" i="1"/>
  <c r="J271" i="1"/>
  <c r="I271" i="1"/>
  <c r="H271" i="1"/>
  <c r="G271" i="1"/>
  <c r="F271" i="1"/>
  <c r="O270" i="1"/>
  <c r="N270" i="1"/>
  <c r="M270" i="1"/>
  <c r="L270" i="1"/>
  <c r="K270" i="1"/>
  <c r="J270" i="1"/>
  <c r="I270" i="1"/>
  <c r="H270" i="1"/>
  <c r="G270" i="1"/>
  <c r="F270" i="1"/>
  <c r="O269" i="1"/>
  <c r="N269" i="1"/>
  <c r="M269" i="1"/>
  <c r="L269" i="1"/>
  <c r="K269" i="1"/>
  <c r="J269" i="1"/>
  <c r="I269" i="1"/>
  <c r="H269" i="1"/>
  <c r="G269" i="1"/>
  <c r="F269" i="1"/>
  <c r="O268" i="1"/>
  <c r="N268" i="1"/>
  <c r="M268" i="1"/>
  <c r="L268" i="1"/>
  <c r="K268" i="1"/>
  <c r="J268" i="1"/>
  <c r="I268" i="1"/>
  <c r="H268" i="1"/>
  <c r="G268" i="1"/>
  <c r="F268" i="1"/>
  <c r="O267" i="1"/>
  <c r="N267" i="1"/>
  <c r="M267" i="1"/>
  <c r="L267" i="1"/>
  <c r="K267" i="1"/>
  <c r="J267" i="1"/>
  <c r="I267" i="1"/>
  <c r="H267" i="1"/>
  <c r="G267" i="1"/>
  <c r="F267" i="1"/>
  <c r="O266" i="1"/>
  <c r="N266" i="1"/>
  <c r="M266" i="1"/>
  <c r="L266" i="1"/>
  <c r="K266" i="1"/>
  <c r="J266" i="1"/>
  <c r="I266" i="1"/>
  <c r="H266" i="1"/>
  <c r="G266" i="1"/>
  <c r="F266" i="1"/>
  <c r="O265" i="1"/>
  <c r="N265" i="1"/>
  <c r="M265" i="1"/>
  <c r="L265" i="1"/>
  <c r="K265" i="1"/>
  <c r="J265" i="1"/>
  <c r="I265" i="1"/>
  <c r="H265" i="1"/>
  <c r="G265" i="1"/>
  <c r="F265" i="1"/>
  <c r="O264" i="1"/>
  <c r="N264" i="1"/>
  <c r="M264" i="1"/>
  <c r="L264" i="1"/>
  <c r="K264" i="1"/>
  <c r="J264" i="1"/>
  <c r="I264" i="1"/>
  <c r="H264" i="1"/>
  <c r="G264" i="1"/>
  <c r="F264" i="1"/>
  <c r="O263" i="1"/>
  <c r="N263" i="1"/>
  <c r="M263" i="1"/>
  <c r="L263" i="1"/>
  <c r="K263" i="1"/>
  <c r="J263" i="1"/>
  <c r="I263" i="1"/>
  <c r="H263" i="1"/>
  <c r="G263" i="1"/>
  <c r="F263" i="1"/>
  <c r="O262" i="1"/>
  <c r="N262" i="1"/>
  <c r="M262" i="1"/>
  <c r="L262" i="1"/>
  <c r="K262" i="1"/>
  <c r="J262" i="1"/>
  <c r="I262" i="1"/>
  <c r="H262" i="1"/>
  <c r="G262" i="1"/>
  <c r="F262" i="1"/>
  <c r="O261" i="1"/>
  <c r="N261" i="1"/>
  <c r="M261" i="1"/>
  <c r="L261" i="1"/>
  <c r="K261" i="1"/>
  <c r="J261" i="1"/>
  <c r="I261" i="1"/>
  <c r="H261" i="1"/>
  <c r="G261" i="1"/>
  <c r="F261" i="1"/>
  <c r="O260" i="1"/>
  <c r="N260" i="1"/>
  <c r="M260" i="1"/>
  <c r="L260" i="1"/>
  <c r="K260" i="1"/>
  <c r="J260" i="1"/>
  <c r="I260" i="1"/>
  <c r="H260" i="1"/>
  <c r="G260" i="1"/>
  <c r="F260" i="1"/>
  <c r="O259" i="1"/>
  <c r="N259" i="1"/>
  <c r="M259" i="1"/>
  <c r="L259" i="1"/>
  <c r="K259" i="1"/>
  <c r="J259" i="1"/>
  <c r="I259" i="1"/>
  <c r="H259" i="1"/>
  <c r="G259" i="1"/>
  <c r="F259" i="1"/>
  <c r="O258" i="1"/>
  <c r="N258" i="1"/>
  <c r="M258" i="1"/>
  <c r="L258" i="1"/>
  <c r="K258" i="1"/>
  <c r="J258" i="1"/>
  <c r="I258" i="1"/>
  <c r="H258" i="1"/>
  <c r="G258" i="1"/>
  <c r="F258" i="1"/>
  <c r="O257" i="1"/>
  <c r="N257" i="1"/>
  <c r="M257" i="1"/>
  <c r="L257" i="1"/>
  <c r="K257" i="1"/>
  <c r="J257" i="1"/>
  <c r="I257" i="1"/>
  <c r="H257" i="1"/>
  <c r="G257" i="1"/>
  <c r="F257" i="1"/>
  <c r="O256" i="1"/>
  <c r="N256" i="1"/>
  <c r="M256" i="1"/>
  <c r="L256" i="1"/>
  <c r="K256" i="1"/>
  <c r="J256" i="1"/>
  <c r="I256" i="1"/>
  <c r="H256" i="1"/>
  <c r="G256" i="1"/>
  <c r="F256" i="1"/>
  <c r="O255" i="1"/>
  <c r="N255" i="1"/>
  <c r="M255" i="1"/>
  <c r="L255" i="1"/>
  <c r="K255" i="1"/>
  <c r="J255" i="1"/>
  <c r="I255" i="1"/>
  <c r="H255" i="1"/>
  <c r="G255" i="1"/>
  <c r="F255" i="1"/>
  <c r="O254" i="1"/>
  <c r="N254" i="1"/>
  <c r="M254" i="1"/>
  <c r="L254" i="1"/>
  <c r="K254" i="1"/>
  <c r="J254" i="1"/>
  <c r="I254" i="1"/>
  <c r="H254" i="1"/>
  <c r="G254" i="1"/>
  <c r="F254" i="1"/>
  <c r="O253" i="1"/>
  <c r="N253" i="1"/>
  <c r="M253" i="1"/>
  <c r="L253" i="1"/>
  <c r="K253" i="1"/>
  <c r="J253" i="1"/>
  <c r="I253" i="1"/>
  <c r="H253" i="1"/>
  <c r="G253" i="1"/>
  <c r="F253" i="1"/>
  <c r="O252" i="1"/>
  <c r="N252" i="1"/>
  <c r="M252" i="1"/>
  <c r="L252" i="1"/>
  <c r="K252" i="1"/>
  <c r="J252" i="1"/>
  <c r="I252" i="1"/>
  <c r="H252" i="1"/>
  <c r="G252" i="1"/>
  <c r="F252" i="1"/>
  <c r="O251" i="1"/>
  <c r="N251" i="1"/>
  <c r="M251" i="1"/>
  <c r="L251" i="1"/>
  <c r="K251" i="1"/>
  <c r="J251" i="1"/>
  <c r="I251" i="1"/>
  <c r="H251" i="1"/>
  <c r="G251" i="1"/>
  <c r="F251" i="1"/>
  <c r="O250" i="1"/>
  <c r="N250" i="1"/>
  <c r="M250" i="1"/>
  <c r="L250" i="1"/>
  <c r="K250" i="1"/>
  <c r="J250" i="1"/>
  <c r="I250" i="1"/>
  <c r="H250" i="1"/>
  <c r="G250" i="1"/>
  <c r="F250" i="1"/>
  <c r="O249" i="1"/>
  <c r="N249" i="1"/>
  <c r="M249" i="1"/>
  <c r="L249" i="1"/>
  <c r="K249" i="1"/>
  <c r="J249" i="1"/>
  <c r="I249" i="1"/>
  <c r="H249" i="1"/>
  <c r="G249" i="1"/>
  <c r="F249" i="1"/>
  <c r="O248" i="1"/>
  <c r="N248" i="1"/>
  <c r="M248" i="1"/>
  <c r="L248" i="1"/>
  <c r="K248" i="1"/>
  <c r="J248" i="1"/>
  <c r="I248" i="1"/>
  <c r="H248" i="1"/>
  <c r="G248" i="1"/>
  <c r="F248" i="1"/>
  <c r="O247" i="1"/>
  <c r="N247" i="1"/>
  <c r="M247" i="1"/>
  <c r="L247" i="1"/>
  <c r="K247" i="1"/>
  <c r="J247" i="1"/>
  <c r="I247" i="1"/>
  <c r="H247" i="1"/>
  <c r="G247" i="1"/>
  <c r="F247" i="1"/>
  <c r="O246" i="1"/>
  <c r="N246" i="1"/>
  <c r="M246" i="1"/>
  <c r="L246" i="1"/>
  <c r="K246" i="1"/>
  <c r="J246" i="1"/>
  <c r="I246" i="1"/>
  <c r="H246" i="1"/>
  <c r="G246" i="1"/>
  <c r="F246" i="1"/>
  <c r="O245" i="1"/>
  <c r="N245" i="1"/>
  <c r="M245" i="1"/>
  <c r="L245" i="1"/>
  <c r="K245" i="1"/>
  <c r="J245" i="1"/>
  <c r="I245" i="1"/>
  <c r="H245" i="1"/>
  <c r="G245" i="1"/>
  <c r="F245" i="1"/>
  <c r="O244" i="1"/>
  <c r="N244" i="1"/>
  <c r="M244" i="1"/>
  <c r="L244" i="1"/>
  <c r="K244" i="1"/>
  <c r="J244" i="1"/>
  <c r="I244" i="1"/>
  <c r="H244" i="1"/>
  <c r="G244" i="1"/>
  <c r="F244" i="1"/>
  <c r="O243" i="1"/>
  <c r="N243" i="1"/>
  <c r="M243" i="1"/>
  <c r="L243" i="1"/>
  <c r="K243" i="1"/>
  <c r="J243" i="1"/>
  <c r="I243" i="1"/>
  <c r="H243" i="1"/>
  <c r="G243" i="1"/>
  <c r="F243" i="1"/>
  <c r="O242" i="1"/>
  <c r="N242" i="1"/>
  <c r="M242" i="1"/>
  <c r="L242" i="1"/>
  <c r="K242" i="1"/>
  <c r="J242" i="1"/>
  <c r="I242" i="1"/>
  <c r="H242" i="1"/>
  <c r="G242" i="1"/>
  <c r="F242" i="1"/>
  <c r="O241" i="1"/>
  <c r="N241" i="1"/>
  <c r="M241" i="1"/>
  <c r="L241" i="1"/>
  <c r="K241" i="1"/>
  <c r="J241" i="1"/>
  <c r="I241" i="1"/>
  <c r="H241" i="1"/>
  <c r="G241" i="1"/>
  <c r="F241" i="1"/>
  <c r="O240" i="1"/>
  <c r="N240" i="1"/>
  <c r="M240" i="1"/>
  <c r="L240" i="1"/>
  <c r="K240" i="1"/>
  <c r="J240" i="1"/>
  <c r="I240" i="1"/>
  <c r="H240" i="1"/>
  <c r="G240" i="1"/>
  <c r="F240" i="1"/>
  <c r="O239" i="1"/>
  <c r="N239" i="1"/>
  <c r="M239" i="1"/>
  <c r="L239" i="1"/>
  <c r="K239" i="1"/>
  <c r="J239" i="1"/>
  <c r="I239" i="1"/>
  <c r="H239" i="1"/>
  <c r="G239" i="1"/>
  <c r="F239" i="1"/>
  <c r="O238" i="1"/>
  <c r="N238" i="1"/>
  <c r="M238" i="1"/>
  <c r="L238" i="1"/>
  <c r="K238" i="1"/>
  <c r="J238" i="1"/>
  <c r="I238" i="1"/>
  <c r="H238" i="1"/>
  <c r="G238" i="1"/>
  <c r="F238" i="1"/>
  <c r="O237" i="1"/>
  <c r="N237" i="1"/>
  <c r="M237" i="1"/>
  <c r="L237" i="1"/>
  <c r="K237" i="1"/>
  <c r="J237" i="1"/>
  <c r="I237" i="1"/>
  <c r="H237" i="1"/>
  <c r="G237" i="1"/>
  <c r="F237" i="1"/>
  <c r="O236" i="1"/>
  <c r="N236" i="1"/>
  <c r="M236" i="1"/>
  <c r="L236" i="1"/>
  <c r="K236" i="1"/>
  <c r="J236" i="1"/>
  <c r="I236" i="1"/>
  <c r="H236" i="1"/>
  <c r="G236" i="1"/>
  <c r="F236" i="1"/>
  <c r="O235" i="1"/>
  <c r="N235" i="1"/>
  <c r="M235" i="1"/>
  <c r="L235" i="1"/>
  <c r="K235" i="1"/>
  <c r="J235" i="1"/>
  <c r="I235" i="1"/>
  <c r="H235" i="1"/>
  <c r="G235" i="1"/>
  <c r="F235" i="1"/>
  <c r="O234" i="1"/>
  <c r="N234" i="1"/>
  <c r="M234" i="1"/>
  <c r="L234" i="1"/>
  <c r="K234" i="1"/>
  <c r="J234" i="1"/>
  <c r="I234" i="1"/>
  <c r="H234" i="1"/>
  <c r="G234" i="1"/>
  <c r="F234" i="1"/>
  <c r="O233" i="1"/>
  <c r="N233" i="1"/>
  <c r="M233" i="1"/>
  <c r="L233" i="1"/>
  <c r="K233" i="1"/>
  <c r="J233" i="1"/>
  <c r="I233" i="1"/>
  <c r="H233" i="1"/>
  <c r="G233" i="1"/>
  <c r="F233" i="1"/>
  <c r="O232" i="1"/>
  <c r="N232" i="1"/>
  <c r="M232" i="1"/>
  <c r="L232" i="1"/>
  <c r="K232" i="1"/>
  <c r="J232" i="1"/>
  <c r="I232" i="1"/>
  <c r="H232" i="1"/>
  <c r="G232" i="1"/>
  <c r="F232" i="1"/>
  <c r="O231" i="1"/>
  <c r="N231" i="1"/>
  <c r="M231" i="1"/>
  <c r="L231" i="1"/>
  <c r="K231" i="1"/>
  <c r="J231" i="1"/>
  <c r="I231" i="1"/>
  <c r="H231" i="1"/>
  <c r="G231" i="1"/>
  <c r="F231" i="1"/>
  <c r="O230" i="1"/>
  <c r="N230" i="1"/>
  <c r="M230" i="1"/>
  <c r="L230" i="1"/>
  <c r="K230" i="1"/>
  <c r="J230" i="1"/>
  <c r="I230" i="1"/>
  <c r="H230" i="1"/>
  <c r="G230" i="1"/>
  <c r="F230" i="1"/>
  <c r="O229" i="1"/>
  <c r="N229" i="1"/>
  <c r="M229" i="1"/>
  <c r="L229" i="1"/>
  <c r="K229" i="1"/>
  <c r="J229" i="1"/>
  <c r="I229" i="1"/>
  <c r="H229" i="1"/>
  <c r="G229" i="1"/>
  <c r="F229" i="1"/>
  <c r="O228" i="1"/>
  <c r="N228" i="1"/>
  <c r="M228" i="1"/>
  <c r="L228" i="1"/>
  <c r="K228" i="1"/>
  <c r="J228" i="1"/>
  <c r="I228" i="1"/>
  <c r="H228" i="1"/>
  <c r="G228" i="1"/>
  <c r="F228" i="1"/>
  <c r="O227" i="1"/>
  <c r="N227" i="1"/>
  <c r="M227" i="1"/>
  <c r="L227" i="1"/>
  <c r="K227" i="1"/>
  <c r="J227" i="1"/>
  <c r="I227" i="1"/>
  <c r="H227" i="1"/>
  <c r="G227" i="1"/>
  <c r="F227" i="1"/>
  <c r="O226" i="1"/>
  <c r="N226" i="1"/>
  <c r="M226" i="1"/>
  <c r="L226" i="1"/>
  <c r="K226" i="1"/>
  <c r="J226" i="1"/>
  <c r="I226" i="1"/>
  <c r="H226" i="1"/>
  <c r="G226" i="1"/>
  <c r="F226" i="1"/>
  <c r="O225" i="1"/>
  <c r="N225" i="1"/>
  <c r="M225" i="1"/>
  <c r="L225" i="1"/>
  <c r="K225" i="1"/>
  <c r="J225" i="1"/>
  <c r="I225" i="1"/>
  <c r="H225" i="1"/>
  <c r="G225" i="1"/>
  <c r="F225" i="1"/>
  <c r="O224" i="1"/>
  <c r="N224" i="1"/>
  <c r="M224" i="1"/>
  <c r="L224" i="1"/>
  <c r="K224" i="1"/>
  <c r="J224" i="1"/>
  <c r="I224" i="1"/>
  <c r="H224" i="1"/>
  <c r="G224" i="1"/>
  <c r="F224" i="1"/>
  <c r="O223" i="1"/>
  <c r="N223" i="1"/>
  <c r="M223" i="1"/>
  <c r="L223" i="1"/>
  <c r="K223" i="1"/>
  <c r="J223" i="1"/>
  <c r="I223" i="1"/>
  <c r="H223" i="1"/>
  <c r="G223" i="1"/>
  <c r="F223" i="1"/>
  <c r="O222" i="1"/>
  <c r="N222" i="1"/>
  <c r="M222" i="1"/>
  <c r="L222" i="1"/>
  <c r="K222" i="1"/>
  <c r="J222" i="1"/>
  <c r="I222" i="1"/>
  <c r="H222" i="1"/>
  <c r="G222" i="1"/>
  <c r="F222" i="1"/>
  <c r="O221" i="1"/>
  <c r="N221" i="1"/>
  <c r="M221" i="1"/>
  <c r="L221" i="1"/>
  <c r="K221" i="1"/>
  <c r="J221" i="1"/>
  <c r="I221" i="1"/>
  <c r="H221" i="1"/>
  <c r="G221" i="1"/>
  <c r="F221" i="1"/>
  <c r="O220" i="1"/>
  <c r="N220" i="1"/>
  <c r="M220" i="1"/>
  <c r="L220" i="1"/>
  <c r="K220" i="1"/>
  <c r="J220" i="1"/>
  <c r="I220" i="1"/>
  <c r="H220" i="1"/>
  <c r="G220" i="1"/>
  <c r="F220" i="1"/>
  <c r="O219" i="1"/>
  <c r="N219" i="1"/>
  <c r="M219" i="1"/>
  <c r="L219" i="1"/>
  <c r="K219" i="1"/>
  <c r="J219" i="1"/>
  <c r="I219" i="1"/>
  <c r="H219" i="1"/>
  <c r="G219" i="1"/>
  <c r="F219" i="1"/>
  <c r="O218" i="1"/>
  <c r="N218" i="1"/>
  <c r="M218" i="1"/>
  <c r="L218" i="1"/>
  <c r="K218" i="1"/>
  <c r="J218" i="1"/>
  <c r="I218" i="1"/>
  <c r="H218" i="1"/>
  <c r="G218" i="1"/>
  <c r="F218" i="1"/>
  <c r="O217" i="1"/>
  <c r="N217" i="1"/>
  <c r="M217" i="1"/>
  <c r="L217" i="1"/>
  <c r="K217" i="1"/>
  <c r="J217" i="1"/>
  <c r="I217" i="1"/>
  <c r="H217" i="1"/>
  <c r="G217" i="1"/>
  <c r="F217" i="1"/>
  <c r="O216" i="1"/>
  <c r="N216" i="1"/>
  <c r="M216" i="1"/>
  <c r="L216" i="1"/>
  <c r="K216" i="1"/>
  <c r="J216" i="1"/>
  <c r="I216" i="1"/>
  <c r="H216" i="1"/>
  <c r="G216" i="1"/>
  <c r="F216" i="1"/>
  <c r="O215" i="1"/>
  <c r="N215" i="1"/>
  <c r="M215" i="1"/>
  <c r="L215" i="1"/>
  <c r="K215" i="1"/>
  <c r="J215" i="1"/>
  <c r="I215" i="1"/>
  <c r="H215" i="1"/>
  <c r="G215" i="1"/>
  <c r="F215" i="1"/>
  <c r="O214" i="1"/>
  <c r="N214" i="1"/>
  <c r="M214" i="1"/>
  <c r="L214" i="1"/>
  <c r="K214" i="1"/>
  <c r="J214" i="1"/>
  <c r="I214" i="1"/>
  <c r="H214" i="1"/>
  <c r="G214" i="1"/>
  <c r="F214" i="1"/>
  <c r="O213" i="1"/>
  <c r="N213" i="1"/>
  <c r="M213" i="1"/>
  <c r="L213" i="1"/>
  <c r="K213" i="1"/>
  <c r="J213" i="1"/>
  <c r="I213" i="1"/>
  <c r="H213" i="1"/>
  <c r="G213" i="1"/>
  <c r="F213" i="1"/>
  <c r="O212" i="1"/>
  <c r="N212" i="1"/>
  <c r="M212" i="1"/>
  <c r="L212" i="1"/>
  <c r="K212" i="1"/>
  <c r="J212" i="1"/>
  <c r="I212" i="1"/>
  <c r="H212" i="1"/>
  <c r="G212" i="1"/>
  <c r="F212" i="1"/>
  <c r="O211" i="1"/>
  <c r="N211" i="1"/>
  <c r="M211" i="1"/>
  <c r="L211" i="1"/>
  <c r="K211" i="1"/>
  <c r="J211" i="1"/>
  <c r="I211" i="1"/>
  <c r="H211" i="1"/>
  <c r="G211" i="1"/>
  <c r="F211" i="1"/>
  <c r="O210" i="1"/>
  <c r="N210" i="1"/>
  <c r="M210" i="1"/>
  <c r="L210" i="1"/>
  <c r="K210" i="1"/>
  <c r="J210" i="1"/>
  <c r="I210" i="1"/>
  <c r="H210" i="1"/>
  <c r="G210" i="1"/>
  <c r="F210" i="1"/>
  <c r="O209" i="1"/>
  <c r="N209" i="1"/>
  <c r="M209" i="1"/>
  <c r="L209" i="1"/>
  <c r="K209" i="1"/>
  <c r="J209" i="1"/>
  <c r="I209" i="1"/>
  <c r="H209" i="1"/>
  <c r="G209" i="1"/>
  <c r="F209" i="1"/>
  <c r="O208" i="1"/>
  <c r="N208" i="1"/>
  <c r="M208" i="1"/>
  <c r="L208" i="1"/>
  <c r="K208" i="1"/>
  <c r="J208" i="1"/>
  <c r="I208" i="1"/>
  <c r="H208" i="1"/>
  <c r="G208" i="1"/>
  <c r="F208" i="1"/>
  <c r="O207" i="1"/>
  <c r="N207" i="1"/>
  <c r="M207" i="1"/>
  <c r="L207" i="1"/>
  <c r="K207" i="1"/>
  <c r="J207" i="1"/>
  <c r="I207" i="1"/>
  <c r="H207" i="1"/>
  <c r="G207" i="1"/>
  <c r="F207" i="1"/>
  <c r="O206" i="1"/>
  <c r="N206" i="1"/>
  <c r="M206" i="1"/>
  <c r="L206" i="1"/>
  <c r="K206" i="1"/>
  <c r="J206" i="1"/>
  <c r="I206" i="1"/>
  <c r="H206" i="1"/>
  <c r="G206" i="1"/>
  <c r="F206" i="1"/>
  <c r="O205" i="1"/>
  <c r="N205" i="1"/>
  <c r="M205" i="1"/>
  <c r="L205" i="1"/>
  <c r="K205" i="1"/>
  <c r="J205" i="1"/>
  <c r="I205" i="1"/>
  <c r="H205" i="1"/>
  <c r="G205" i="1"/>
  <c r="F205" i="1"/>
  <c r="O204" i="1"/>
  <c r="N204" i="1"/>
  <c r="M204" i="1"/>
  <c r="L204" i="1"/>
  <c r="K204" i="1"/>
  <c r="J204" i="1"/>
  <c r="I204" i="1"/>
  <c r="H204" i="1"/>
  <c r="G204" i="1"/>
  <c r="F204" i="1"/>
  <c r="O203" i="1"/>
  <c r="N203" i="1"/>
  <c r="M203" i="1"/>
  <c r="L203" i="1"/>
  <c r="K203" i="1"/>
  <c r="J203" i="1"/>
  <c r="I203" i="1"/>
  <c r="H203" i="1"/>
  <c r="G203" i="1"/>
  <c r="F203" i="1"/>
  <c r="O202" i="1"/>
  <c r="N202" i="1"/>
  <c r="M202" i="1"/>
  <c r="L202" i="1"/>
  <c r="K202" i="1"/>
  <c r="J202" i="1"/>
  <c r="I202" i="1"/>
  <c r="H202" i="1"/>
  <c r="G202" i="1"/>
  <c r="F202" i="1"/>
  <c r="O201" i="1"/>
  <c r="N201" i="1"/>
  <c r="M201" i="1"/>
  <c r="L201" i="1"/>
  <c r="K201" i="1"/>
  <c r="J201" i="1"/>
  <c r="I201" i="1"/>
  <c r="H201" i="1"/>
  <c r="G201" i="1"/>
  <c r="F201" i="1"/>
  <c r="O200" i="1"/>
  <c r="N200" i="1"/>
  <c r="M200" i="1"/>
  <c r="L200" i="1"/>
  <c r="K200" i="1"/>
  <c r="J200" i="1"/>
  <c r="I200" i="1"/>
  <c r="H200" i="1"/>
  <c r="G200" i="1"/>
  <c r="F200" i="1"/>
  <c r="O199" i="1"/>
  <c r="N199" i="1"/>
  <c r="M199" i="1"/>
  <c r="L199" i="1"/>
  <c r="K199" i="1"/>
  <c r="J199" i="1"/>
  <c r="I199" i="1"/>
  <c r="H199" i="1"/>
  <c r="G199" i="1"/>
  <c r="F199" i="1"/>
  <c r="O198" i="1"/>
  <c r="N198" i="1"/>
  <c r="M198" i="1"/>
  <c r="L198" i="1"/>
  <c r="K198" i="1"/>
  <c r="J198" i="1"/>
  <c r="I198" i="1"/>
  <c r="H198" i="1"/>
  <c r="G198" i="1"/>
  <c r="F198" i="1"/>
  <c r="O197" i="1"/>
  <c r="N197" i="1"/>
  <c r="M197" i="1"/>
  <c r="L197" i="1"/>
  <c r="K197" i="1"/>
  <c r="J197" i="1"/>
  <c r="I197" i="1"/>
  <c r="H197" i="1"/>
  <c r="G197" i="1"/>
  <c r="F197" i="1"/>
  <c r="O196" i="1"/>
  <c r="N196" i="1"/>
  <c r="M196" i="1"/>
  <c r="L196" i="1"/>
  <c r="K196" i="1"/>
  <c r="J196" i="1"/>
  <c r="I196" i="1"/>
  <c r="H196" i="1"/>
  <c r="G196" i="1"/>
  <c r="F196" i="1"/>
  <c r="O195" i="1"/>
  <c r="N195" i="1"/>
  <c r="M195" i="1"/>
  <c r="L195" i="1"/>
  <c r="K195" i="1"/>
  <c r="J195" i="1"/>
  <c r="I195" i="1"/>
  <c r="H195" i="1"/>
  <c r="G195" i="1"/>
  <c r="F195" i="1"/>
  <c r="O194" i="1"/>
  <c r="N194" i="1"/>
  <c r="M194" i="1"/>
  <c r="L194" i="1"/>
  <c r="K194" i="1"/>
  <c r="J194" i="1"/>
  <c r="I194" i="1"/>
  <c r="H194" i="1"/>
  <c r="G194" i="1"/>
  <c r="F194" i="1"/>
  <c r="O193" i="1"/>
  <c r="N193" i="1"/>
  <c r="M193" i="1"/>
  <c r="L193" i="1"/>
  <c r="K193" i="1"/>
  <c r="J193" i="1"/>
  <c r="I193" i="1"/>
  <c r="H193" i="1"/>
  <c r="G193" i="1"/>
  <c r="F193" i="1"/>
  <c r="O192" i="1"/>
  <c r="N192" i="1"/>
  <c r="M192" i="1"/>
  <c r="L192" i="1"/>
  <c r="K192" i="1"/>
  <c r="J192" i="1"/>
  <c r="I192" i="1"/>
  <c r="H192" i="1"/>
  <c r="G192" i="1"/>
  <c r="F192" i="1"/>
  <c r="O191" i="1"/>
  <c r="N191" i="1"/>
  <c r="M191" i="1"/>
  <c r="L191" i="1"/>
  <c r="K191" i="1"/>
  <c r="J191" i="1"/>
  <c r="I191" i="1"/>
  <c r="H191" i="1"/>
  <c r="G191" i="1"/>
  <c r="F191" i="1"/>
  <c r="O190" i="1"/>
  <c r="N190" i="1"/>
  <c r="M190" i="1"/>
  <c r="L190" i="1"/>
  <c r="K190" i="1"/>
  <c r="J190" i="1"/>
  <c r="I190" i="1"/>
  <c r="H190" i="1"/>
  <c r="G190" i="1"/>
  <c r="F190" i="1"/>
  <c r="O189" i="1"/>
  <c r="N189" i="1"/>
  <c r="M189" i="1"/>
  <c r="L189" i="1"/>
  <c r="K189" i="1"/>
  <c r="J189" i="1"/>
  <c r="I189" i="1"/>
  <c r="H189" i="1"/>
  <c r="G189" i="1"/>
  <c r="F189" i="1"/>
  <c r="O188" i="1"/>
  <c r="N188" i="1"/>
  <c r="M188" i="1"/>
  <c r="L188" i="1"/>
  <c r="K188" i="1"/>
  <c r="J188" i="1"/>
  <c r="I188" i="1"/>
  <c r="H188" i="1"/>
  <c r="G188" i="1"/>
  <c r="F188" i="1"/>
  <c r="O187" i="1"/>
  <c r="N187" i="1"/>
  <c r="M187" i="1"/>
  <c r="L187" i="1"/>
  <c r="K187" i="1"/>
  <c r="J187" i="1"/>
  <c r="I187" i="1"/>
  <c r="H187" i="1"/>
  <c r="G187" i="1"/>
  <c r="F187" i="1"/>
  <c r="O186" i="1"/>
  <c r="N186" i="1"/>
  <c r="M186" i="1"/>
  <c r="L186" i="1"/>
  <c r="K186" i="1"/>
  <c r="J186" i="1"/>
  <c r="I186" i="1"/>
  <c r="H186" i="1"/>
  <c r="G186" i="1"/>
  <c r="F186" i="1"/>
  <c r="O185" i="1"/>
  <c r="N185" i="1"/>
  <c r="M185" i="1"/>
  <c r="L185" i="1"/>
  <c r="K185" i="1"/>
  <c r="J185" i="1"/>
  <c r="I185" i="1"/>
  <c r="H185" i="1"/>
  <c r="G185" i="1"/>
  <c r="F185" i="1"/>
  <c r="O184" i="1"/>
  <c r="N184" i="1"/>
  <c r="M184" i="1"/>
  <c r="L184" i="1"/>
  <c r="K184" i="1"/>
  <c r="J184" i="1"/>
  <c r="I184" i="1"/>
  <c r="H184" i="1"/>
  <c r="G184" i="1"/>
  <c r="F184" i="1"/>
  <c r="O183" i="1"/>
  <c r="N183" i="1"/>
  <c r="M183" i="1"/>
  <c r="L183" i="1"/>
  <c r="K183" i="1"/>
  <c r="J183" i="1"/>
  <c r="I183" i="1"/>
  <c r="H183" i="1"/>
  <c r="G183" i="1"/>
  <c r="F183" i="1"/>
  <c r="O182" i="1"/>
  <c r="N182" i="1"/>
  <c r="M182" i="1"/>
  <c r="L182" i="1"/>
  <c r="K182" i="1"/>
  <c r="J182" i="1"/>
  <c r="I182" i="1"/>
  <c r="H182" i="1"/>
  <c r="G182" i="1"/>
  <c r="F182" i="1"/>
  <c r="O181" i="1"/>
  <c r="N181" i="1"/>
  <c r="M181" i="1"/>
  <c r="L181" i="1"/>
  <c r="K181" i="1"/>
  <c r="J181" i="1"/>
  <c r="I181" i="1"/>
  <c r="H181" i="1"/>
  <c r="G181" i="1"/>
  <c r="F181" i="1"/>
  <c r="O180" i="1"/>
  <c r="N180" i="1"/>
  <c r="M180" i="1"/>
  <c r="L180" i="1"/>
  <c r="K180" i="1"/>
  <c r="J180" i="1"/>
  <c r="I180" i="1"/>
  <c r="H180" i="1"/>
  <c r="G180" i="1"/>
  <c r="F180" i="1"/>
  <c r="O179" i="1"/>
  <c r="N179" i="1"/>
  <c r="M179" i="1"/>
  <c r="L179" i="1"/>
  <c r="K179" i="1"/>
  <c r="J179" i="1"/>
  <c r="I179" i="1"/>
  <c r="H179" i="1"/>
  <c r="G179" i="1"/>
  <c r="F179" i="1"/>
  <c r="O178" i="1"/>
  <c r="N178" i="1"/>
  <c r="M178" i="1"/>
  <c r="L178" i="1"/>
  <c r="K178" i="1"/>
  <c r="J178" i="1"/>
  <c r="I178" i="1"/>
  <c r="H178" i="1"/>
  <c r="G178" i="1"/>
  <c r="F178" i="1"/>
  <c r="O177" i="1"/>
  <c r="N177" i="1"/>
  <c r="M177" i="1"/>
  <c r="L177" i="1"/>
  <c r="K177" i="1"/>
  <c r="J177" i="1"/>
  <c r="I177" i="1"/>
  <c r="H177" i="1"/>
  <c r="G177" i="1"/>
  <c r="F177" i="1"/>
  <c r="O176" i="1"/>
  <c r="N176" i="1"/>
  <c r="M176" i="1"/>
  <c r="L176" i="1"/>
  <c r="K176" i="1"/>
  <c r="J176" i="1"/>
  <c r="I176" i="1"/>
  <c r="H176" i="1"/>
  <c r="G176" i="1"/>
  <c r="F176" i="1"/>
  <c r="O175" i="1"/>
  <c r="N175" i="1"/>
  <c r="M175" i="1"/>
  <c r="L175" i="1"/>
  <c r="K175" i="1"/>
  <c r="J175" i="1"/>
  <c r="I175" i="1"/>
  <c r="H175" i="1"/>
  <c r="G175" i="1"/>
  <c r="F175" i="1"/>
  <c r="O174" i="1"/>
  <c r="N174" i="1"/>
  <c r="M174" i="1"/>
  <c r="L174" i="1"/>
  <c r="K174" i="1"/>
  <c r="J174" i="1"/>
  <c r="I174" i="1"/>
  <c r="H174" i="1"/>
  <c r="G174" i="1"/>
  <c r="F174" i="1"/>
  <c r="O173" i="1"/>
  <c r="N173" i="1"/>
  <c r="M173" i="1"/>
  <c r="L173" i="1"/>
  <c r="K173" i="1"/>
  <c r="J173" i="1"/>
  <c r="I173" i="1"/>
  <c r="H173" i="1"/>
  <c r="G173" i="1"/>
  <c r="F173" i="1"/>
  <c r="O172" i="1"/>
  <c r="N172" i="1"/>
  <c r="M172" i="1"/>
  <c r="L172" i="1"/>
  <c r="K172" i="1"/>
  <c r="J172" i="1"/>
  <c r="I172" i="1"/>
  <c r="H172" i="1"/>
  <c r="G172" i="1"/>
  <c r="F172" i="1"/>
  <c r="O171" i="1"/>
  <c r="N171" i="1"/>
  <c r="M171" i="1"/>
  <c r="L171" i="1"/>
  <c r="K171" i="1"/>
  <c r="J171" i="1"/>
  <c r="I171" i="1"/>
  <c r="H171" i="1"/>
  <c r="G171" i="1"/>
  <c r="F171" i="1"/>
  <c r="O170" i="1"/>
  <c r="N170" i="1"/>
  <c r="M170" i="1"/>
  <c r="L170" i="1"/>
  <c r="K170" i="1"/>
  <c r="J170" i="1"/>
  <c r="I170" i="1"/>
  <c r="H170" i="1"/>
  <c r="G170" i="1"/>
  <c r="F170" i="1"/>
  <c r="O169" i="1"/>
  <c r="N169" i="1"/>
  <c r="M169" i="1"/>
  <c r="L169" i="1"/>
  <c r="K169" i="1"/>
  <c r="J169" i="1"/>
  <c r="I169" i="1"/>
  <c r="H169" i="1"/>
  <c r="G169" i="1"/>
  <c r="F169" i="1"/>
  <c r="O168" i="1"/>
  <c r="N168" i="1"/>
  <c r="M168" i="1"/>
  <c r="L168" i="1"/>
  <c r="K168" i="1"/>
  <c r="J168" i="1"/>
  <c r="I168" i="1"/>
  <c r="H168" i="1"/>
  <c r="G168" i="1"/>
  <c r="F168" i="1"/>
  <c r="O167" i="1"/>
  <c r="N167" i="1"/>
  <c r="M167" i="1"/>
  <c r="L167" i="1"/>
  <c r="K167" i="1"/>
  <c r="J167" i="1"/>
  <c r="I167" i="1"/>
  <c r="H167" i="1"/>
  <c r="G167" i="1"/>
  <c r="F167" i="1"/>
  <c r="O166" i="1"/>
  <c r="N166" i="1"/>
  <c r="M166" i="1"/>
  <c r="L166" i="1"/>
  <c r="K166" i="1"/>
  <c r="J166" i="1"/>
  <c r="I166" i="1"/>
  <c r="H166" i="1"/>
  <c r="G166" i="1"/>
  <c r="F166" i="1"/>
  <c r="O165" i="1"/>
  <c r="N165" i="1"/>
  <c r="M165" i="1"/>
  <c r="L165" i="1"/>
  <c r="K165" i="1"/>
  <c r="J165" i="1"/>
  <c r="I165" i="1"/>
  <c r="H165" i="1"/>
  <c r="G165" i="1"/>
  <c r="F165" i="1"/>
  <c r="O164" i="1"/>
  <c r="N164" i="1"/>
  <c r="M164" i="1"/>
  <c r="L164" i="1"/>
  <c r="K164" i="1"/>
  <c r="J164" i="1"/>
  <c r="I164" i="1"/>
  <c r="H164" i="1"/>
  <c r="G164" i="1"/>
  <c r="F164" i="1"/>
  <c r="O163" i="1"/>
  <c r="N163" i="1"/>
  <c r="M163" i="1"/>
  <c r="L163" i="1"/>
  <c r="K163" i="1"/>
  <c r="J163" i="1"/>
  <c r="I163" i="1"/>
  <c r="H163" i="1"/>
  <c r="G163" i="1"/>
  <c r="F163" i="1"/>
  <c r="O162" i="1"/>
  <c r="N162" i="1"/>
  <c r="M162" i="1"/>
  <c r="L162" i="1"/>
  <c r="K162" i="1"/>
  <c r="J162" i="1"/>
  <c r="I162" i="1"/>
  <c r="H162" i="1"/>
  <c r="G162" i="1"/>
  <c r="F162" i="1"/>
  <c r="O161" i="1"/>
  <c r="N161" i="1"/>
  <c r="M161" i="1"/>
  <c r="L161" i="1"/>
  <c r="K161" i="1"/>
  <c r="J161" i="1"/>
  <c r="I161" i="1"/>
  <c r="H161" i="1"/>
  <c r="G161" i="1"/>
  <c r="F161" i="1"/>
  <c r="O160" i="1"/>
  <c r="N160" i="1"/>
  <c r="M160" i="1"/>
  <c r="L160" i="1"/>
  <c r="K160" i="1"/>
  <c r="J160" i="1"/>
  <c r="I160" i="1"/>
  <c r="H160" i="1"/>
  <c r="G160" i="1"/>
  <c r="F160" i="1"/>
  <c r="O159" i="1"/>
  <c r="N159" i="1"/>
  <c r="M159" i="1"/>
  <c r="L159" i="1"/>
  <c r="K159" i="1"/>
  <c r="J159" i="1"/>
  <c r="I159" i="1"/>
  <c r="H159" i="1"/>
  <c r="G159" i="1"/>
  <c r="F159" i="1"/>
  <c r="O158" i="1"/>
  <c r="N158" i="1"/>
  <c r="M158" i="1"/>
  <c r="L158" i="1"/>
  <c r="K158" i="1"/>
  <c r="J158" i="1"/>
  <c r="I158" i="1"/>
  <c r="H158" i="1"/>
  <c r="G158" i="1"/>
  <c r="F158" i="1"/>
  <c r="O157" i="1"/>
  <c r="N157" i="1"/>
  <c r="M157" i="1"/>
  <c r="L157" i="1"/>
  <c r="K157" i="1"/>
  <c r="J157" i="1"/>
  <c r="I157" i="1"/>
  <c r="H157" i="1"/>
  <c r="G157" i="1"/>
  <c r="F157" i="1"/>
  <c r="O156" i="1"/>
  <c r="N156" i="1"/>
  <c r="M156" i="1"/>
  <c r="L156" i="1"/>
  <c r="K156" i="1"/>
  <c r="J156" i="1"/>
  <c r="I156" i="1"/>
  <c r="H156" i="1"/>
  <c r="G156" i="1"/>
  <c r="F156" i="1"/>
  <c r="O155" i="1"/>
  <c r="N155" i="1"/>
  <c r="M155" i="1"/>
  <c r="L155" i="1"/>
  <c r="K155" i="1"/>
  <c r="J155" i="1"/>
  <c r="I155" i="1"/>
  <c r="H155" i="1"/>
  <c r="G155" i="1"/>
  <c r="F155" i="1"/>
  <c r="O154" i="1"/>
  <c r="N154" i="1"/>
  <c r="M154" i="1"/>
  <c r="L154" i="1"/>
  <c r="K154" i="1"/>
  <c r="J154" i="1"/>
  <c r="I154" i="1"/>
  <c r="H154" i="1"/>
  <c r="G154" i="1"/>
  <c r="F154" i="1"/>
  <c r="O153" i="1"/>
  <c r="N153" i="1"/>
  <c r="M153" i="1"/>
  <c r="L153" i="1"/>
  <c r="K153" i="1"/>
  <c r="J153" i="1"/>
  <c r="I153" i="1"/>
  <c r="H153" i="1"/>
  <c r="G153" i="1"/>
  <c r="F153" i="1"/>
  <c r="O152" i="1"/>
  <c r="N152" i="1"/>
  <c r="M152" i="1"/>
  <c r="L152" i="1"/>
  <c r="K152" i="1"/>
  <c r="J152" i="1"/>
  <c r="I152" i="1"/>
  <c r="H152" i="1"/>
  <c r="G152" i="1"/>
  <c r="F152" i="1"/>
  <c r="O151" i="1"/>
  <c r="N151" i="1"/>
  <c r="M151" i="1"/>
  <c r="L151" i="1"/>
  <c r="K151" i="1"/>
  <c r="J151" i="1"/>
  <c r="I151" i="1"/>
  <c r="H151" i="1"/>
  <c r="G151" i="1"/>
  <c r="F151" i="1"/>
  <c r="O150" i="1"/>
  <c r="N150" i="1"/>
  <c r="M150" i="1"/>
  <c r="L150" i="1"/>
  <c r="K150" i="1"/>
  <c r="J150" i="1"/>
  <c r="I150" i="1"/>
  <c r="H150" i="1"/>
  <c r="G150" i="1"/>
  <c r="F150" i="1"/>
  <c r="O149" i="1"/>
  <c r="N149" i="1"/>
  <c r="M149" i="1"/>
  <c r="L149" i="1"/>
  <c r="K149" i="1"/>
  <c r="J149" i="1"/>
  <c r="I149" i="1"/>
  <c r="H149" i="1"/>
  <c r="G149" i="1"/>
  <c r="F149" i="1"/>
  <c r="O148" i="1"/>
  <c r="N148" i="1"/>
  <c r="M148" i="1"/>
  <c r="L148" i="1"/>
  <c r="K148" i="1"/>
  <c r="J148" i="1"/>
  <c r="I148" i="1"/>
  <c r="H148" i="1"/>
  <c r="G148" i="1"/>
  <c r="F148" i="1"/>
  <c r="O147" i="1"/>
  <c r="N147" i="1"/>
  <c r="M147" i="1"/>
  <c r="L147" i="1"/>
  <c r="K147" i="1"/>
  <c r="J147" i="1"/>
  <c r="I147" i="1"/>
  <c r="H147" i="1"/>
  <c r="G147" i="1"/>
  <c r="F147" i="1"/>
  <c r="O146" i="1"/>
  <c r="N146" i="1"/>
  <c r="M146" i="1"/>
  <c r="L146" i="1"/>
  <c r="K146" i="1"/>
  <c r="J146" i="1"/>
  <c r="I146" i="1"/>
  <c r="H146" i="1"/>
  <c r="G146" i="1"/>
  <c r="F146" i="1"/>
  <c r="O145" i="1"/>
  <c r="N145" i="1"/>
  <c r="M145" i="1"/>
  <c r="L145" i="1"/>
  <c r="K145" i="1"/>
  <c r="J145" i="1"/>
  <c r="I145" i="1"/>
  <c r="H145" i="1"/>
  <c r="G145" i="1"/>
  <c r="F145" i="1"/>
  <c r="O144" i="1"/>
  <c r="N144" i="1"/>
  <c r="M144" i="1"/>
  <c r="L144" i="1"/>
  <c r="K144" i="1"/>
  <c r="J144" i="1"/>
  <c r="I144" i="1"/>
  <c r="H144" i="1"/>
  <c r="G144" i="1"/>
  <c r="F144" i="1"/>
  <c r="O143" i="1"/>
  <c r="N143" i="1"/>
  <c r="M143" i="1"/>
  <c r="L143" i="1"/>
  <c r="K143" i="1"/>
  <c r="J143" i="1"/>
  <c r="I143" i="1"/>
  <c r="H143" i="1"/>
  <c r="G143" i="1"/>
  <c r="F143" i="1"/>
  <c r="O142" i="1"/>
  <c r="N142" i="1"/>
  <c r="M142" i="1"/>
  <c r="L142" i="1"/>
  <c r="K142" i="1"/>
  <c r="J142" i="1"/>
  <c r="I142" i="1"/>
  <c r="H142" i="1"/>
  <c r="G142" i="1"/>
  <c r="F142" i="1"/>
  <c r="O141" i="1"/>
  <c r="N141" i="1"/>
  <c r="M141" i="1"/>
  <c r="L141" i="1"/>
  <c r="K141" i="1"/>
  <c r="J141" i="1"/>
  <c r="I141" i="1"/>
  <c r="H141" i="1"/>
  <c r="G141" i="1"/>
  <c r="F141" i="1"/>
  <c r="O140" i="1"/>
  <c r="N140" i="1"/>
  <c r="M140" i="1"/>
  <c r="L140" i="1"/>
  <c r="K140" i="1"/>
  <c r="J140" i="1"/>
  <c r="I140" i="1"/>
  <c r="H140" i="1"/>
  <c r="G140" i="1"/>
  <c r="F140" i="1"/>
  <c r="O139" i="1"/>
  <c r="N139" i="1"/>
  <c r="M139" i="1"/>
  <c r="L139" i="1"/>
  <c r="K139" i="1"/>
  <c r="J139" i="1"/>
  <c r="I139" i="1"/>
  <c r="H139" i="1"/>
  <c r="G139" i="1"/>
  <c r="F139" i="1"/>
  <c r="O138" i="1"/>
  <c r="N138" i="1"/>
  <c r="M138" i="1"/>
  <c r="L138" i="1"/>
  <c r="K138" i="1"/>
  <c r="J138" i="1"/>
  <c r="I138" i="1"/>
  <c r="H138" i="1"/>
  <c r="G138" i="1"/>
  <c r="F138" i="1"/>
  <c r="O137" i="1"/>
  <c r="N137" i="1"/>
  <c r="M137" i="1"/>
  <c r="L137" i="1"/>
  <c r="K137" i="1"/>
  <c r="J137" i="1"/>
  <c r="I137" i="1"/>
  <c r="H137" i="1"/>
  <c r="G137" i="1"/>
  <c r="F137" i="1"/>
  <c r="O136" i="1"/>
  <c r="N136" i="1"/>
  <c r="M136" i="1"/>
  <c r="L136" i="1"/>
  <c r="K136" i="1"/>
  <c r="J136" i="1"/>
  <c r="I136" i="1"/>
  <c r="H136" i="1"/>
  <c r="G136" i="1"/>
  <c r="F136" i="1"/>
  <c r="O135" i="1"/>
  <c r="N135" i="1"/>
  <c r="M135" i="1"/>
  <c r="L135" i="1"/>
  <c r="K135" i="1"/>
  <c r="J135" i="1"/>
  <c r="I135" i="1"/>
  <c r="H135" i="1"/>
  <c r="G135" i="1"/>
  <c r="F135" i="1"/>
  <c r="O134" i="1"/>
  <c r="N134" i="1"/>
  <c r="M134" i="1"/>
  <c r="L134" i="1"/>
  <c r="K134" i="1"/>
  <c r="J134" i="1"/>
  <c r="I134" i="1"/>
  <c r="H134" i="1"/>
  <c r="G134" i="1"/>
  <c r="F134" i="1"/>
  <c r="O133" i="1"/>
  <c r="N133" i="1"/>
  <c r="M133" i="1"/>
  <c r="L133" i="1"/>
  <c r="K133" i="1"/>
  <c r="J133" i="1"/>
  <c r="I133" i="1"/>
  <c r="H133" i="1"/>
  <c r="G133" i="1"/>
  <c r="F133" i="1"/>
  <c r="O132" i="1"/>
  <c r="N132" i="1"/>
  <c r="M132" i="1"/>
  <c r="L132" i="1"/>
  <c r="K132" i="1"/>
  <c r="J132" i="1"/>
  <c r="I132" i="1"/>
  <c r="H132" i="1"/>
  <c r="G132" i="1"/>
  <c r="F132" i="1"/>
  <c r="O131" i="1"/>
  <c r="N131" i="1"/>
  <c r="M131" i="1"/>
  <c r="L131" i="1"/>
  <c r="K131" i="1"/>
  <c r="J131" i="1"/>
  <c r="I131" i="1"/>
  <c r="H131" i="1"/>
  <c r="G131" i="1"/>
  <c r="F131" i="1"/>
  <c r="O130" i="1"/>
  <c r="N130" i="1"/>
  <c r="M130" i="1"/>
  <c r="L130" i="1"/>
  <c r="K130" i="1"/>
  <c r="J130" i="1"/>
  <c r="I130" i="1"/>
  <c r="H130" i="1"/>
  <c r="G130" i="1"/>
  <c r="F130" i="1"/>
  <c r="O129" i="1"/>
  <c r="N129" i="1"/>
  <c r="M129" i="1"/>
  <c r="L129" i="1"/>
  <c r="K129" i="1"/>
  <c r="J129" i="1"/>
  <c r="I129" i="1"/>
  <c r="H129" i="1"/>
  <c r="G129" i="1"/>
  <c r="F129" i="1"/>
  <c r="O128" i="1"/>
  <c r="N128" i="1"/>
  <c r="M128" i="1"/>
  <c r="L128" i="1"/>
  <c r="K128" i="1"/>
  <c r="J128" i="1"/>
  <c r="I128" i="1"/>
  <c r="H128" i="1"/>
  <c r="G128" i="1"/>
  <c r="F128" i="1"/>
  <c r="O127" i="1"/>
  <c r="N127" i="1"/>
  <c r="M127" i="1"/>
  <c r="L127" i="1"/>
  <c r="K127" i="1"/>
  <c r="J127" i="1"/>
  <c r="I127" i="1"/>
  <c r="H127" i="1"/>
  <c r="G127" i="1"/>
  <c r="F127" i="1"/>
  <c r="O126" i="1"/>
  <c r="N126" i="1"/>
  <c r="M126" i="1"/>
  <c r="L126" i="1"/>
  <c r="K126" i="1"/>
  <c r="J126" i="1"/>
  <c r="I126" i="1"/>
  <c r="H126" i="1"/>
  <c r="G126" i="1"/>
  <c r="F126" i="1"/>
  <c r="O125" i="1"/>
  <c r="N125" i="1"/>
  <c r="M125" i="1"/>
  <c r="L125" i="1"/>
  <c r="K125" i="1"/>
  <c r="J125" i="1"/>
  <c r="I125" i="1"/>
  <c r="H125" i="1"/>
  <c r="G125" i="1"/>
  <c r="F125" i="1"/>
  <c r="O124" i="1"/>
  <c r="N124" i="1"/>
  <c r="M124" i="1"/>
  <c r="L124" i="1"/>
  <c r="K124" i="1"/>
  <c r="J124" i="1"/>
  <c r="I124" i="1"/>
  <c r="H124" i="1"/>
  <c r="G124" i="1"/>
  <c r="F124" i="1"/>
  <c r="O123" i="1"/>
  <c r="N123" i="1"/>
  <c r="M123" i="1"/>
  <c r="L123" i="1"/>
  <c r="K123" i="1"/>
  <c r="J123" i="1"/>
  <c r="I123" i="1"/>
  <c r="H123" i="1"/>
  <c r="G123" i="1"/>
  <c r="F123" i="1"/>
  <c r="O122" i="1"/>
  <c r="N122" i="1"/>
  <c r="M122" i="1"/>
  <c r="L122" i="1"/>
  <c r="K122" i="1"/>
  <c r="J122" i="1"/>
  <c r="I122" i="1"/>
  <c r="H122" i="1"/>
  <c r="G122" i="1"/>
  <c r="F122" i="1"/>
  <c r="O121" i="1"/>
  <c r="N121" i="1"/>
  <c r="M121" i="1"/>
  <c r="L121" i="1"/>
  <c r="K121" i="1"/>
  <c r="J121" i="1"/>
  <c r="I121" i="1"/>
  <c r="H121" i="1"/>
  <c r="G121" i="1"/>
  <c r="F121" i="1"/>
  <c r="O120" i="1"/>
  <c r="N120" i="1"/>
  <c r="M120" i="1"/>
  <c r="L120" i="1"/>
  <c r="K120" i="1"/>
  <c r="J120" i="1"/>
  <c r="I120" i="1"/>
  <c r="H120" i="1"/>
  <c r="G120" i="1"/>
  <c r="F120" i="1"/>
  <c r="O119" i="1"/>
  <c r="N119" i="1"/>
  <c r="M119" i="1"/>
  <c r="L119" i="1"/>
  <c r="K119" i="1"/>
  <c r="J119" i="1"/>
  <c r="I119" i="1"/>
  <c r="H119" i="1"/>
  <c r="G119" i="1"/>
  <c r="F119" i="1"/>
  <c r="O118" i="1"/>
  <c r="N118" i="1"/>
  <c r="M118" i="1"/>
  <c r="L118" i="1"/>
  <c r="K118" i="1"/>
  <c r="J118" i="1"/>
  <c r="I118" i="1"/>
  <c r="H118" i="1"/>
  <c r="G118" i="1"/>
  <c r="F118" i="1"/>
  <c r="O117" i="1"/>
  <c r="N117" i="1"/>
  <c r="M117" i="1"/>
  <c r="L117" i="1"/>
  <c r="K117" i="1"/>
  <c r="J117" i="1"/>
  <c r="I117" i="1"/>
  <c r="H117" i="1"/>
  <c r="G117" i="1"/>
  <c r="F117" i="1"/>
  <c r="O116" i="1"/>
  <c r="N116" i="1"/>
  <c r="M116" i="1"/>
  <c r="L116" i="1"/>
  <c r="K116" i="1"/>
  <c r="J116" i="1"/>
  <c r="I116" i="1"/>
  <c r="H116" i="1"/>
  <c r="G116" i="1"/>
  <c r="F116" i="1"/>
  <c r="O115" i="1"/>
  <c r="N115" i="1"/>
  <c r="M115" i="1"/>
  <c r="L115" i="1"/>
  <c r="K115" i="1"/>
  <c r="J115" i="1"/>
  <c r="I115" i="1"/>
  <c r="H115" i="1"/>
  <c r="G115" i="1"/>
  <c r="F115" i="1"/>
  <c r="O114" i="1"/>
  <c r="N114" i="1"/>
  <c r="M114" i="1"/>
  <c r="L114" i="1"/>
  <c r="K114" i="1"/>
  <c r="J114" i="1"/>
  <c r="I114" i="1"/>
  <c r="H114" i="1"/>
  <c r="G114" i="1"/>
  <c r="F114" i="1"/>
  <c r="O113" i="1"/>
  <c r="N113" i="1"/>
  <c r="M113" i="1"/>
  <c r="L113" i="1"/>
  <c r="K113" i="1"/>
  <c r="J113" i="1"/>
  <c r="I113" i="1"/>
  <c r="H113" i="1"/>
  <c r="G113" i="1"/>
  <c r="F113" i="1"/>
  <c r="O112" i="1"/>
  <c r="N112" i="1"/>
  <c r="M112" i="1"/>
  <c r="L112" i="1"/>
  <c r="K112" i="1"/>
  <c r="J112" i="1"/>
  <c r="I112" i="1"/>
  <c r="H112" i="1"/>
  <c r="G112" i="1"/>
  <c r="F112" i="1"/>
  <c r="O111" i="1"/>
  <c r="N111" i="1"/>
  <c r="M111" i="1"/>
  <c r="L111" i="1"/>
  <c r="K111" i="1"/>
  <c r="J111" i="1"/>
  <c r="I111" i="1"/>
  <c r="H111" i="1"/>
  <c r="G111" i="1"/>
  <c r="F111" i="1"/>
  <c r="O110" i="1"/>
  <c r="N110" i="1"/>
  <c r="M110" i="1"/>
  <c r="L110" i="1"/>
  <c r="K110" i="1"/>
  <c r="J110" i="1"/>
  <c r="I110" i="1"/>
  <c r="H110" i="1"/>
  <c r="G110" i="1"/>
  <c r="F110" i="1"/>
  <c r="O109" i="1"/>
  <c r="N109" i="1"/>
  <c r="M109" i="1"/>
  <c r="L109" i="1"/>
  <c r="K109" i="1"/>
  <c r="J109" i="1"/>
  <c r="I109" i="1"/>
  <c r="H109" i="1"/>
  <c r="G109" i="1"/>
  <c r="F109" i="1"/>
  <c r="O108" i="1"/>
  <c r="N108" i="1"/>
  <c r="M108" i="1"/>
  <c r="L108" i="1"/>
  <c r="K108" i="1"/>
  <c r="J108" i="1"/>
  <c r="I108" i="1"/>
  <c r="H108" i="1"/>
  <c r="G108" i="1"/>
  <c r="F108" i="1"/>
  <c r="O107" i="1"/>
  <c r="N107" i="1"/>
  <c r="M107" i="1"/>
  <c r="L107" i="1"/>
  <c r="K107" i="1"/>
  <c r="J107" i="1"/>
  <c r="I107" i="1"/>
  <c r="H107" i="1"/>
  <c r="G107" i="1"/>
  <c r="F107" i="1"/>
  <c r="O106" i="1"/>
  <c r="N106" i="1"/>
  <c r="M106" i="1"/>
  <c r="L106" i="1"/>
  <c r="K106" i="1"/>
  <c r="J106" i="1"/>
  <c r="I106" i="1"/>
  <c r="H106" i="1"/>
  <c r="G106" i="1"/>
  <c r="F106" i="1"/>
  <c r="O105" i="1"/>
  <c r="N105" i="1"/>
  <c r="M105" i="1"/>
  <c r="L105" i="1"/>
  <c r="K105" i="1"/>
  <c r="J105" i="1"/>
  <c r="I105" i="1"/>
  <c r="H105" i="1"/>
  <c r="G105" i="1"/>
  <c r="F105" i="1"/>
  <c r="O104" i="1"/>
  <c r="N104" i="1"/>
  <c r="M104" i="1"/>
  <c r="L104" i="1"/>
  <c r="K104" i="1"/>
  <c r="J104" i="1"/>
  <c r="I104" i="1"/>
  <c r="H104" i="1"/>
  <c r="G104" i="1"/>
  <c r="F104" i="1"/>
  <c r="O103" i="1"/>
  <c r="N103" i="1"/>
  <c r="M103" i="1"/>
  <c r="L103" i="1"/>
  <c r="K103" i="1"/>
  <c r="J103" i="1"/>
  <c r="I103" i="1"/>
  <c r="H103" i="1"/>
  <c r="G103" i="1"/>
  <c r="F103" i="1"/>
  <c r="O102" i="1"/>
  <c r="N102" i="1"/>
  <c r="M102" i="1"/>
  <c r="L102" i="1"/>
  <c r="K102" i="1"/>
  <c r="J102" i="1"/>
  <c r="I102" i="1"/>
  <c r="H102" i="1"/>
  <c r="G102" i="1"/>
  <c r="F102" i="1"/>
  <c r="O101" i="1"/>
  <c r="N101" i="1"/>
  <c r="M101" i="1"/>
  <c r="L101" i="1"/>
  <c r="K101" i="1"/>
  <c r="J101" i="1"/>
  <c r="I101" i="1"/>
  <c r="H101" i="1"/>
  <c r="G101" i="1"/>
  <c r="F101" i="1"/>
  <c r="O100" i="1"/>
  <c r="N100" i="1"/>
  <c r="M100" i="1"/>
  <c r="L100" i="1"/>
  <c r="K100" i="1"/>
  <c r="J100" i="1"/>
  <c r="I100" i="1"/>
  <c r="H100" i="1"/>
  <c r="G100" i="1"/>
  <c r="F100" i="1"/>
  <c r="O99" i="1"/>
  <c r="N99" i="1"/>
  <c r="M99" i="1"/>
  <c r="L99" i="1"/>
  <c r="K99" i="1"/>
  <c r="J99" i="1"/>
  <c r="I99" i="1"/>
  <c r="H99" i="1"/>
  <c r="G99" i="1"/>
  <c r="F99" i="1"/>
  <c r="O98" i="1"/>
  <c r="N98" i="1"/>
  <c r="M98" i="1"/>
  <c r="L98" i="1"/>
  <c r="K98" i="1"/>
  <c r="J98" i="1"/>
  <c r="I98" i="1"/>
  <c r="H98" i="1"/>
  <c r="G98" i="1"/>
  <c r="F98" i="1"/>
  <c r="O97" i="1"/>
  <c r="N97" i="1"/>
  <c r="M97" i="1"/>
  <c r="L97" i="1"/>
  <c r="K97" i="1"/>
  <c r="J97" i="1"/>
  <c r="I97" i="1"/>
  <c r="H97" i="1"/>
  <c r="G97" i="1"/>
  <c r="F97" i="1"/>
  <c r="O96" i="1"/>
  <c r="N96" i="1"/>
  <c r="M96" i="1"/>
  <c r="L96" i="1"/>
  <c r="K96" i="1"/>
  <c r="J96" i="1"/>
  <c r="I96" i="1"/>
  <c r="H96" i="1"/>
  <c r="G96" i="1"/>
  <c r="F96" i="1"/>
  <c r="O95" i="1"/>
  <c r="N95" i="1"/>
  <c r="M95" i="1"/>
  <c r="L95" i="1"/>
  <c r="K95" i="1"/>
  <c r="J95" i="1"/>
  <c r="I95" i="1"/>
  <c r="H95" i="1"/>
  <c r="G95" i="1"/>
  <c r="F95" i="1"/>
  <c r="O94" i="1"/>
  <c r="N94" i="1"/>
  <c r="M94" i="1"/>
  <c r="L94" i="1"/>
  <c r="K94" i="1"/>
  <c r="J94" i="1"/>
  <c r="I94" i="1"/>
  <c r="H94" i="1"/>
  <c r="G94" i="1"/>
  <c r="F94" i="1"/>
  <c r="O93" i="1"/>
  <c r="N93" i="1"/>
  <c r="M93" i="1"/>
  <c r="L93" i="1"/>
  <c r="K93" i="1"/>
  <c r="J93" i="1"/>
  <c r="I93" i="1"/>
  <c r="H93" i="1"/>
  <c r="G93" i="1"/>
  <c r="F93" i="1"/>
  <c r="O92" i="1"/>
  <c r="N92" i="1"/>
  <c r="M92" i="1"/>
  <c r="L92" i="1"/>
  <c r="K92" i="1"/>
  <c r="J92" i="1"/>
  <c r="I92" i="1"/>
  <c r="H92" i="1"/>
  <c r="G92" i="1"/>
  <c r="F92" i="1"/>
  <c r="O91" i="1"/>
  <c r="N91" i="1"/>
  <c r="M91" i="1"/>
  <c r="L91" i="1"/>
  <c r="K91" i="1"/>
  <c r="J91" i="1"/>
  <c r="I91" i="1"/>
  <c r="H91" i="1"/>
  <c r="G91" i="1"/>
  <c r="F91" i="1"/>
  <c r="O90" i="1"/>
  <c r="N90" i="1"/>
  <c r="M90" i="1"/>
  <c r="L90" i="1"/>
  <c r="K90" i="1"/>
  <c r="J90" i="1"/>
  <c r="I90" i="1"/>
  <c r="H90" i="1"/>
  <c r="G90" i="1"/>
  <c r="F90" i="1"/>
  <c r="O89" i="1"/>
  <c r="N89" i="1"/>
  <c r="M89" i="1"/>
  <c r="L89" i="1"/>
  <c r="K89" i="1"/>
  <c r="J89" i="1"/>
  <c r="I89" i="1"/>
  <c r="H89" i="1"/>
  <c r="G89" i="1"/>
  <c r="F89" i="1"/>
  <c r="O88" i="1"/>
  <c r="N88" i="1"/>
  <c r="M88" i="1"/>
  <c r="L88" i="1"/>
  <c r="K88" i="1"/>
  <c r="J88" i="1"/>
  <c r="I88" i="1"/>
  <c r="H88" i="1"/>
  <c r="G88" i="1"/>
  <c r="F88" i="1"/>
  <c r="O87" i="1"/>
  <c r="N87" i="1"/>
  <c r="M87" i="1"/>
  <c r="L87" i="1"/>
  <c r="K87" i="1"/>
  <c r="J87" i="1"/>
  <c r="I87" i="1"/>
  <c r="H87" i="1"/>
  <c r="G87" i="1"/>
  <c r="F87" i="1"/>
  <c r="O86" i="1"/>
  <c r="N86" i="1"/>
  <c r="M86" i="1"/>
  <c r="L86" i="1"/>
  <c r="K86" i="1"/>
  <c r="J86" i="1"/>
  <c r="I86" i="1"/>
  <c r="H86" i="1"/>
  <c r="G86" i="1"/>
  <c r="F86" i="1"/>
  <c r="O85" i="1"/>
  <c r="N85" i="1"/>
  <c r="M85" i="1"/>
  <c r="L85" i="1"/>
  <c r="K85" i="1"/>
  <c r="J85" i="1"/>
  <c r="I85" i="1"/>
  <c r="H85" i="1"/>
  <c r="G85" i="1"/>
  <c r="F85" i="1"/>
  <c r="O84" i="1"/>
  <c r="N84" i="1"/>
  <c r="M84" i="1"/>
  <c r="L84" i="1"/>
  <c r="K84" i="1"/>
  <c r="J84" i="1"/>
  <c r="I84" i="1"/>
  <c r="H84" i="1"/>
  <c r="G84" i="1"/>
  <c r="F84" i="1"/>
  <c r="O83" i="1"/>
  <c r="N83" i="1"/>
  <c r="M83" i="1"/>
  <c r="L83" i="1"/>
  <c r="K83" i="1"/>
  <c r="J83" i="1"/>
  <c r="I83" i="1"/>
  <c r="H83" i="1"/>
  <c r="G83" i="1"/>
  <c r="F83" i="1"/>
  <c r="O82" i="1"/>
  <c r="N82" i="1"/>
  <c r="M82" i="1"/>
  <c r="L82" i="1"/>
  <c r="K82" i="1"/>
  <c r="J82" i="1"/>
  <c r="I82" i="1"/>
  <c r="H82" i="1"/>
  <c r="G82" i="1"/>
  <c r="F82" i="1"/>
  <c r="O81" i="1"/>
  <c r="N81" i="1"/>
  <c r="M81" i="1"/>
  <c r="L81" i="1"/>
  <c r="K81" i="1"/>
  <c r="J81" i="1"/>
  <c r="I81" i="1"/>
  <c r="H81" i="1"/>
  <c r="G81" i="1"/>
  <c r="F81" i="1"/>
  <c r="O80" i="1"/>
  <c r="N80" i="1"/>
  <c r="M80" i="1"/>
  <c r="L80" i="1"/>
  <c r="K80" i="1"/>
  <c r="J80" i="1"/>
  <c r="I80" i="1"/>
  <c r="H80" i="1"/>
  <c r="G80" i="1"/>
  <c r="F80" i="1"/>
  <c r="O79" i="1"/>
  <c r="N79" i="1"/>
  <c r="M79" i="1"/>
  <c r="L79" i="1"/>
  <c r="K79" i="1"/>
  <c r="J79" i="1"/>
  <c r="I79" i="1"/>
  <c r="H79" i="1"/>
  <c r="G79" i="1"/>
  <c r="F79" i="1"/>
  <c r="O78" i="1"/>
  <c r="N78" i="1"/>
  <c r="M78" i="1"/>
  <c r="L78" i="1"/>
  <c r="K78" i="1"/>
  <c r="J78" i="1"/>
  <c r="I78" i="1"/>
  <c r="H78" i="1"/>
  <c r="G78" i="1"/>
  <c r="F78" i="1"/>
  <c r="O77" i="1"/>
  <c r="N77" i="1"/>
  <c r="M77" i="1"/>
  <c r="L77" i="1"/>
  <c r="K77" i="1"/>
  <c r="J77" i="1"/>
  <c r="I77" i="1"/>
  <c r="H77" i="1"/>
  <c r="G77" i="1"/>
  <c r="F77" i="1"/>
  <c r="O76" i="1"/>
  <c r="N76" i="1"/>
  <c r="M76" i="1"/>
  <c r="L76" i="1"/>
  <c r="K76" i="1"/>
  <c r="J76" i="1"/>
  <c r="I76" i="1"/>
  <c r="H76" i="1"/>
  <c r="G76" i="1"/>
  <c r="F76" i="1"/>
  <c r="O75" i="1"/>
  <c r="N75" i="1"/>
  <c r="M75" i="1"/>
  <c r="L75" i="1"/>
  <c r="K75" i="1"/>
  <c r="J75" i="1"/>
  <c r="I75" i="1"/>
  <c r="H75" i="1"/>
  <c r="G75" i="1"/>
  <c r="F75" i="1"/>
  <c r="O74" i="1"/>
  <c r="N74" i="1"/>
  <c r="M74" i="1"/>
  <c r="L74" i="1"/>
  <c r="K74" i="1"/>
  <c r="J74" i="1"/>
  <c r="I74" i="1"/>
  <c r="H74" i="1"/>
  <c r="G74" i="1"/>
  <c r="F74" i="1"/>
  <c r="O73" i="1"/>
  <c r="N73" i="1"/>
  <c r="M73" i="1"/>
  <c r="L73" i="1"/>
  <c r="K73" i="1"/>
  <c r="J73" i="1"/>
  <c r="I73" i="1"/>
  <c r="H73" i="1"/>
  <c r="G73" i="1"/>
  <c r="F73" i="1"/>
  <c r="O72" i="1"/>
  <c r="N72" i="1"/>
  <c r="M72" i="1"/>
  <c r="L72" i="1"/>
  <c r="K72" i="1"/>
  <c r="J72" i="1"/>
  <c r="I72" i="1"/>
  <c r="H72" i="1"/>
  <c r="G72" i="1"/>
  <c r="F72" i="1"/>
  <c r="O71" i="1"/>
  <c r="N71" i="1"/>
  <c r="M71" i="1"/>
  <c r="L71" i="1"/>
  <c r="K71" i="1"/>
  <c r="J71" i="1"/>
  <c r="I71" i="1"/>
  <c r="H71" i="1"/>
  <c r="G71" i="1"/>
  <c r="F71" i="1"/>
  <c r="O70" i="1"/>
  <c r="N70" i="1"/>
  <c r="M70" i="1"/>
  <c r="L70" i="1"/>
  <c r="K70" i="1"/>
  <c r="J70" i="1"/>
  <c r="I70" i="1"/>
  <c r="H70" i="1"/>
  <c r="G70" i="1"/>
  <c r="F70" i="1"/>
  <c r="O69" i="1"/>
  <c r="N69" i="1"/>
  <c r="M69" i="1"/>
  <c r="L69" i="1"/>
  <c r="K69" i="1"/>
  <c r="J69" i="1"/>
  <c r="I69" i="1"/>
  <c r="H69" i="1"/>
  <c r="G69" i="1"/>
  <c r="F69" i="1"/>
  <c r="O68" i="1"/>
  <c r="N68" i="1"/>
  <c r="M68" i="1"/>
  <c r="L68" i="1"/>
  <c r="K68" i="1"/>
  <c r="J68" i="1"/>
  <c r="I68" i="1"/>
  <c r="H68" i="1"/>
  <c r="G68" i="1"/>
  <c r="F68" i="1"/>
  <c r="O67" i="1"/>
  <c r="N67" i="1"/>
  <c r="M67" i="1"/>
  <c r="L67" i="1"/>
  <c r="K67" i="1"/>
  <c r="J67" i="1"/>
  <c r="I67" i="1"/>
  <c r="H67" i="1"/>
  <c r="G67" i="1"/>
  <c r="F67" i="1"/>
  <c r="O66" i="1"/>
  <c r="N66" i="1"/>
  <c r="M66" i="1"/>
  <c r="L66" i="1"/>
  <c r="K66" i="1"/>
  <c r="J66" i="1"/>
  <c r="I66" i="1"/>
  <c r="H66" i="1"/>
  <c r="G66" i="1"/>
  <c r="F66" i="1"/>
  <c r="O65" i="1"/>
  <c r="N65" i="1"/>
  <c r="M65" i="1"/>
  <c r="L65" i="1"/>
  <c r="K65" i="1"/>
  <c r="J65" i="1"/>
  <c r="I65" i="1"/>
  <c r="H65" i="1"/>
  <c r="G65" i="1"/>
  <c r="F65" i="1"/>
  <c r="O64" i="1"/>
  <c r="N64" i="1"/>
  <c r="M64" i="1"/>
  <c r="L64" i="1"/>
  <c r="K64" i="1"/>
  <c r="J64" i="1"/>
  <c r="I64" i="1"/>
  <c r="H64" i="1"/>
  <c r="G64" i="1"/>
  <c r="F64" i="1"/>
  <c r="O63" i="1"/>
  <c r="N63" i="1"/>
  <c r="M63" i="1"/>
  <c r="L63" i="1"/>
  <c r="K63" i="1"/>
  <c r="J63" i="1"/>
  <c r="I63" i="1"/>
  <c r="H63" i="1"/>
  <c r="G63" i="1"/>
  <c r="F63" i="1"/>
  <c r="O62" i="1"/>
  <c r="N62" i="1"/>
  <c r="M62" i="1"/>
  <c r="L62" i="1"/>
  <c r="K62" i="1"/>
  <c r="J62" i="1"/>
  <c r="I62" i="1"/>
  <c r="H62" i="1"/>
  <c r="G62" i="1"/>
  <c r="F62" i="1"/>
  <c r="O61" i="1"/>
  <c r="N61" i="1"/>
  <c r="M61" i="1"/>
  <c r="L61" i="1"/>
  <c r="K61" i="1"/>
  <c r="J61" i="1"/>
  <c r="I61" i="1"/>
  <c r="H61" i="1"/>
  <c r="G61" i="1"/>
  <c r="F61" i="1"/>
  <c r="O60" i="1"/>
  <c r="N60" i="1"/>
  <c r="M60" i="1"/>
  <c r="L60" i="1"/>
  <c r="K60" i="1"/>
  <c r="J60" i="1"/>
  <c r="I60" i="1"/>
  <c r="H60" i="1"/>
  <c r="G60" i="1"/>
  <c r="F60" i="1"/>
  <c r="O59" i="1"/>
  <c r="N59" i="1"/>
  <c r="M59" i="1"/>
  <c r="L59" i="1"/>
  <c r="K59" i="1"/>
  <c r="J59" i="1"/>
  <c r="I59" i="1"/>
  <c r="H59" i="1"/>
  <c r="G59" i="1"/>
  <c r="F59" i="1"/>
  <c r="O58" i="1"/>
  <c r="N58" i="1"/>
  <c r="M58" i="1"/>
  <c r="L58" i="1"/>
  <c r="K58" i="1"/>
  <c r="J58" i="1"/>
  <c r="I58" i="1"/>
  <c r="H58" i="1"/>
  <c r="G58" i="1"/>
  <c r="F58" i="1"/>
  <c r="O57" i="1"/>
  <c r="N57" i="1"/>
  <c r="M57" i="1"/>
  <c r="L57" i="1"/>
  <c r="K57" i="1"/>
  <c r="J57" i="1"/>
  <c r="I57" i="1"/>
  <c r="H57" i="1"/>
  <c r="G57" i="1"/>
  <c r="F57" i="1"/>
  <c r="O56" i="1"/>
  <c r="N56" i="1"/>
  <c r="M56" i="1"/>
  <c r="L56" i="1"/>
  <c r="K56" i="1"/>
  <c r="J56" i="1"/>
  <c r="I56" i="1"/>
  <c r="H56" i="1"/>
  <c r="G56" i="1"/>
  <c r="F56" i="1"/>
  <c r="O55" i="1"/>
  <c r="N55" i="1"/>
  <c r="M55" i="1"/>
  <c r="L55" i="1"/>
  <c r="K55" i="1"/>
  <c r="J55" i="1"/>
  <c r="I55" i="1"/>
  <c r="H55" i="1"/>
  <c r="G55" i="1"/>
  <c r="F55" i="1"/>
  <c r="O54" i="1"/>
  <c r="N54" i="1"/>
  <c r="M54" i="1"/>
  <c r="L54" i="1"/>
  <c r="K54" i="1"/>
  <c r="J54" i="1"/>
  <c r="I54" i="1"/>
  <c r="H54" i="1"/>
  <c r="G54" i="1"/>
  <c r="F54" i="1"/>
  <c r="O53" i="1"/>
  <c r="N53" i="1"/>
  <c r="M53" i="1"/>
  <c r="L53" i="1"/>
  <c r="K53" i="1"/>
  <c r="J53" i="1"/>
  <c r="I53" i="1"/>
  <c r="H53" i="1"/>
  <c r="G53" i="1"/>
  <c r="F53" i="1"/>
  <c r="O52" i="1"/>
  <c r="N52" i="1"/>
  <c r="M52" i="1"/>
  <c r="L52" i="1"/>
  <c r="K52" i="1"/>
  <c r="J52" i="1"/>
  <c r="I52" i="1"/>
  <c r="H52" i="1"/>
  <c r="G52" i="1"/>
  <c r="F52" i="1"/>
  <c r="O51" i="1"/>
  <c r="N51" i="1"/>
  <c r="M51" i="1"/>
  <c r="L51" i="1"/>
  <c r="K51" i="1"/>
  <c r="J51" i="1"/>
  <c r="I51" i="1"/>
  <c r="H51" i="1"/>
  <c r="G51" i="1"/>
  <c r="F51" i="1"/>
  <c r="O50" i="1"/>
  <c r="N50" i="1"/>
  <c r="M50" i="1"/>
  <c r="L50" i="1"/>
  <c r="K50" i="1"/>
  <c r="J50" i="1"/>
  <c r="I50" i="1"/>
  <c r="H50" i="1"/>
  <c r="G50" i="1"/>
  <c r="F50" i="1"/>
  <c r="O49" i="1"/>
  <c r="N49" i="1"/>
  <c r="M49" i="1"/>
  <c r="L49" i="1"/>
  <c r="K49" i="1"/>
  <c r="J49" i="1"/>
  <c r="I49" i="1"/>
  <c r="H49" i="1"/>
  <c r="G49" i="1"/>
  <c r="F49" i="1"/>
  <c r="O48" i="1"/>
  <c r="N48" i="1"/>
  <c r="M48" i="1"/>
  <c r="L48" i="1"/>
  <c r="K48" i="1"/>
  <c r="J48" i="1"/>
  <c r="I48" i="1"/>
  <c r="H48" i="1"/>
  <c r="G48" i="1"/>
  <c r="F48" i="1"/>
  <c r="O47" i="1"/>
  <c r="N47" i="1"/>
  <c r="M47" i="1"/>
  <c r="L47" i="1"/>
  <c r="K47" i="1"/>
  <c r="J47" i="1"/>
  <c r="I47" i="1"/>
  <c r="H47" i="1"/>
  <c r="G47" i="1"/>
  <c r="F47" i="1"/>
  <c r="O46" i="1"/>
  <c r="N46" i="1"/>
  <c r="M46" i="1"/>
  <c r="L46" i="1"/>
  <c r="K46" i="1"/>
  <c r="J46" i="1"/>
  <c r="I46" i="1"/>
  <c r="H46" i="1"/>
  <c r="G46" i="1"/>
  <c r="F46" i="1"/>
  <c r="O45" i="1"/>
  <c r="N45" i="1"/>
  <c r="M45" i="1"/>
  <c r="L45" i="1"/>
  <c r="K45" i="1"/>
  <c r="J45" i="1"/>
  <c r="I45" i="1"/>
  <c r="H45" i="1"/>
  <c r="G45" i="1"/>
  <c r="F45" i="1"/>
  <c r="O44" i="1"/>
  <c r="N44" i="1"/>
  <c r="M44" i="1"/>
  <c r="L44" i="1"/>
  <c r="K44" i="1"/>
  <c r="J44" i="1"/>
  <c r="I44" i="1"/>
  <c r="H44" i="1"/>
  <c r="G44" i="1"/>
  <c r="F44" i="1"/>
  <c r="O43" i="1"/>
  <c r="N43" i="1"/>
  <c r="M43" i="1"/>
  <c r="L43" i="1"/>
  <c r="K43" i="1"/>
  <c r="J43" i="1"/>
  <c r="I43" i="1"/>
  <c r="H43" i="1"/>
  <c r="G43" i="1"/>
  <c r="F43" i="1"/>
  <c r="O42" i="1"/>
  <c r="N42" i="1"/>
  <c r="M42" i="1"/>
  <c r="L42" i="1"/>
  <c r="K42" i="1"/>
  <c r="J42" i="1"/>
  <c r="I42" i="1"/>
  <c r="H42" i="1"/>
  <c r="G42" i="1"/>
  <c r="F42" i="1"/>
  <c r="O41" i="1"/>
  <c r="N41" i="1"/>
  <c r="M41" i="1"/>
  <c r="L41" i="1"/>
  <c r="K41" i="1"/>
  <c r="J41" i="1"/>
  <c r="I41" i="1"/>
  <c r="H41" i="1"/>
  <c r="G41" i="1"/>
  <c r="F41" i="1"/>
  <c r="O40" i="1"/>
  <c r="N40" i="1"/>
  <c r="M40" i="1"/>
  <c r="L40" i="1"/>
  <c r="K40" i="1"/>
  <c r="J40" i="1"/>
  <c r="I40" i="1"/>
  <c r="H40" i="1"/>
  <c r="G40" i="1"/>
  <c r="F40" i="1"/>
  <c r="O39" i="1"/>
  <c r="N39" i="1"/>
  <c r="M39" i="1"/>
  <c r="L39" i="1"/>
  <c r="K39" i="1"/>
  <c r="J39" i="1"/>
  <c r="I39" i="1"/>
  <c r="H39" i="1"/>
  <c r="G39" i="1"/>
  <c r="F39" i="1"/>
  <c r="O38" i="1"/>
  <c r="N38" i="1"/>
  <c r="M38" i="1"/>
  <c r="L38" i="1"/>
  <c r="K38" i="1"/>
  <c r="J38" i="1"/>
  <c r="I38" i="1"/>
  <c r="H38" i="1"/>
  <c r="G38" i="1"/>
  <c r="F38" i="1"/>
  <c r="O37" i="1"/>
  <c r="N37" i="1"/>
  <c r="M37" i="1"/>
  <c r="L37" i="1"/>
  <c r="K37" i="1"/>
  <c r="J37" i="1"/>
  <c r="I37" i="1"/>
  <c r="H37" i="1"/>
  <c r="G37" i="1"/>
  <c r="F37" i="1"/>
  <c r="O36" i="1"/>
  <c r="N36" i="1"/>
  <c r="M36" i="1"/>
  <c r="L36" i="1"/>
  <c r="K36" i="1"/>
  <c r="J36" i="1"/>
  <c r="I36" i="1"/>
  <c r="H36" i="1"/>
  <c r="G36" i="1"/>
  <c r="F3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O3" i="1"/>
  <c r="N3" i="1"/>
  <c r="M3" i="1"/>
  <c r="L3" i="1"/>
  <c r="K3" i="1"/>
  <c r="J3" i="1"/>
  <c r="I3" i="1"/>
  <c r="H3" i="1"/>
  <c r="G3" i="1"/>
  <c r="F3" i="1"/>
  <c r="O2" i="1"/>
  <c r="N2" i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<sst xmlns="http://schemas.openxmlformats.org/spreadsheetml/2006/main" count="1000" uniqueCount="993">
  <si>
    <t>Title</t>
  </si>
  <si>
    <t>Published_Date</t>
  </si>
  <si>
    <t>Views</t>
  </si>
  <si>
    <t>Likes</t>
  </si>
  <si>
    <t>Comments</t>
  </si>
  <si>
    <t>Year</t>
  </si>
  <si>
    <t>Month</t>
  </si>
  <si>
    <t>Day</t>
  </si>
  <si>
    <t>Engament Rate</t>
  </si>
  <si>
    <t>Likes per 1000 Views</t>
  </si>
  <si>
    <t>Comments per 1000  Views</t>
  </si>
  <si>
    <t>Correlation Analysis Views vs Likes</t>
  </si>
  <si>
    <t>Correlation Views Vs Comments</t>
  </si>
  <si>
    <t>Title Length</t>
  </si>
  <si>
    <t>Video_Category</t>
  </si>
  <si>
    <t>Worst Minecraft Saw Trap Ever???</t>
  </si>
  <si>
    <t>Harry Potter Mod In Minecraft! EPIC MUST SEE MOD!!!</t>
  </si>
  <si>
    <t>If This Video Gets One Million Views.....</t>
  </si>
  <si>
    <t>Boxy item mod Minecraft.  EPIC</t>
  </si>
  <si>
    <t>More birds IN MINECRAFT!!</t>
  </si>
  <si>
    <t>Most Epic minecraft skin EVER  (Psy)</t>
  </si>
  <si>
    <t>Scary minecraft pig skin!</t>
  </si>
  <si>
    <t>This is a block? Since when lol.</t>
  </si>
  <si>
    <t>How Much Money Does PewDiePie Make?????</t>
  </si>
  <si>
    <t>Why I Haven't Been Uploading</t>
  </si>
  <si>
    <t>Crazy Illulsions In Minecraft. (Bigre)</t>
  </si>
  <si>
    <t>Minecraft Let's Play! Ep. 1. The Beginning!</t>
  </si>
  <si>
    <t>Story time!</t>
  </si>
  <si>
    <t>Worlds Biggest Ball Of TNT Minecraft!  Challenge Video!</t>
  </si>
  <si>
    <t>Huge WW2 jeep! Minecraft creations.</t>
  </si>
  <si>
    <t>How to get unlimited diamonds! minecraft (x-ray)</t>
  </si>
  <si>
    <t>Drinks in minecraft (mod)</t>
  </si>
  <si>
    <t>Epic minecraft apartment complex!</t>
  </si>
  <si>
    <t>Emerald tool mod! (minecraft)</t>
  </si>
  <si>
    <t>Why Google Does Not Care What We Think....</t>
  </si>
  <si>
    <t>Most Epic Thing In Minecraft!?!?!?!?!?!!?????</t>
  </si>
  <si>
    <t>Amazing minecraft Cathedral!</t>
  </si>
  <si>
    <t>Best Minecraft Castle Ever?</t>
  </si>
  <si>
    <t>Epic Minecraft city! (w/ download link!)</t>
  </si>
  <si>
    <t>Black ops 2 Gameplay w/ commentary. Hipsters</t>
  </si>
  <si>
    <t>Minecraft, How To Grief Without Being Seen!</t>
  </si>
  <si>
    <t>Pokemon online battle #2 [uu] Herracross w/ Dat MOXIE BOOST</t>
  </si>
  <si>
    <t>Channel Trailer....</t>
  </si>
  <si>
    <t>50k Video Views!!!! EpicSauce!</t>
  </si>
  <si>
    <t>Pokemon online battle #4 [uu] Same old team</t>
  </si>
  <si>
    <t>Black ops 2 Shotgun gameplay w/ commentary....  Ps4 or Xbox?</t>
  </si>
  <si>
    <t>Project Zomboid Lets Play ep [01] Roughing it out!</t>
  </si>
  <si>
    <t>Insane Black Ops 2 HACKER!!!!</t>
  </si>
  <si>
    <t>Online pokemon battle #7 [uu] 5-0</t>
  </si>
  <si>
    <t>Horse racing map for new update! (minecraft)</t>
  </si>
  <si>
    <t>Gunpowder plus mod! (Grenade mod) Epic explosions for minecraft.</t>
  </si>
  <si>
    <t>This is a detailed break down of my favorite UU team... ENJOY!</t>
  </si>
  <si>
    <t>Online pokemon battle #3 [uu] Ice punch</t>
  </si>
  <si>
    <t>Top 10 Worst Guns in Call Of Duty History!</t>
  </si>
  <si>
    <t>Magic karp sweeps whole team of LEGENDARIES!!!</t>
  </si>
  <si>
    <t>Pokemon online battles #5 [uu] Heracross never seems to dissapoint me...</t>
  </si>
  <si>
    <t>Pokemon online battle #9 [rb] Hidden power ice ftw!</t>
  </si>
  <si>
    <t>I'm Back! Update Video....</t>
  </si>
  <si>
    <t>Pokemon online battle #8 Stone edge</t>
  </si>
  <si>
    <t>Channel Update.</t>
  </si>
  <si>
    <t>Minecraft Let's Play Ep. # 2 - Having Fun and Derping!</t>
  </si>
  <si>
    <t>These Were The Good Days....</t>
  </si>
  <si>
    <t>How To Duplicate Diamonds!!!!</t>
  </si>
  <si>
    <t>Black ops 2 Invisible equipment and scorestreak glitch!</t>
  </si>
  <si>
    <t>203 Kill Game! Thanks For 300 Subscribers!</t>
  </si>
  <si>
    <t>I Bought A New Microphone!  (quality test)</t>
  </si>
  <si>
    <t>Career Ender ....  LOL</t>
  </si>
  <si>
    <t>Project Zomboid Let's Play ep [04] lots of stuff</t>
  </si>
  <si>
    <t>Google+ The Death Of Youtube?????</t>
  </si>
  <si>
    <t>Black ops 2 Patch news!</t>
  </si>
  <si>
    <t>Buried Round 50 Gameplay! Black ops 2 Zombies.</t>
  </si>
  <si>
    <t>Project Zomboid let's play ep. [02] Just some chores.</t>
  </si>
  <si>
    <t>Project Zomboid Let's Play ep. [03] Looting and storing.</t>
  </si>
  <si>
    <t>Funny Noob Tubing Reaction Montage!</t>
  </si>
  <si>
    <t>Top Subscribed To Channels? BO2 w/ commentary!</t>
  </si>
  <si>
    <t>Call of Duty Ghost Multiplier Reveal Trailer Release Date!</t>
  </si>
  <si>
    <t>Most Overpowered Guns In Ghost!</t>
  </si>
  <si>
    <t>Epic Ghost Multiplayer EasterEggs! (PrisonBreak, Sovereign, and Flooded)</t>
  </si>
  <si>
    <t>Battle pirates, Lvl 58 Mercury Base Attack!</t>
  </si>
  <si>
    <t>Battle Pirates!</t>
  </si>
  <si>
    <t>Are Minecraft Faction Has A New Pet! (poopymiscquidlepants)</t>
  </si>
  <si>
    <t>Camping Montage.... LOL</t>
  </si>
  <si>
    <t>How To Get A Gaming Partnership, And What It Is.</t>
  </si>
  <si>
    <t>Randomness</t>
  </si>
  <si>
    <t>Black Ops 2! Mini Update Video.</t>
  </si>
  <si>
    <t>My First Kem Strike!</t>
  </si>
  <si>
    <t>Hellstrikes vs 7 halos!</t>
  </si>
  <si>
    <t>Battle Pirates, my base.</t>
  </si>
  <si>
    <t>OpTiC NaDeShOt Got Hack!!</t>
  </si>
  <si>
    <t>Battle Pirates, All Sentinel Base.</t>
  </si>
  <si>
    <t>Battle Pirates, Stingray vs Mercury Epic Battle!</t>
  </si>
  <si>
    <t>Battle Pirates, lvl 66 vs Missile Cruiser x Fleet!</t>
  </si>
  <si>
    <t>Battle Pirates, Hellstrike vs Epic Base!</t>
  </si>
  <si>
    <t>Battle Pirates, Another Hellstrike Fail.</t>
  </si>
  <si>
    <t>Battle pirates Hellstrike fail!</t>
  </si>
  <si>
    <t>Battle Pirates, Hellstrike Base attack.</t>
  </si>
  <si>
    <t>Battle Pirates, Hellstrike Too Overpowered????</t>
  </si>
  <si>
    <t>Battle pirates, How To Auto Lvl 40 Salvages.</t>
  </si>
  <si>
    <t>Battle Pirates, Unstoppable Ship!</t>
  </si>
  <si>
    <t>Marauder Builds, Battle Pirates In Depth Builds.</t>
  </si>
  <si>
    <t>Best Hellstrike Build???? (Battle Pirates)</t>
  </si>
  <si>
    <t>1k Subs</t>
  </si>
  <si>
    <t>I Hate Pewdiepie!!!!!</t>
  </si>
  <si>
    <t>How Much Money Does Pewdiepie Make????? (Updated 2015)</t>
  </si>
  <si>
    <t>Should I join FaZe?????</t>
  </si>
  <si>
    <t>How Much Money Does CaptainSparkles Make????? 2016</t>
  </si>
  <si>
    <t>Minecraft Mansion Timelapse</t>
  </si>
  <si>
    <t>Youtube ad.</t>
  </si>
  <si>
    <t>How Many Youtubers Are Millionaries?????</t>
  </si>
  <si>
    <t>Two Years of Youtube.</t>
  </si>
  <si>
    <t>Does Spam Work?????</t>
  </si>
  <si>
    <t>100th VIDEO SPECIAL!</t>
  </si>
  <si>
    <t>How Much Does PewDiePie Make????? 2016</t>
  </si>
  <si>
    <t>How much money does VanossGaming Make? 2016</t>
  </si>
  <si>
    <t>How Much Does WhiteBoy7thSt Make????? 2016</t>
  </si>
  <si>
    <t>Best League Player In The Universe.</t>
  </si>
  <si>
    <t>Money Problems</t>
  </si>
  <si>
    <t>Yup I is the best at the game.</t>
  </si>
  <si>
    <t>Storm</t>
  </si>
  <si>
    <t>5 Youtubers I Think Will Be Famous...</t>
  </si>
  <si>
    <t>20 Best Websites?????</t>
  </si>
  <si>
    <t>Opening Old Basketball Cards! Ep. #1 (Michael Jordan Found)</t>
  </si>
  <si>
    <t>How Much Money Does "Element Animation" Make?????</t>
  </si>
  <si>
    <t>Pewdiepie Was On T.V.</t>
  </si>
  <si>
    <t>How Much Money Do I Make?????</t>
  </si>
  <si>
    <t>The Vortex SMP Episode 1! Just Derping Around and Explaining Things.</t>
  </si>
  <si>
    <t>Top 5 NON-COPYRIGHTED Songs!!!!!</t>
  </si>
  <si>
    <t>Youtube Grind</t>
  </si>
  <si>
    <t>Flappy Bird - Builders Showdown, Which is Better?</t>
  </si>
  <si>
    <t>Vanoss vs Speedy! Which is better?</t>
  </si>
  <si>
    <t>Subscribers.</t>
  </si>
  <si>
    <t>Has Youtube Met Its Match?????</t>
  </si>
  <si>
    <t>Computer vs Console My Perspective.</t>
  </si>
  <si>
    <t>How Much Money Did Gangnam Style Earn??? 2016</t>
  </si>
  <si>
    <t>Five Facts You Didn't Know About Youtube.</t>
  </si>
  <si>
    <t>How Much Money Does KyR's Speedy's Crew Make?????</t>
  </si>
  <si>
    <t>Motivation</t>
  </si>
  <si>
    <t>How Much Money Does Penguinz0 Make????? 2016</t>
  </si>
  <si>
    <t>Youtube Networks Requirerments. (Machinima, TGN, 8byte....)</t>
  </si>
  <si>
    <t>Should College Athletes Be Paid?????</t>
  </si>
  <si>
    <t>Impossible</t>
  </si>
  <si>
    <t>New COD Zombies In 2014?????</t>
  </si>
  <si>
    <t>Welcome To My Channel!</t>
  </si>
  <si>
    <t>Hearthstone - All Beards Challenge!</t>
  </si>
  <si>
    <t>This Kid Should Quit COD....</t>
  </si>
  <si>
    <t>COD IS NOT DEAD</t>
  </si>
  <si>
    <t>How Much Money Does "Skydoesminecraft" Make????</t>
  </si>
  <si>
    <t>Youtube Dream</t>
  </si>
  <si>
    <t>How Much Money Does "Chris Smooth" Make?????</t>
  </si>
  <si>
    <t>Milestones And Plans For My Channel</t>
  </si>
  <si>
    <t>How Much Money Does Tobuscus Make?????</t>
  </si>
  <si>
    <t>Minecraft Build-off Fun!!!!!</t>
  </si>
  <si>
    <t>Update</t>
  </si>
  <si>
    <t>"Beast" Channel Trailer</t>
  </si>
  <si>
    <t>How Much Money Does FaZe Rain Make?????</t>
  </si>
  <si>
    <t>How Video Games Boosted My SAT Score. Lol</t>
  </si>
  <si>
    <t>What It Takes To Be A Full Time Youtuber...</t>
  </si>
  <si>
    <t>I Got Really Really Really Bored....</t>
  </si>
  <si>
    <t>In Dis Video I Play Minecraft. (Factions)</t>
  </si>
  <si>
    <t>How Much Money Does Yogscast Make????? 2016</t>
  </si>
  <si>
    <t>MageCraft - Beginners tutorial. (The app)</t>
  </si>
  <si>
    <t>Vanoss vs Speedy! Who is better? Updated.</t>
  </si>
  <si>
    <t>How Much Does "Epic Rap Battles" Make?????</t>
  </si>
  <si>
    <t>Top Youtube "ShoutOuts"</t>
  </si>
  <si>
    <t>How Much Money Does Tmartn Make?????</t>
  </si>
  <si>
    <t>Hacker in Ghost???? I Couldn't Kill Him.</t>
  </si>
  <si>
    <t>Fun In COD. - Insane Reactions Lol</t>
  </si>
  <si>
    <t>G2g Brb</t>
  </si>
  <si>
    <t>Crazy Nub Tub Reactions! Bo2 Fun!</t>
  </si>
  <si>
    <t>How Much Money Does FaZe Make?????</t>
  </si>
  <si>
    <t>MrBeast6000's First Video (So Bad lol)</t>
  </si>
  <si>
    <t>MrBeastâ€™s Outro Song</t>
  </si>
  <si>
    <t>Dear Razer Can I Have My 70$ Back?????</t>
  </si>
  <si>
    <t>How Many People Get The Diamond Play Button?????</t>
  </si>
  <si>
    <t>MrBeast6000's Channel Trailer</t>
  </si>
  <si>
    <t>Bronze And Platinum Play Buttons?????</t>
  </si>
  <si>
    <t>Youtube In 10 Years?????</t>
  </si>
  <si>
    <t>BO3</t>
  </si>
  <si>
    <t>Stupid Things People Search On Google</t>
  </si>
  <si>
    <t>Am I Ian From Smosh????</t>
  </si>
  <si>
    <t>Millions Of Views!</t>
  </si>
  <si>
    <t>The Anti-Beast</t>
  </si>
  <si>
    <t>MrBeast6000Subs</t>
  </si>
  <si>
    <t>Reacting To Family Accounts (MamaBeast, MrBeast'sLaptop, Etc)</t>
  </si>
  <si>
    <t>I Got Bored Of Studying So This Happened</t>
  </si>
  <si>
    <t>My Mom Found My Channel!! :0</t>
  </si>
  <si>
    <t>Best Green Screen Lighting Ever? (Joking Obviously)</t>
  </si>
  <si>
    <t>FaZe Members Reaction's To Joining Faze</t>
  </si>
  <si>
    <t>Exams Be Like</t>
  </si>
  <si>
    <t>What is Crohn's Disease?????</t>
  </si>
  <si>
    <t>How Many People Have A Silver Play Button????</t>
  </si>
  <si>
    <t>THINGS I HATE #1</t>
  </si>
  <si>
    <t>100k Subs With No Videos????</t>
  </si>
  <si>
    <t>Worst MrBeast6000 Intros?? (Fan Made!)</t>
  </si>
  <si>
    <t>How Much Money Do Youtubers Make? Real Numbers!</t>
  </si>
  <si>
    <t>Shia Labeouf Motivates Youtubers!</t>
  </si>
  <si>
    <t>How Much Youtube Money Do I Make???</t>
  </si>
  <si>
    <t>2,000 Subscribers</t>
  </si>
  <si>
    <t>10,000 QNA With MUM</t>
  </si>
  <si>
    <t>PSYCHO FRIEND SMASHES MY LAPTOP! (Mc Juggernuggets Parody)</t>
  </si>
  <si>
    <t>The Ultimate Motivation For Small Youtubers</t>
  </si>
  <si>
    <t>Making Fun Of Youtuber's Intros.</t>
  </si>
  <si>
    <t>What Is Crohns Disease?????</t>
  </si>
  <si>
    <t>Who Are The Worst Youtubers?????</t>
  </si>
  <si>
    <t>Top 10 Richest Gaming Youtubers?????</t>
  </si>
  <si>
    <t>How Much Does Pewdiepie Make?</t>
  </si>
  <si>
    <t>The History Of Pewdiepie In 2 Minutes</t>
  </si>
  <si>
    <t>VANOSSGAMING IS IN TROUBLE</t>
  </si>
  <si>
    <t>Is Jacksepticeye A Millionaire?????? 2016</t>
  </si>
  <si>
    <t>How I Will Survive The Zombie Apocalypse!</t>
  </si>
  <si>
    <t>Markiplier Is A Great Man! Sub shodleech!</t>
  </si>
  <si>
    <t>I Hate Youtubers That Ask For Likes</t>
  </si>
  <si>
    <t>MrBeast Rest In Pepperoni 6000</t>
  </si>
  <si>
    <t>TWITCH STREAMERS REACT TO RECEIVING THOUSANDS FROM SAME GUY!</t>
  </si>
  <si>
    <t>Motivation For Youtube - Ultimate Small Youtuber Motivation #2</t>
  </si>
  <si>
    <t>Are Youtubers Millionaires?</t>
  </si>
  <si>
    <t>5 Steps To Becoming Successful On Youtube</t>
  </si>
  <si>
    <t>Whats That Song Name?</t>
  </si>
  <si>
    <t>Always Changing My Name? Mr.Beast or MrBeast6000</t>
  </si>
  <si>
    <t>What Happens If You Get A Copy Right Strike??</t>
  </si>
  <si>
    <t>5$ To Advertise Your Youtube Channel???</t>
  </si>
  <si>
    <t>Double Agent (Short Film)</t>
  </si>
  <si>
    <t>Do Tags Do Anything On Youtube?????</t>
  </si>
  <si>
    <t>New Channel?</t>
  </si>
  <si>
    <t>5,000 Hype</t>
  </si>
  <si>
    <t>3k HYPE</t>
  </si>
  <si>
    <t>How Many People Get The Golden Play Button? (1,000,000 Subscribers)</t>
  </si>
  <si>
    <t>DIY $23.00 Mini Sound Booth? Does It Work?</t>
  </si>
  <si>
    <t>Do You Think You Will Be Famous?????</t>
  </si>
  <si>
    <t>How Much Money Does Markiplier Make????? 2016</t>
  </si>
  <si>
    <t>Airplane Pilots Last Words Before Death</t>
  </si>
  <si>
    <t>Highest Paid Musicians????</t>
  </si>
  <si>
    <t>How Much Money Does Bill Gates Make / Have - Billionaire</t>
  </si>
  <si>
    <t>Why I Changed My Channel Name</t>
  </si>
  <si>
    <t>Shark Tank Most Successful Products, Entrepreneurs, Or Businesses 2015</t>
  </si>
  <si>
    <t>Quitting?</t>
  </si>
  <si>
    <t>How Do Youtubers Make Money? How Do Youtubers Get Paid?</t>
  </si>
  <si>
    <t>FaZe Adapt "Stuttertage"</t>
  </si>
  <si>
    <t>Best Of FlipArtz - His Best Advanced Supply Drops EVER!</t>
  </si>
  <si>
    <t>How To Think Of Good Video Ideas (Tips)</t>
  </si>
  <si>
    <t>5 Popular Channels That Were Terminated</t>
  </si>
  <si>
    <t>How Many Youtubers Are Millionaires???</t>
  </si>
  <si>
    <t>9k Subs - Channel Talk</t>
  </si>
  <si>
    <t>Every Minecraft Let's Play Ever In Under A Minute</t>
  </si>
  <si>
    <t>Is Being A Youtuber Hard? Is Being A Youtuber Worth It?</t>
  </si>
  <si>
    <t>How Did Notch Become A Billionaire? How Much Did Minecraft Sell For?????</t>
  </si>
  <si>
    <t>Youtube Collabs? Collabbing with Mr.Beast?</t>
  </si>
  <si>
    <t>4k Subscriber's! First Channel Story!</t>
  </si>
  <si>
    <t>Do Youtubers Pay Taxes????? (USA)</t>
  </si>
  <si>
    <t>Spam404 Has Terminated 5,000,000 Videos (Including Pewdiepie)</t>
  </si>
  <si>
    <t>Dogs Opinions On Youtubers Getting BO3 Early</t>
  </si>
  <si>
    <t>How To Do A High School or College Paper!</t>
  </si>
  <si>
    <t>How Much $$$ Does Every Member of FaZe Make COMBINED????? 2016</t>
  </si>
  <si>
    <t>Youtube "Freinds"</t>
  </si>
  <si>
    <t>Youtube</t>
  </si>
  <si>
    <t>People Who Got Rich From Movie Trailers On Youtube</t>
  </si>
  <si>
    <t>Why Does This Video Have No Thumbnail?</t>
  </si>
  <si>
    <t>Totally 100% Real Epic Ping Pong Trickshots</t>
  </si>
  <si>
    <t>How Do You Turn Off A PS4? Xbox Noob In Need Of Help</t>
  </si>
  <si>
    <t>Why Are Things Unbalanced In Video Games?????</t>
  </si>
  <si>
    <t>World's Worst Thieves</t>
  </si>
  <si>
    <t>What Is Swatting? Why I hate It!</t>
  </si>
  <si>
    <t>Time</t>
  </si>
  <si>
    <t>How To Gain Youtube Success</t>
  </si>
  <si>
    <t>How To Get 1,000 Subscribers On Youtube - Vlogs Gaming</t>
  </si>
  <si>
    <t>Is Pewdiepie The #2 Youtuber?!?!?  :0</t>
  </si>
  <si>
    <t>How Much Money Does Syndicate Project Make????? 2016</t>
  </si>
  <si>
    <t>7k SUBS! Smashing Ghost + AW! Plus Channel Talk!</t>
  </si>
  <si>
    <t>5 Steps To Becoming Successful On Youtube!</t>
  </si>
  <si>
    <t>Beast Gaming Set Up #almost4k</t>
  </si>
  <si>
    <t>Best FNAF 4 Fake Reactions! So Funny lol</t>
  </si>
  <si>
    <t>Best Non-Copyrighted Songs For Videos! (Intros Vlogs Gaming Trailers) 2016</t>
  </si>
  <si>
    <t>PewDiePie Uploads A Fake Video! LOL</t>
  </si>
  <si>
    <t>Beast $500ish Youtube PC Great For Making Videos!</t>
  </si>
  <si>
    <t>Ad Blocker For Chrome and Mobile, Should You Use It?</t>
  </si>
  <si>
    <t>YOU ONLY DO YOUTUBE FOR VIEWS</t>
  </si>
  <si>
    <t>1080p FREE TO USE BLACK OPS 3 GAMEPLAY</t>
  </si>
  <si>
    <t>How Much Money Does Smosh Make????? 2016</t>
  </si>
  <si>
    <t>My Baby Got a Virus :(</t>
  </si>
  <si>
    <t>What Is Considered A "Bad Video" On Youtube????? #karnageRC</t>
  </si>
  <si>
    <t>Minimum Wage</t>
  </si>
  <si>
    <t>10 Things You DIDN'T Know About Youtube!</t>
  </si>
  <si>
    <t>2015 Year Highlights</t>
  </si>
  <si>
    <t>My Problems</t>
  </si>
  <si>
    <t>How To Get More Views And Subscribers On Youtube (2016)</t>
  </si>
  <si>
    <t>The Evolution Of My Youtube Banners</t>
  </si>
  <si>
    <t>How Rich Is Buzz Feed???</t>
  </si>
  <si>
    <t>Youtube Networking - Aka Fake Likes, Subs, And Comments</t>
  </si>
  <si>
    <t>WORLD'S FIRST BLACK OPS 3 GUN SYNC!!</t>
  </si>
  <si>
    <t>FaZe Clan Vs Pewdiepie Who Would Win?????</t>
  </si>
  <si>
    <t>Modern Art Is A Joke</t>
  </si>
  <si>
    <t>Knives In Video Games Cost More Than Real Life????</t>
  </si>
  <si>
    <t>Making Youtube a Priority</t>
  </si>
  <si>
    <t>Why I Stopped Playing Video Games - Video Game Commentary</t>
  </si>
  <si>
    <t>My New Channel Trailer ;)</t>
  </si>
  <si>
    <t>Reddit Is In Chaos After Firing Victoria</t>
  </si>
  <si>
    <t>Summer Is Finally Here!</t>
  </si>
  <si>
    <t>Youtubers Analytic's Explained</t>
  </si>
  <si>
    <t>Why I deleted Today's First Upload</t>
  </si>
  <si>
    <t>High School Education Be Like (Paying Taxes)</t>
  </si>
  <si>
    <t>Paid Promotion On Youtube Good?</t>
  </si>
  <si>
    <t>Why I Was Not Uploading</t>
  </si>
  <si>
    <t>My Favorite FaZe Clan Members?????</t>
  </si>
  <si>
    <t>How Many People Do Youtube as a JOB?????</t>
  </si>
  <si>
    <t>Subscriber Goals For 2016</t>
  </si>
  <si>
    <t>Leaving For 7 Days</t>
  </si>
  <si>
    <t>How To SAT, Get Into Yale</t>
  </si>
  <si>
    <t>What Is Youtube Terms Of Service?????</t>
  </si>
  <si>
    <t>PC Master Race Vs Console Peasants</t>
  </si>
  <si>
    <t>YOUTUBE RED STEALS CONTENT CREATORS MONEY? What Is Youtube Red?</t>
  </si>
  <si>
    <t>Originality - A Youtube Poem By MrBeast6000</t>
  </si>
  <si>
    <t>How To Monetize Your Videos And Make Lots Of Youtube Money!!$$$</t>
  </si>
  <si>
    <t>MY MESSAGE TO COD YOUTUBERS (Watch till end plz)</t>
  </si>
  <si>
    <t>How Overpriced Is Movie Popcorn?????</t>
  </si>
  <si>
    <t>Xbox One Destroyer? COD Advertisement Is Free</t>
  </si>
  <si>
    <t>Remember When COD Was Fun?</t>
  </si>
  <si>
    <t>Why Do We Do Things That Are Bad For Us?????</t>
  </si>
  <si>
    <t>Selling PS4 For $250 + Elgato For $100!</t>
  </si>
  <si>
    <t>Youtube Stat News - Vevo Gets 10 Bil. Views A Month, Channel Milestones, and more!</t>
  </si>
  <si>
    <t>6 Uses For Your Advanced Warfare Disk!</t>
  </si>
  <si>
    <t>Ma Channel</t>
  </si>
  <si>
    <t>Cut Coms vs Uncut Coms</t>
  </si>
  <si>
    <t>Advanced Warfare DLC 4 Honest Parody</t>
  </si>
  <si>
    <t>Magecraft - Epic Hit! 11k Troops killed.</t>
  </si>
  <si>
    <t>Reuploading Other Youtubers Videos? Stealing Big Youtubers Videos.</t>
  </si>
  <si>
    <t>L0114R - Biblical Creeper Post for Post @L0114R</t>
  </si>
  <si>
    <t>How To Become A Gaming Youtuber! All You Need To Know!</t>
  </si>
  <si>
    <t>SpiderMan Robs Walmart?????</t>
  </si>
  <si>
    <t>Supply Drops For Charity! Ep #2</t>
  </si>
  <si>
    <t>The COD Community? Sleeping With Your Mom?</t>
  </si>
  <si>
    <t>HONEST Shout Out Sunday! Free Subscribers!</t>
  </si>
  <si>
    <t>How Much Do T.V. Commercials Cost?????</t>
  </si>
  <si>
    <t>Battle Of The Beasts (youtubers needed)</t>
  </si>
  <si>
    <t>Exility vs Dr.Pineapplez - Misleading Contest!</t>
  </si>
  <si>
    <t>Battle of The Beasts Round 2 Winners!</t>
  </si>
  <si>
    <t>Pewdiepie's Shoutout, What Would You Do If You Won?</t>
  </si>
  <si>
    <t>INSANE TRIPLE LEGENDARY SUPPLY DROP! BEST OPENING YET?</t>
  </si>
  <si>
    <t>I Hate Spam On Youtube</t>
  </si>
  <si>
    <t>Should You Do COD Commentaries In 2016????</t>
  </si>
  <si>
    <t>History Of COD Part 2! Black Ops 1 - History Of COD On Youtube!</t>
  </si>
  <si>
    <t>Fanboy Opinions On Black Ops 3</t>
  </si>
  <si>
    <t>Should I Buy An Elgato Game Capture??</t>
  </si>
  <si>
    <t>Why I Sold My PS4, Not A Gaming Channel???</t>
  </si>
  <si>
    <t>Increase Youtube Views 2015! COMMUNITY CHANNELS - Boosting Youtube Views</t>
  </si>
  <si>
    <t>Battle Of The Beast Round 1 Winners!</t>
  </si>
  <si>
    <t>My Top 5 Favorite Things At E3 2015</t>
  </si>
  <si>
    <t>Exility And Some Other Stuff - Update Vid</t>
  </si>
  <si>
    <t>How To Tweet When You're Dead! DEADSOCIAL Facebook And Instagram Also!</t>
  </si>
  <si>
    <t>Screw Warface</t>
  </si>
  <si>
    <t>How Much Money Does DramaAlert Make????</t>
  </si>
  <si>
    <t>Low Bridge Causes Dozen's Of Wrecks! 11-8 Bridge</t>
  </si>
  <si>
    <t>Best Microphone For Youtube (Gaming Commentaries Vocals Singing Podcast)</t>
  </si>
  <si>
    <t>My Solution For The Theft At The FaZe House - @FaZe_Rain @FaZeAdapt</t>
  </si>
  <si>
    <t>Big Channel's Starting Over???</t>
  </si>
  <si>
    <t>Insane Gun Sync - 7 Hours To Make</t>
  </si>
  <si>
    <t>Cheat Channels</t>
  </si>
  <si>
    <t>Social Media As A Job????</t>
  </si>
  <si>
    <t>I Think I Am Going For The #KarnageRC</t>
  </si>
  <si>
    <t>The Truth About Big Community Channels</t>
  </si>
  <si>
    <t>Watching Video Games Is A Waste Of Time????</t>
  </si>
  <si>
    <t>SAT And Some Random Stuff</t>
  </si>
  <si>
    <t>Insane Advanced Warfare Hacker!</t>
  </si>
  <si>
    <t>What Is Spam404?????</t>
  </si>
  <si>
    <t>Random Stuff You Don't Care About</t>
  </si>
  <si>
    <t>Battle Of The Beast Tournament UPDATE!</t>
  </si>
  <si>
    <t>Big Changes??? Idk just watch the stupid video</t>
  </si>
  <si>
    <t>FREE TO USE BO3 GAMEPLAY - 1080p</t>
  </si>
  <si>
    <t>Best Thing To Happen To This Channel?????</t>
  </si>
  <si>
    <t>Sacrifices And Youtube</t>
  </si>
  <si>
    <t>Supply Drop Challenge For Charity</t>
  </si>
  <si>
    <t>How Much Does Faze Rain's Giveaway Cost??????</t>
  </si>
  <si>
    <t>Every FaZe Video Ever #karnageRC</t>
  </si>
  <si>
    <t>My Upload For ThunderstruckGaming</t>
  </si>
  <si>
    <t>Free To Use Advanced Warfare Gameplay! 2015</t>
  </si>
  <si>
    <t>Black Ops 3 First Impressions, My First Game</t>
  </si>
  <si>
    <t>How Much Money Do You Make As An Uber Driver??????</t>
  </si>
  <si>
    <t>Battle of The Beasts Bracket!!!! (Not accepting anymore)</t>
  </si>
  <si>
    <t>New Optic Gaming Gear Coming To Advanced Warfare, My Thoughts</t>
  </si>
  <si>
    <t>Counting To 10000 In One Sitting</t>
  </si>
  <si>
    <t>BEST INTROS ON YOUTUBE #1</t>
  </si>
  <si>
    <t>HOW TO UNLOCK ANY IPHONE WITHOUT THE PASSCODE</t>
  </si>
  <si>
    <t>I Mailed Myself IN A BOX &amp; it REALLY WORKED! (Human Mail Challenge)</t>
  </si>
  <si>
    <t>MY $1000 KEYBOARD CHANGED MY LIFE</t>
  </si>
  <si>
    <t>Microwaving A Microwave</t>
  </si>
  <si>
    <t>Reading The Entire Bee Movie Script But Everytime They Say "Bee" I Repeat All the Previous Bees</t>
  </si>
  <si>
    <t>IF ONLINE ADS WERE REAL</t>
  </si>
  <si>
    <t>WHY DO THEY SELL THIS ON AMAZON?</t>
  </si>
  <si>
    <t>Microwaving A Microwave Microwaving A Toaster</t>
  </si>
  <si>
    <t>BLOWING UP $1000 KEYBOARD *RIP WALLET*</t>
  </si>
  <si>
    <t>THE WORST THINGS EVER TO EXIST</t>
  </si>
  <si>
    <t>CUTTING TABLE IN HALF WITH PLASTIC KNIVES</t>
  </si>
  <si>
    <t>SELLING ORGANS FOR $1,000,000</t>
  </si>
  <si>
    <t>100 LAYERS OF SARAN WRAP + TOILET PAPER!!</t>
  </si>
  <si>
    <t>HOW MUCH MONEY DO YOUTUBERS MAKE?</t>
  </si>
  <si>
    <t>GAMBLING MONEY WITH SCRATCH OFF TICKETS</t>
  </si>
  <si>
    <t>Dear Future Me (Scheduled Uploaded 6 Months Ago)</t>
  </si>
  <si>
    <t>STUPIDEST PERSN ON EART (Really Dumb)</t>
  </si>
  <si>
    <t>POKEMON GO STEREOTYPES</t>
  </si>
  <si>
    <t>Pranks That Went Horribly Wrong</t>
  </si>
  <si>
    <t>Who Founded Faze? Who Created Faze Clan?</t>
  </si>
  <si>
    <t>we are number one but every one is a bad intro</t>
  </si>
  <si>
    <t>SURPRISING MY BROTHER WITH A LAPTOP</t>
  </si>
  <si>
    <t>IF YOU ONLY SEE ORANGE YOU'RE COLOR BLIND</t>
  </si>
  <si>
    <t>Hi Me In A Year (Scheduled Uploaded A Year Ago)</t>
  </si>
  <si>
    <t>WORST REVIEWS ON AMAZON #4 *FUNNY*</t>
  </si>
  <si>
    <t>I BOUGHT A 1000$ KEYBOARD</t>
  </si>
  <si>
    <t>100,000 SUBSCRIBERS.EXE</t>
  </si>
  <si>
    <t>BEST WALMART TOILET PAPER FORT</t>
  </si>
  <si>
    <t>REACTING TO MY OLD MINECRAFT VIDEOS (HORRIBLE)</t>
  </si>
  <si>
    <t>Bleach Bottle Flips (COP CALLED)</t>
  </si>
  <si>
    <t>WORST REVIEWS ON AMAZON #2 HOW IS THIS LEGAL?</t>
  </si>
  <si>
    <t>WORST THUMBNAILS ON YOUTUBE #3</t>
  </si>
  <si>
    <t>24 HOUR EXPLOSION GIVEAWAY! WIN GIFTCARDS</t>
  </si>
  <si>
    <t>THE WORST SONG ON YOUTUBE *CRINGE*</t>
  </si>
  <si>
    <t>Dude Perfect 3.0 - We Are Better</t>
  </si>
  <si>
    <t>Worst Reviews On Amazon #1 (Minecraft Edition)</t>
  </si>
  <si>
    <t>WORST BANNERS ON YOUTUBE #1</t>
  </si>
  <si>
    <t>WORST MEMES AND TRENDS ON YOUTUBE!</t>
  </si>
  <si>
    <t>WORST THUMBNAILS ON YOUTUBE</t>
  </si>
  <si>
    <t>50,000 Subscribers.exe</t>
  </si>
  <si>
    <t>Dude Perfect 4.0 - We Are Totally Better</t>
  </si>
  <si>
    <t>Epic New Gaming And Youtube Setup 2016</t>
  </si>
  <si>
    <t>18th Birthday QNA - Mom's Hair Dryer Age?</t>
  </si>
  <si>
    <t>LISTENING TO OLD VOICEMAILS FOR THE FIRST TIME</t>
  </si>
  <si>
    <t>How Many Licks Does It Take To Get To The Center Of A Tootsie Pop?</t>
  </si>
  <si>
    <t>Do Dislikes Matter On Youtube - Are Dislikes Bad Or Good?</t>
  </si>
  <si>
    <t>IT FINALLY CAME IN THE MAIL</t>
  </si>
  <si>
    <t>Worst Thumbnails On Youtube #2 - Cringe</t>
  </si>
  <si>
    <t>Beast Goes Camping (Didn't Go Wrong) (Didn't Go Sexual)</t>
  </si>
  <si>
    <t>Is Obama Dead? Dumb Google Searches!</t>
  </si>
  <si>
    <t>The Dreaded Unanswerable Question</t>
  </si>
  <si>
    <t>Motivation For Youtubers #5</t>
  </si>
  <si>
    <t>Reenacting Youtubers</t>
  </si>
  <si>
    <t>HOW TO MAKE A GOOD INTRO FOR YOUTUBE</t>
  </si>
  <si>
    <t>Motivation For Small Youtubers #3</t>
  </si>
  <si>
    <t>Walking Dead Daryl DIED (Fan Reaction To Death)</t>
  </si>
  <si>
    <t>HOW TO MAKE A VIRAL PRANK VIDEO 100% LEGIT</t>
  </si>
  <si>
    <t>BLOWING UP MY TABLET</t>
  </si>
  <si>
    <t>Cereal Commentary</t>
  </si>
  <si>
    <t>Things I Hate #2 - Youtube Edition</t>
  </si>
  <si>
    <t>Why Do Youtubers Ask For Likes?</t>
  </si>
  <si>
    <t>Goodbye Laptop</t>
  </si>
  <si>
    <t>GIVING AWAY $100 ITUNES GIFT CARDS</t>
  </si>
  <si>
    <t>Motivation For Youtubers #6 LAST ONE</t>
  </si>
  <si>
    <t>Motivation For Small Youtubers #4 - Inspiration For Youtubers</t>
  </si>
  <si>
    <t>Struggles Of Being A Youtuber</t>
  </si>
  <si>
    <t>Scheduled Uploaded 6 Months Ago (REACTION)</t>
  </si>
  <si>
    <t>School Is A Waste Of Time</t>
  </si>
  <si>
    <t>Lottery Taxes - How Much Tax Is If You Win The Lottery</t>
  </si>
  <si>
    <t>WHERE IS MY COOKIE?????</t>
  </si>
  <si>
    <t>How Much Money Do Big Youtubers Make? (Pewdiepie, Markiplier, etc)</t>
  </si>
  <si>
    <t>Movie Trailers Be Like</t>
  </si>
  <si>
    <t>What Is Youtube Red? Should I Buy Youtube Red?</t>
  </si>
  <si>
    <t>Should You Play Video Games?</t>
  </si>
  <si>
    <t>Super Bowl Commercial 2016 Cost - How Much Does A Commercial Cost In 2016 Super Bowl?</t>
  </si>
  <si>
    <t>How To Get Active Subscribers On Youtube? Tips 2016</t>
  </si>
  <si>
    <t>Subscriber Goals For 2017</t>
  </si>
  <si>
    <t>Is Michael Bay My Dad????????</t>
  </si>
  <si>
    <t>Reaction Channels Are Stupid??????? #JCTG</t>
  </si>
  <si>
    <t>How To Be MrBeast (Made By Really Old Subscriber)</t>
  </si>
  <si>
    <t>NBA Interviews Gone Wrong (No Gun Pulled)</t>
  </si>
  <si>
    <t>$100 GIVEAWAY PRANK (NO WEAPONS INVOLVED)</t>
  </si>
  <si>
    <t>Making My Background More Epic</t>
  </si>
  <si>
    <t>Giving Away Two $15 Gift Cards (forgive me boyz)</t>
  </si>
  <si>
    <t>Doing Youtube For Fun Or Views?</t>
  </si>
  <si>
    <t>Life Before And After Gamma (Insane) @GFuelEnergy</t>
  </si>
  <si>
    <t>Watching Dance Till You're Dead For 10 Hours</t>
  </si>
  <si>
    <t>Fidget Spinner Vs Face (Legit Had To Get Stitches)</t>
  </si>
  <si>
    <t>2,256 Miles In One Uber Ride (World Record)</t>
  </si>
  <si>
    <t>Reading The Longest English Word (190,000 Characters)</t>
  </si>
  <si>
    <t>I Counted To 100,000!</t>
  </si>
  <si>
    <t>Giving My Mom $100,000 (Proudest Day Of My Life)</t>
  </si>
  <si>
    <t>Breaking The Law</t>
  </si>
  <si>
    <t>I Can't Believe I Found This Stuff On Amazon..</t>
  </si>
  <si>
    <t>Watching It's Everyday Bro For 10 Hours Straight</t>
  </si>
  <si>
    <t>We Are Better Than Dude Perfect</t>
  </si>
  <si>
    <t>#1 MOST INSANE MAGNET LIFE HACK EVER</t>
  </si>
  <si>
    <t>Can 100,000 Pieces Of Paper Stop A Bullet?</t>
  </si>
  <si>
    <t>Saying Logan Paul 100,000 Times</t>
  </si>
  <si>
    <t>Tipping Pizza Delivery Guys $10,000</t>
  </si>
  <si>
    <t>Toothpaste Life Hacks YOU SHOULD KNOW</t>
  </si>
  <si>
    <t>Hi Me In Two Years (Made Two Years Ago)</t>
  </si>
  <si>
    <t>Giving A Random Homeless Man $10,000</t>
  </si>
  <si>
    <t>Donating $10,000 To Random Twitch Streamers</t>
  </si>
  <si>
    <t>Reacting To The Reaction Of The Reaction To The Reaction Of The Reaction Of The Reaction To The Reac</t>
  </si>
  <si>
    <t>Savage Level 9000</t>
  </si>
  <si>
    <t>Life Hacks You Need To Know</t>
  </si>
  <si>
    <t>Giving Homeless People $1,000 (Not Clickbait)</t>
  </si>
  <si>
    <t>Going To The Connor McGregor fight!</t>
  </si>
  <si>
    <t>i'm really sorry</t>
  </si>
  <si>
    <t>Tipping Uber Drivers $10,000</t>
  </si>
  <si>
    <t>OMG! INSANE CUP FORT</t>
  </si>
  <si>
    <t>Counting To 200,000 (Road To A Mil)</t>
  </si>
  <si>
    <t>Microwaving Dry Ice (Microwave Explodes)</t>
  </si>
  <si>
    <t>Microwaving my iPhone, what happens next might shock you..</t>
  </si>
  <si>
    <t>Saying "Keep Net Neutrality" For 10 Hours</t>
  </si>
  <si>
    <t>Grilling A Microwave Microwaving A Microwave Microwaving A Toaster Toasting An Iphone Watching Micro</t>
  </si>
  <si>
    <t>I Can't Break My Strange Addiction</t>
  </si>
  <si>
    <t>Every Challenge I've Ever Done</t>
  </si>
  <si>
    <t>Reading The Youtube Terms Of Service</t>
  </si>
  <si>
    <t>I Put 100 Million Orbeez In My Friend's Backyard</t>
  </si>
  <si>
    <t>I Put Millions Of Pennies In My Friends Backyard</t>
  </si>
  <si>
    <t>Things That SHOULDN'T Be Sold On Amazon</t>
  </si>
  <si>
    <t>Last To Leave Slime Pit Wins $20,000 - Challenge</t>
  </si>
  <si>
    <t>Spending 24 Hours Straight Under Water Challenge</t>
  </si>
  <si>
    <t>Do Water Repellent Shoes Actually Work?</t>
  </si>
  <si>
    <t>Destroying My Friend's Car And Surprising Him With A New One - Slime</t>
  </si>
  <si>
    <t>I Spent 24 Hours Straight In Prison - Challenge</t>
  </si>
  <si>
    <t>Last Youtuber To Leave Wins $100,000 - Challenge</t>
  </si>
  <si>
    <t>Surprising TFue With A Fortnite Battle Bus In Real Life</t>
  </si>
  <si>
    <t>Last To Leave Circle Wins $10,000 - Challenge</t>
  </si>
  <si>
    <t>I Donated $50,000 To Ninja - Fortnite</t>
  </si>
  <si>
    <t>Last To Remove Hand, Gets Lamborghini Challenge</t>
  </si>
  <si>
    <t>World's Hottest Substance Vs Coldest Substance</t>
  </si>
  <si>
    <t>Surprising Tfue With $10,000 Live - Fortnite</t>
  </si>
  <si>
    <t>I Built A Working Car Using Only LEGOS</t>
  </si>
  <si>
    <t>Can A Glowing 1000 Degree Sword Slice A Car In Half?</t>
  </si>
  <si>
    <t>I Donated $25,000 To Random Kids Streaming Fortnite</t>
  </si>
  <si>
    <t>I Built A Giant House Using Only Legos</t>
  </si>
  <si>
    <t>Attempting The Impossible Maze - $10,000 Challenge</t>
  </si>
  <si>
    <t>We Drove 3,000 Miles For The World's Best Burger</t>
  </si>
  <si>
    <t>Breaking Glass Using Only Megaphones</t>
  </si>
  <si>
    <t>Donating $100,000 To A Random Fortnite Streamer</t>
  </si>
  <si>
    <t>I Gave $20,000 To Random Homeless People</t>
  </si>
  <si>
    <t>Donating $10000 To Pewdiepie</t>
  </si>
  <si>
    <t>Ordering Water Then Tipping $30,000</t>
  </si>
  <si>
    <t>Moving 10 Pounds Using ONLY Sound</t>
  </si>
  <si>
    <t>I Bought One Snickers Bar From Every Walmart</t>
  </si>
  <si>
    <t>Spending $40,000 In One Hour Challenge</t>
  </si>
  <si>
    <t>I Spent 24 Hours Straight In Slime</t>
  </si>
  <si>
    <t>Destroyed Friend's House And Bought Him A New One</t>
  </si>
  <si>
    <t>I Hope This Magic Trick Works</t>
  </si>
  <si>
    <t>How Many Toy Cars Does It Take To Pull A Real Car?</t>
  </si>
  <si>
    <t>Destroying My Friend's Car And Surprising Him With A New One</t>
  </si>
  <si>
    <t>I Bought Every Billboard In My City For This</t>
  </si>
  <si>
    <t>I Bought An Expensive Car Using Only $1 Bills</t>
  </si>
  <si>
    <t>Returning Destroyed Rental Cars Prank</t>
  </si>
  <si>
    <t>Surprising My 8,000,000th Subscriber With 8,000,000 ___</t>
  </si>
  <si>
    <t>How Many Rubber Bands Does It Take To Snap A Safe?</t>
  </si>
  <si>
    <t>I Donated $30,000 To My Favorite Twitch Streamer (ninja)</t>
  </si>
  <si>
    <t>You Pick The Right Cup, You Win $100,000!</t>
  </si>
  <si>
    <t>Walking Into Random Stores With 100 Dinosaurs</t>
  </si>
  <si>
    <t>I Donated $30,000 To A Random Twitch Streamer (world record)</t>
  </si>
  <si>
    <t>I Flew Using Only Balloons AND Leaf Blowers</t>
  </si>
  <si>
    <t>Giving $100,000 To A Homeless Person</t>
  </si>
  <si>
    <t>Winning A Game Of Fortnite In The Middle Of The Ocean</t>
  </si>
  <si>
    <t>I Spent $50,000 On Lottery Tickets And Won ____</t>
  </si>
  <si>
    <t>I Ubered Random People In A Tank</t>
  </si>
  <si>
    <t>Giving My 10,000,000th Subscriber 10,000,000 ___</t>
  </si>
  <si>
    <t>The Real Way Dinosaurs Went Extinct</t>
  </si>
  <si>
    <t>Flat Earth PROVEN By Independent Research</t>
  </si>
  <si>
    <t>Rocket League In Real Life!</t>
  </si>
  <si>
    <t>Can 1,000 Fans At Max Speed Push A Car?</t>
  </si>
  <si>
    <t>Donating Big Donations To Twitch Streamers!!!</t>
  </si>
  <si>
    <t>I Bought The World's Most Expensive Apps ($10k)</t>
  </si>
  <si>
    <t>Can 1,000 Rolls Of Duct Tape Stop A Car??</t>
  </si>
  <si>
    <t>Saying Pewdiepie 100,000 Times</t>
  </si>
  <si>
    <t>I Bought A Car Using Only Pennies</t>
  </si>
  <si>
    <t>I Built A Mansion Using Only Cardboard Boxes</t>
  </si>
  <si>
    <t>Pulling Cars Over Using A Toy Police Car</t>
  </si>
  <si>
    <t>I Donated $40,000 To A Random Twitch Fortnite Streamer (world record)</t>
  </si>
  <si>
    <t>$10000 Ice Sculpture Vs Flame</t>
  </si>
  <si>
    <t>I Donated $1000 Every Time She Blinked - Fortnite Streamers</t>
  </si>
  <si>
    <t>Walking Up To Random People With 100 StormTroopers</t>
  </si>
  <si>
    <t>I Donated $10,000 If They Said This Word (Twitch Streamers)</t>
  </si>
  <si>
    <t>$10,000 Games Of Rock Paper Scissors</t>
  </si>
  <si>
    <t>Trying To Fly Using Only Leaf Blowers</t>
  </si>
  <si>
    <t>Tying My Shoes In Every State (World Record)</t>
  </si>
  <si>
    <t>I Gave My 6,000,000th Subscriber 6,000,000 ____</t>
  </si>
  <si>
    <t>I Made Money Grow On Trees</t>
  </si>
  <si>
    <t>I Spent $30,000 On Lottery Tickets And Won ____</t>
  </si>
  <si>
    <t>I Took Apart My Friends Car And Put It In His Room</t>
  </si>
  <si>
    <t>I Gave $500,000 To Random People</t>
  </si>
  <si>
    <t>I Tipped Waitresses $20,000</t>
  </si>
  <si>
    <t>I Gave $20,000 To People From An Ice Cream Truck</t>
  </si>
  <si>
    <t>How I Gave Away $1,000,000</t>
  </si>
  <si>
    <t>Giving My 4,000,000th Subscriber 4,000,000 Cookies</t>
  </si>
  <si>
    <t>Donating $10,000 To Fortnite Streamers If They Win</t>
  </si>
  <si>
    <t>I Gave My 5,000,000th Subscriber 5,000,000 ______</t>
  </si>
  <si>
    <t>We Delivered 100 Pizzas To Random Houses</t>
  </si>
  <si>
    <t>Giving 3,000,000 Pennies To My 3,000,000th Subscriber</t>
  </si>
  <si>
    <t>I Dropped $20,000 From A Drone</t>
  </si>
  <si>
    <t>Going Through The Same Drive Thru 1,000 Times</t>
  </si>
  <si>
    <t>Surviving 24 Hours Straight In The Bermuda Triangle</t>
  </si>
  <si>
    <t>Last To Leave World's Largest Bowl Of Cereal Wins $10,000</t>
  </si>
  <si>
    <t>Pass All 12 Grades, Win $10,000</t>
  </si>
  <si>
    <t>I Searched 100 Dumpsters, Here's What I Found</t>
  </si>
  <si>
    <t>Spending 24 Hours On Top Of A Mountain</t>
  </si>
  <si>
    <t>Surviving 24 Hours On A Deserted Island</t>
  </si>
  <si>
    <t>Spending $1,000,000 In 24 Hours</t>
  </si>
  <si>
    <t>Homeless Man Buys A Lamborghini</t>
  </si>
  <si>
    <t>I Spent 24 Hours Straight At Area 51</t>
  </si>
  <si>
    <t>Spending 24 Hours In A City With No Laws</t>
  </si>
  <si>
    <t>Surviving 24 Hours Straight In A Desert</t>
  </si>
  <si>
    <t>I Won Every Prize At A Theme Park</t>
  </si>
  <si>
    <t>Last To Leave Pool Of $20,000 Keeps It</t>
  </si>
  <si>
    <t>I Bought Everything In A Store - Challenge</t>
  </si>
  <si>
    <t>Last To Leave Revolving Door Wins $50,000</t>
  </si>
  <si>
    <t>Last To Leave VR Wins $20,000</t>
  </si>
  <si>
    <t>$50,000 Game Of Extreme Hide And Seek - Challenge</t>
  </si>
  <si>
    <t>Last To Fall Wins $1,000,000 (Part 1)</t>
  </si>
  <si>
    <t>Last To Leave Roller Coaster Wins $20,000 - Challenge</t>
  </si>
  <si>
    <t>Eating A $10,000 Golden Steak (24k Gold)</t>
  </si>
  <si>
    <t>I Ordered Pizza And Tipped The House</t>
  </si>
  <si>
    <t>I Opened A Free Car Dealership</t>
  </si>
  <si>
    <t>24 Hours In The Most Haunted Place On Earth</t>
  </si>
  <si>
    <t>Make This Video The Most Liked Video On Youtube</t>
  </si>
  <si>
    <t>Last To Take Hand Off $1,000,000 Keeps It</t>
  </si>
  <si>
    <t>Last to Stop Swinging Wins $1,000,000 (Part 2)</t>
  </si>
  <si>
    <t>Surviving 24 Hours Straight In A Rain Forest</t>
  </si>
  <si>
    <t>Giant Monopoly Game With Real Money</t>
  </si>
  <si>
    <t>Last To Take Hand Off Boat, Keeps It</t>
  </si>
  <si>
    <t>Can 50,000 Magnets Catch A Cannon Ball?</t>
  </si>
  <si>
    <t>Going Around A Ferris Wheel 1,000 Times Straight</t>
  </si>
  <si>
    <t>I Opened A FREE BANK</t>
  </si>
  <si>
    <t>Standing Still For 24 Hours Straight - Statue Challenge</t>
  </si>
  <si>
    <t>Last To Stop Running Wins $20,000</t>
  </si>
  <si>
    <t>I Spent 24 Hours Straight In Insane Asylum</t>
  </si>
  <si>
    <t>Last To Leave The Tesla, Keeps It Challenge</t>
  </si>
  <si>
    <t>Planting 20,000,000 Trees, My Biggest Project Ever!</t>
  </si>
  <si>
    <t>I Put 10 Million Legos in Friend's House</t>
  </si>
  <si>
    <t>Donating $100,000 To Streamers With 0 Viewers</t>
  </si>
  <si>
    <t>I Gave My Brother 24 Hours To Spend $100,000</t>
  </si>
  <si>
    <t>Last To Leave Toilet Wins $1,000,000 (Part 3)</t>
  </si>
  <si>
    <t>Last To Take Hand Off House Keeps It!</t>
  </si>
  <si>
    <t>Molten Lava Vs Giant Ice Block Experiment</t>
  </si>
  <si>
    <t>I Opened The World's First FREE Store</t>
  </si>
  <si>
    <t>Anything You Can Carry, I'll Pay For Challenge</t>
  </si>
  <si>
    <t>World's Largest Game Of Dodgeball</t>
  </si>
  <si>
    <t>Anything You Can Carry, I'll Pay For #2</t>
  </si>
  <si>
    <t>I Gave A Homeless Man A Home</t>
  </si>
  <si>
    <t>I Gave Him One Hour To Spend $100,000!</t>
  </si>
  <si>
    <t>Giving $10,000 To Random People And Saying Nothing</t>
  </si>
  <si>
    <t>Giving 10,000 Presents To Kids For Christmas</t>
  </si>
  <si>
    <t>Last To Leave Ramen Noodle Pool Wins $20,000</t>
  </si>
  <si>
    <t>Tipping Waitresses With Real Gold Bars</t>
  </si>
  <si>
    <t>Last To Stop Riding Bike Wins $1,000,000 (Part 4)</t>
  </si>
  <si>
    <t>Donating $100,000 To Random Streamers</t>
  </si>
  <si>
    <t>Surprising Strangers With 100 Zombies - Experiment</t>
  </si>
  <si>
    <t>I Spent $100,000 On Lottery Tickets And Won!</t>
  </si>
  <si>
    <t>$200,000 Youtuber Battle Royale</t>
  </si>
  <si>
    <t>I Advertised Pewdiepie At The Super Bowl</t>
  </si>
  <si>
    <t>I Opened The Worldâ€™s Cheapest Store</t>
  </si>
  <si>
    <t>Paying People $10,000 To Eat Ghost Pepper</t>
  </si>
  <si>
    <t>Important Youtube Announcement (please watch)</t>
  </si>
  <si>
    <t>Playing Battleship With Real Ships</t>
  </si>
  <si>
    <t>20,000 Magnets Vs A Car</t>
  </si>
  <si>
    <t>Donating $100,000 To Shroud In Real Life</t>
  </si>
  <si>
    <t>Press This Button To Win $100,000!</t>
  </si>
  <si>
    <t>I Spent 50 Hours In Solitary Confinement</t>
  </si>
  <si>
    <t>Anything You Can Fit In The Circle Iâ€™ll Pay For</t>
  </si>
  <si>
    <t>I Ate The Worldâ€™s Largest Slice Of Pizza</t>
  </si>
  <si>
    <t>Last To Leave $800,000 Island Keeps It</t>
  </si>
  <si>
    <t>Would You Rather Have $100,000 OR This Mystery Key?</t>
  </si>
  <si>
    <t>I Ate A $70,000 Golden Pizza</t>
  </si>
  <si>
    <t>I Adopted EVERY Dog In A Dog Shelter</t>
  </si>
  <si>
    <t>$1 vs $100,000 Firework!</t>
  </si>
  <si>
    <t>I Filled My Brotherâ€™s House With Slime &amp; Bought Him A New One</t>
  </si>
  <si>
    <t>I Gave People $1,000,000 But ONLY 1 Minute To Spend It!</t>
  </si>
  <si>
    <t>Would YOU Rather Have A Lamborghini or This House?</t>
  </si>
  <si>
    <t>Steal This $100,000 Diamond, You Keep It</t>
  </si>
  <si>
    <t>If You Click This Video I'll Give My Friend .001$</t>
  </si>
  <si>
    <t>I Spent 24 Hours In A Doomsday Bunker</t>
  </si>
  <si>
    <t>I Built The World's Largest Lego Tower</t>
  </si>
  <si>
    <t>I Gave My 40,000,000th Subscriber 40 Cars</t>
  </si>
  <si>
    <t>I Broke Into A House</t>
  </si>
  <si>
    <t>Would You Rather Have A Giant Diamond or $100,000?</t>
  </si>
  <si>
    <t>I Opened A Restaurant That Pays You To Eat At It</t>
  </si>
  <si>
    <t>I Gave My Credit Card To Random People</t>
  </si>
  <si>
    <t>I Ran A Marathon In The World's Largest Shoes</t>
  </si>
  <si>
    <t>I Bought A Private Island</t>
  </si>
  <si>
    <t>I Survived 24 Hours Straight In Ice</t>
  </si>
  <si>
    <t>$60,000 Extreme Hide And Seek - Challenge</t>
  </si>
  <si>
    <t>Videos I Could Not Upload...</t>
  </si>
  <si>
    <t>$70,000 Extreme Hide And Seek - Challenge</t>
  </si>
  <si>
    <t>I Uberâ€™d People And Let Them Keep The Car</t>
  </si>
  <si>
    <t>I Spent $1,000,000 On Lottery Tickets and WON</t>
  </si>
  <si>
    <t>Lambo Race, Winner Keeps Lambo</t>
  </si>
  <si>
    <t>Hi Me In 5 Years</t>
  </si>
  <si>
    <t>I Put 1,000,000,000 Christmas Lights On A House (World Record)</t>
  </si>
  <si>
    <t>Get Every Boy Scout Badge, Win $10,000</t>
  </si>
  <si>
    <t>Get This Random Person 1,000,000 Subscribers</t>
  </si>
  <si>
    <t>Giving $1,000,000 Of Food To People In Need</t>
  </si>
  <si>
    <t>Why I Havenâ€™t Been Uploading</t>
  </si>
  <si>
    <t>I Gave $200,000 To People Who Lost Their Jobs (Corona Virus)</t>
  </si>
  <si>
    <t>How I Gained 15,000,000 Subscribers In 1 Year</t>
  </si>
  <si>
    <t>$456,000 Squid Game In Real Life!</t>
  </si>
  <si>
    <t>Last To Leave Circle Wins $500,000</t>
  </si>
  <si>
    <t>Would You Sit In Snakes For $10,000?</t>
  </si>
  <si>
    <t>I Spent 50 Hours Buried Alive</t>
  </si>
  <si>
    <t>I Ate $100,000 Golden Ice Cream</t>
  </si>
  <si>
    <t>I Bought The World's Largest Mystery Box! ($500,000)</t>
  </si>
  <si>
    <t>I Survived 50 Hours In A Maximum Security Prison</t>
  </si>
  <si>
    <t>Extreme $100,000 Game of Tag!</t>
  </si>
  <si>
    <t>Anything You Can Fit In The Triangle Iâ€™ll Pay For</t>
  </si>
  <si>
    <t>I Got Hunted By The FBI</t>
  </si>
  <si>
    <t>If You Can Carry $1,000,000 You Keep It!</t>
  </si>
  <si>
    <t>I Got Hunted By The Military</t>
  </si>
  <si>
    <t>I Got Hunted By A Real Bounty Hunter</t>
  </si>
  <si>
    <t>Extreme $500,000 Game Of Tag!</t>
  </si>
  <si>
    <t>Hit The Target, Win $300,000</t>
  </si>
  <si>
    <t>I Bought Everything In 5 Stores</t>
  </si>
  <si>
    <t>First To Rob Bank Wins $100,000</t>
  </si>
  <si>
    <t>Last To Take Hand Off Lamborghini, Keeps It</t>
  </si>
  <si>
    <t>Would You Quit School For $100,000?</t>
  </si>
  <si>
    <t>I Sold My House For $1</t>
  </si>
  <si>
    <t>Offering People $100,000 To Quit Their Job</t>
  </si>
  <si>
    <t>I Cleaned The Worldâ€™s Dirtiest Beach #TeamSeas</t>
  </si>
  <si>
    <t>Extreme $1,000,000 Hide And Seek</t>
  </si>
  <si>
    <t>World's Biggest YouTubers Fight for $1,000,000</t>
  </si>
  <si>
    <t>YOUTUBE REWIND: 2020</t>
  </si>
  <si>
    <t>I Donated $300,000 To People In Need</t>
  </si>
  <si>
    <t>Giving iPhones Instead Of Candy on Halloween</t>
  </si>
  <si>
    <t>Would You Fly To Paris For A Baguette?</t>
  </si>
  <si>
    <t>Gordon Ramsay Tries Most Expensive Chocolate Bar!</t>
  </si>
  <si>
    <t>The Rock Vs MrBeast For $100,000</t>
  </si>
  <si>
    <t>$1 vs $1,000,000 Hotel Room!</t>
  </si>
  <si>
    <t>Survive 100 Days In Circle, Win $500,000</t>
  </si>
  <si>
    <t>I Built Willy Wonka's Chocolate Factory!</t>
  </si>
  <si>
    <t>100 Kids Fight Parents For $500,000</t>
  </si>
  <si>
    <t>100 Boys Vs 100 Girls For $500,000</t>
  </si>
  <si>
    <t>Worldâ€™s Most Dangerous Escape Room!</t>
  </si>
  <si>
    <t>Real Life Spider-Man Vs Skyscraper</t>
  </si>
  <si>
    <t>I Hunted 100 People!</t>
  </si>
  <si>
    <t>100 People Fight For A Private Island</t>
  </si>
  <si>
    <t>I Survived 50 Hours In Antarctica</t>
  </si>
  <si>
    <t>Last To Take Hand Off Jet, Keeps It!</t>
  </si>
  <si>
    <t>$10,000 Every Day You Survive Prison</t>
  </si>
  <si>
    <t>Can I Survive A Plane Crash?</t>
  </si>
  <si>
    <t>Would You Swim With Sharks For $100,000?</t>
  </si>
  <si>
    <t>I Didnâ€™t Eat Food For 30 Days</t>
  </si>
  <si>
    <t>$100,000,000 Car Doors</t>
  </si>
  <si>
    <t>Katana Vs Bullet</t>
  </si>
  <si>
    <t>Guess The Gift, Keep It</t>
  </si>
  <si>
    <t>Would You Pet a Cheetah in Africa?</t>
  </si>
  <si>
    <t>Tipping A Waitress A Car</t>
  </si>
  <si>
    <t>Spot The Hidden People For $10,000</t>
  </si>
  <si>
    <t>$10,000 Girl Scout Cookies</t>
  </si>
  <si>
    <t>I Traded My Car At a Red Light</t>
  </si>
  <si>
    <t>I Sent a Subscriber to Disneyland</t>
  </si>
  <si>
    <t>Furthest Away From Me Wins $10,000</t>
  </si>
  <si>
    <t>I Tipped A Pizza Delivery Driver A Car</t>
  </si>
  <si>
    <t>Feeding A Dog $1 vs $10,000 Steak</t>
  </si>
  <si>
    <t>Do Men Lie About Their Height?</t>
  </si>
  <si>
    <t>Can You Beat A Girl In Arm Wrestling?</t>
  </si>
  <si>
    <t>Would you go on a Blind Date in Italy?</t>
  </si>
  <si>
    <t>I NEED 1 MORE ð—¦ð—¨ð—•ð—¦ð—–ð—¥ð—œð—•ð—˜ð—¥</t>
  </si>
  <si>
    <t>$1 vs $100,000,000 Car!</t>
  </si>
  <si>
    <t>$1 vs $500,000 Plane Ticket!</t>
  </si>
  <si>
    <t>Worldâ€™s Most Expensive Bed</t>
  </si>
  <si>
    <t>I Ate The Worldâ€™s Most Poisonous Fish</t>
  </si>
  <si>
    <t>$1 vs $1,000,000,000 Yacht!</t>
  </si>
  <si>
    <t>I Buried Treasure in the Bermuda Triangle</t>
  </si>
  <si>
    <t>I Paid A Random Studentâ€™s College Tuition</t>
  </si>
  <si>
    <t>Metal Pipe Vs School Bus</t>
  </si>
  <si>
    <t>$10,000 Every Day You Survive In A Grocery Store</t>
  </si>
  <si>
    <t>How Many School Buses Can We Stack?</t>
  </si>
  <si>
    <t>Could You Walk Up A Skyscraper?</t>
  </si>
  <si>
    <t>Do Pawnshops Scam You?</t>
  </si>
  <si>
    <t>Ages 1 - 100 Fight For $500,000</t>
  </si>
  <si>
    <t>Survive 100 Days Trapped, Win $500,000</t>
  </si>
  <si>
    <t>$1 vs $250,000 Vacation!</t>
  </si>
  <si>
    <t>Extreme Home Makeover!</t>
  </si>
  <si>
    <t>Giving Car Keys Instead Of Candy On Halloween</t>
  </si>
  <si>
    <t>7 Days Stranded At Sea</t>
  </si>
  <si>
    <t>$1 vs $100,000,000 House!</t>
  </si>
  <si>
    <t>Feeding A Cat $10 Vs $10,000 Sushi</t>
  </si>
  <si>
    <t>I Adopted 100 Dogs!</t>
  </si>
  <si>
    <t>$100,000,000 Bathroom</t>
  </si>
  <si>
    <t>I Gave Away A House On Halloween</t>
  </si>
  <si>
    <t>World's Most Dangerous Trap!</t>
  </si>
  <si>
    <t>I Paid A Real Assassin To Try To Kill Me</t>
  </si>
  <si>
    <t>I Got Naruto to Subscribe to Me</t>
  </si>
  <si>
    <t>$1 vs $10,000,000 Job!</t>
  </si>
  <si>
    <t>I Spent 7 Days Buried Alive</t>
  </si>
  <si>
    <t>10 People Vs World's Deadliest Laser Maze for $250,000</t>
  </si>
  <si>
    <t>Train Vs Giant Pit</t>
  </si>
  <si>
    <t>I Spent 7 Days In Solitary Confinement</t>
  </si>
  <si>
    <t>Worldâ€™s Most Expensive Coffee</t>
  </si>
  <si>
    <t>Worldâ€™s Largest Dominoes Vs Store</t>
  </si>
  <si>
    <t>Every Country On Earth Fights For $250,000!</t>
  </si>
  <si>
    <t>I Built 100 Wells In Africa</t>
  </si>
  <si>
    <t>1,000 Deaf People Hear For The First Time</t>
  </si>
  <si>
    <t>1,000 Blind People See For The First Time</t>
  </si>
  <si>
    <t>Make This Kick, Win Super Bowl Tickets</t>
  </si>
  <si>
    <t>How Much Tape To Stop A Lamborghini?</t>
  </si>
  <si>
    <t>Most Expensive Hand Model Holds Feastables</t>
  </si>
  <si>
    <t>Will A Guitar Boat Hold My Weight?</t>
  </si>
  <si>
    <t>Bring Me Back Snow From The North Pole</t>
  </si>
  <si>
    <t>Last Person Standing Wins $10,000</t>
  </si>
  <si>
    <t>This Game Is Wild...</t>
  </si>
  <si>
    <t>The World's Fastest Cleaners</t>
  </si>
  <si>
    <t>Spot The Fake Animal For $10,000</t>
  </si>
  <si>
    <t>How Many People To Stop Ronaldo?</t>
  </si>
  <si>
    <t>Human vs Jet Engine</t>
  </si>
  <si>
    <t>How Many Balloons To Make A Store Fly?</t>
  </si>
  <si>
    <t>Bottle Head Smashing World Record Attempt!</t>
  </si>
  <si>
    <t>How Many Balloons Does It Take To Fly?</t>
  </si>
  <si>
    <t>Buy Feastables, Win Unlimited Money</t>
  </si>
  <si>
    <t>7 Days Stranded On An Island</t>
  </si>
  <si>
    <t>I Filled Chandlerâ€™s Car With Feastables</t>
  </si>
  <si>
    <t>Buy Feastables, Win $10,000</t>
  </si>
  <si>
    <t>50 YouTubers Fight For $1,000,000</t>
  </si>
  <si>
    <t>Running With Bigger And Bigger Feastables</t>
  </si>
  <si>
    <t>1 Subscriber = 1 Penny</t>
  </si>
  <si>
    <t>Worldâ€™s Deadliest Obstacle Course!</t>
  </si>
  <si>
    <t>Restocking MrBeast Labs at Walmart</t>
  </si>
  <si>
    <t>Will A Basketball Boat Hold My Weight?</t>
  </si>
  <si>
    <t>Ronaldo Teaches Me How To SIUU</t>
  </si>
  <si>
    <t>Find The Real MrBeast, Win $10,000</t>
  </si>
  <si>
    <t>$1 vs $250,000,000 Private Island!</t>
  </si>
  <si>
    <t>Giving 1000 Phones Away</t>
  </si>
  <si>
    <t>Face Your Biggest Fear To Win $800,000</t>
  </si>
  <si>
    <t>$10,000 Every Day You Survive In The Wilderness</t>
  </si>
  <si>
    <t>Running With Bigger And Bigger Lunchlys</t>
  </si>
  <si>
    <t>Beat Ronaldo, Win $1,000,000</t>
  </si>
  <si>
    <t>Holding Bigger And Bigger Dogs</t>
  </si>
  <si>
    <t>Survive 100 Days In Nuclear Bunker, Win $500,000</t>
  </si>
  <si>
    <t>I Survived 7 Days In An Abandoned City</t>
  </si>
  <si>
    <t>Iâ€™m Giving My 250M Subscriber $25,000</t>
  </si>
  <si>
    <t>Ages 1 - 100 Decide Who Wins $250,000</t>
  </si>
  <si>
    <t>Sprinting with More and More Money</t>
  </si>
  <si>
    <t>Anything You Touch, You Keep!</t>
  </si>
  <si>
    <t>I Got T-Series To Subscribe To Me</t>
  </si>
  <si>
    <t>Worldâ€™s Smartest Dog</t>
  </si>
  <si>
    <t>Pass The Phone Toâ€¦</t>
  </si>
  <si>
    <t>Confronting Ronaldo</t>
  </si>
  <si>
    <t>Ages 1-100 Try My Chocolate</t>
  </si>
  <si>
    <t>Spot The Difference, Win $10,000</t>
  </si>
  <si>
    <t>$1 vs $500,000 Experiences!</t>
  </si>
  <si>
    <t>Real Or Cake For $10,000</t>
  </si>
  <si>
    <t>Stop This Train, Win a Lamborghini</t>
  </si>
  <si>
    <t>I Built 100 Houses And Gave Them Away!</t>
  </si>
  <si>
    <t>Unboxing My 200M Subscriber Play Button</t>
  </si>
  <si>
    <t>This Game Is Wild</t>
  </si>
  <si>
    <t>Men Vs Women Survive In The Wilderness For $500,000</t>
  </si>
  <si>
    <t>Would You Split Or Steal $250,000?</t>
  </si>
  <si>
    <t>100 Identical Twins Fight For $250,000</t>
  </si>
  <si>
    <t>2,000 People Fight For $5,000,000</t>
  </si>
  <si>
    <t>Protect $500,000 Keep It!</t>
  </si>
  <si>
    <t>7 Days Stranded In A Cave</t>
  </si>
  <si>
    <t>Keep Track Of Car, Win $10,000</t>
  </si>
  <si>
    <t>7 Days Exploring An Underground City</t>
  </si>
  <si>
    <t>Protect The Yacht, Keep It!</t>
  </si>
  <si>
    <t>In 10 Minutes This Room Will Explode!</t>
  </si>
  <si>
    <t>Giving Away $1,000,000 in Gifts To My Subscribers</t>
  </si>
  <si>
    <t>Answer The Call, Win $10,000</t>
  </si>
  <si>
    <t>Slippery vs Sticky Stairs</t>
  </si>
  <si>
    <t>Can I Teach a Penguin To Subscribe?</t>
  </si>
  <si>
    <t>Find This Stranger, Win $10,000</t>
  </si>
  <si>
    <t>I Cooked A Pizza With Power Tools</t>
  </si>
  <si>
    <t>Highest Away From Me Wins $10,000</t>
  </si>
  <si>
    <t>1 Subscriber = 1 Penny Donated</t>
  </si>
  <si>
    <t>Last Person Hanging Wins $10,000</t>
  </si>
  <si>
    <t>$10,000 Human Shuffleboard</t>
  </si>
  <si>
    <t>Find Your Dog, Win $10,000</t>
  </si>
  <si>
    <t>I Raced IShowSpeed</t>
  </si>
  <si>
    <t>Reach the Money, Win $10,000</t>
  </si>
  <si>
    <t>Drift This Car, Win $10,000</t>
  </si>
  <si>
    <t>Donâ€™t Turn Around, Win $10k</t>
  </si>
  <si>
    <t>If You Spill, You Lose!</t>
  </si>
  <si>
    <t>Feastables vs Reeseâ€™s Taste Test with @gordonramsay</t>
  </si>
  <si>
    <t>Every YouTube Play Button I Have</t>
  </si>
  <si>
    <t>Would You Go On Vacation With A Stranger?</t>
  </si>
  <si>
    <t>I Raced Noah Lyles</t>
  </si>
  <si>
    <t>This Is How The Pyramids Were Built</t>
  </si>
  <si>
    <t>Find The Human, Win $10,000</t>
  </si>
  <si>
    <t>Subscribe To Explode The TNT</t>
  </si>
  <si>
    <t>Can I Beat An F1 Driver?</t>
  </si>
  <si>
    <t>Worldâ€™s Fastest Robbers</t>
  </si>
  <si>
    <t>Flip a Coin, Iâ€™ll Pay For Your College</t>
  </si>
  <si>
    <t>Worldâ€™s Fastest Dinner Date</t>
  </si>
  <si>
    <t>Subscribe For An iPhone</t>
  </si>
  <si>
    <t>Find This Briefcase, Win $10,000</t>
  </si>
  <si>
    <t>Extreme Helmet Game</t>
  </si>
  <si>
    <t>Grab The Rolex, Keep It!</t>
  </si>
  <si>
    <t>Lose 100 LBs, Win $250,000!</t>
  </si>
  <si>
    <t>Giving Trick-or-Treaters Weirder and Weirder Gifts</t>
  </si>
  <si>
    <t>This obstacle course is WILD</t>
  </si>
  <si>
    <t>Find The Real Celebrity, Win $10,000</t>
  </si>
  <si>
    <t>I Spent 100 Hours Inside The Pyramids!</t>
  </si>
  <si>
    <t>Survive 30 Days Chained To Your Ex, Win $250,000</t>
  </si>
  <si>
    <t>World's Fastest Car Vs Cheetah!</t>
  </si>
  <si>
    <t>Would You Risk Drowning for $500,000?</t>
  </si>
  <si>
    <t>Last to Leave Their Circle Wins $500,000</t>
  </si>
  <si>
    <t>I Saved 1,000 Animals From Dying</t>
  </si>
  <si>
    <t>Which Celebrity Punches The Hardest?</t>
  </si>
  <si>
    <t>Survive 30 Days Trapped In The Sky, Win $250,000</t>
  </si>
  <si>
    <t>How Fast Can I Go?</t>
  </si>
  <si>
    <t>$1 vs $500,000 Date</t>
  </si>
  <si>
    <t>I Survived The 5 Deadliest Places On Earth</t>
  </si>
  <si>
    <t>100 Kids Vs World's Strongest Man!</t>
  </si>
  <si>
    <t>$1  = One Year of Clean Water</t>
  </si>
  <si>
    <t>Reaction Time Challenge</t>
  </si>
  <si>
    <t>$1 vs $1,000,000,000 Nuclear Bunker!</t>
  </si>
  <si>
    <t>Beat Neymar, Win $500,000</t>
  </si>
  <si>
    <t>Every Minute One Person Is Eliminated</t>
  </si>
  <si>
    <t>Jet Engine vs Human for $10k</t>
  </si>
  <si>
    <t>Would You Date Him for $10,000?</t>
  </si>
  <si>
    <t>I Raced A Cheetah</t>
  </si>
  <si>
    <t>Pick The Wrong Tube, Get Slimed</t>
  </si>
  <si>
    <t>Last One To Fall Wins</t>
  </si>
  <si>
    <t>Survive 100 Days In Prison, Win $500,000</t>
  </si>
  <si>
    <t>First to Answer the Phone, Wins $10,000</t>
  </si>
  <si>
    <t>Survive 100 Days Trapped In A Private Jet, Keep It</t>
  </si>
  <si>
    <t>Call Your Ex, Win $10,000</t>
  </si>
  <si>
    <t>100 Pilots Fight For A Private Jet</t>
  </si>
  <si>
    <t>I Helped 2,000 People Walk Again</t>
  </si>
  <si>
    <t>How Much Would You Risk For $500,000?</t>
  </si>
  <si>
    <t>I Survived 100 Hours In An Ancient Temple</t>
  </si>
  <si>
    <t>World's Strongest Man Vs Robot</t>
  </si>
  <si>
    <t>I Crashed One Of The Most Expensive Cars In The World</t>
  </si>
  <si>
    <t>I Met Neymar</t>
  </si>
  <si>
    <t>100 People Vs Worldâ€™s Biggest Trap!</t>
  </si>
  <si>
    <t>Can We Stop World's Best Tennis Player</t>
  </si>
  <si>
    <t>2,000,000 People Get Clean Water For The First Time!</t>
  </si>
  <si>
    <t>Could You Win This Obstacle Course?</t>
  </si>
  <si>
    <t>You Can Stop Child Labor</t>
  </si>
  <si>
    <t>You Lose, You Get Shot</t>
  </si>
  <si>
    <t>Answer The Door, Win $10,000</t>
  </si>
  <si>
    <t>$1 vs $25,000 VFX</t>
  </si>
  <si>
    <t>I Arrested IShowSpeed</t>
  </si>
  <si>
    <t>1 Subscriber = 1 Second In The Arctic</t>
  </si>
  <si>
    <t>Guess What Hit You</t>
  </si>
  <si>
    <t>I Paid Everyone Stuck in Traffic</t>
  </si>
  <si>
    <t>Would Your Grandma Go Skydiving?</t>
  </si>
  <si>
    <t>Subscribe to Win $50,000</t>
  </si>
  <si>
    <t>Who Has The Fastest Reaction Time?</t>
  </si>
  <si>
    <t>Jump Over The Lava, Win!</t>
  </si>
  <si>
    <t>Whatever You Hold Onto, You Keep</t>
  </si>
  <si>
    <t>Click This Video To Feed 1 Person</t>
  </si>
  <si>
    <t>Baseball Tic Tac Toe vs MLB Pro</t>
  </si>
  <si>
    <t>Hi Me In 10 Years</t>
  </si>
  <si>
    <t>Find This Key, Win $10,000</t>
  </si>
  <si>
    <t>Hit The Target, Keep The Prize</t>
  </si>
  <si>
    <t>I Surprised 50 Make-A-Wish Kids With Disneyland</t>
  </si>
  <si>
    <t>I Baked a Cake In a Race Car</t>
  </si>
  <si>
    <t>How Many People to Pull a Plane?</t>
  </si>
  <si>
    <t>How I Became MrBeef</t>
  </si>
  <si>
    <t>MrBeast Lab Disaster!</t>
  </si>
  <si>
    <t>I Stranded 100 People In The Wilderness For $250,000</t>
  </si>
  <si>
    <t>POV: You Time Traveled Back to 2016</t>
  </si>
  <si>
    <t>50 YouTube Legends Fight For $1,000,000</t>
  </si>
  <si>
    <t>We Made Make-A-Wish Kidsâ€™ Dreams Come True</t>
  </si>
  <si>
    <t>Survive 30 Days On An Island With Your Ex, Win $250,000</t>
  </si>
  <si>
    <t>Iâ€™m Granting Wishes For My Subscribers</t>
  </si>
  <si>
    <t>50 Streamers Fight for $1,000,000</t>
  </si>
  <si>
    <t>I Built 10 Schools Around The World</t>
  </si>
  <si>
    <t>Survive 30 Days Stranded With Your Ex, Win $250,000</t>
  </si>
  <si>
    <t>7 Days Stranded in The Arctic</t>
  </si>
  <si>
    <t>Last To Leave Grocery Store, Wins $250,000</t>
  </si>
  <si>
    <t>My Chocolate Factory Blew Up</t>
  </si>
  <si>
    <t>30 Celebrities Fight For $1,000,000!</t>
  </si>
  <si>
    <t>Important Announcement From The Grocery Store</t>
  </si>
  <si>
    <t>Trapped On An Island Until I Build A Boat</t>
  </si>
  <si>
    <t>Asking My FiancÃ©e on a Date</t>
  </si>
  <si>
    <t>Ages 1 - 100 Race For $250,000!</t>
  </si>
  <si>
    <t>I Built a School in Mexico</t>
  </si>
  <si>
    <t>$1 vs $1,000,000,000 Futuristic Tech!</t>
  </si>
  <si>
    <t>Can My FiancÃ©e Lift Me?</t>
  </si>
  <si>
    <t>Spreading Rumors About Streamers</t>
  </si>
  <si>
    <t>Survivor vs Beast Games</t>
  </si>
  <si>
    <t>Bring Me A Glass Of Water = Win $10,000</t>
  </si>
  <si>
    <t>$1 or Mystery Vial?</t>
  </si>
  <si>
    <t>I Surprised a Random Subscriber With $10,000</t>
  </si>
  <si>
    <t>5 Strangers Split $100,000</t>
  </si>
  <si>
    <t>Guess The Youtuber = Win $1,000</t>
  </si>
  <si>
    <t>Wait... Was He Famous?</t>
  </si>
  <si>
    <t>Would Your Dog Pick $10,000 or Steak?</t>
  </si>
  <si>
    <t>Surprising My FiancÃ©e With A Chocolate Heart</t>
  </si>
  <si>
    <t>I Hid $1,000,000 In This Vault</t>
  </si>
  <si>
    <t>Subscribe for an iPhone</t>
  </si>
  <si>
    <t>Pop The Balloons, Win $10,000</t>
  </si>
  <si>
    <t>Winner Picks Our Honeymoon</t>
  </si>
  <si>
    <t>Pass the Phone</t>
  </si>
  <si>
    <t>Hit The Button, Win $1,000</t>
  </si>
  <si>
    <t>Would You Steal Money From A Stranger?</t>
  </si>
  <si>
    <t>Can a Window Stop a Wrecking Ball?</t>
  </si>
  <si>
    <t>YouTube CEO Has A Surprise For Me</t>
  </si>
  <si>
    <t>Every Youtube Play Button</t>
  </si>
  <si>
    <t>Try Not To Get Slimed</t>
  </si>
  <si>
    <t>Donâ€™t Eat The Spicy Yoshi Egg</t>
  </si>
  <si>
    <t>Guess What Age Punched You</t>
  </si>
  <si>
    <t>Subscribe, Iâ€™ll Double Your Bank Account</t>
  </si>
  <si>
    <t>Every Step You Take, Win $1,000</t>
  </si>
  <si>
    <t>Guess The Animal</t>
  </si>
  <si>
    <t>Is Being Smart or Strong Better?</t>
  </si>
  <si>
    <t>Can He Make This Shot?</t>
  </si>
  <si>
    <t>World's Fastest Date</t>
  </si>
  <si>
    <t>Guess the Animal</t>
  </si>
  <si>
    <t>Flip a Coin, Win $30,000</t>
  </si>
  <si>
    <t>Will a Zebra Subscribe to me?</t>
  </si>
  <si>
    <t>Who's The Strongest Streamer?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</si>
</sst>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BC60C-58EA-44F9-839B-91627678C7DD}" name="Table1" displayName="Table1" ref="A1:O988" totalsRowShown="0">
  <autoFilter ref="A1:O988" xr:uid="{0B6BC60C-58EA-44F9-839B-91627678C7DD}"/>
  <sortState xmlns:xlrd2="http://schemas.microsoft.com/office/spreadsheetml/2017/richdata2" ref="A2:O988">
    <sortCondition ref="F1:F988"/>
  </sortState>
  <tableColumns count="15">
    <tableColumn id="1" xr3:uid="{0C3AE19F-3638-4BFC-BE0B-68B8B03476E2}" name="Title"/>
    <tableColumn id="2" xr3:uid="{A2E546DE-0FEB-4753-984E-418591761897}" name="Published_Date" dataDxfId="13"/>
    <tableColumn id="3" xr3:uid="{51528371-0477-4155-A390-663EA214B192}" name="Views" dataDxfId="12" dataCellStyle="Comma"/>
    <tableColumn id="4" xr3:uid="{B5639147-07DE-47F3-9326-664E0BED24F7}" name="Likes" dataDxfId="11"/>
    <tableColumn id="5" xr3:uid="{7E2BFBAA-98BD-41AB-9E9F-D62370397036}" name="Comments" dataDxfId="10"/>
    <tableColumn id="9" xr3:uid="{C5D6387E-4367-4668-84E4-09F1840943E4}" name="Year" dataDxfId="9">
      <calculatedColumnFormula>YEAR(B2)</calculatedColumnFormula>
    </tableColumn>
    <tableColumn id="10" xr3:uid="{670FD6E6-9E37-4122-972B-221BC28007DF}" name="Month" dataDxfId="8">
      <calculatedColumnFormula>TEXT(B2,"MMMM")</calculatedColumnFormula>
    </tableColumn>
    <tableColumn id="11" xr3:uid="{571E27EF-DDC5-4EFF-98F1-352FF1BB8889}" name="Day" dataDxfId="7">
      <calculatedColumnFormula>TEXT(B2, "DDDD")</calculatedColumnFormula>
    </tableColumn>
    <tableColumn id="12" xr3:uid="{BF2675C4-3D3E-46DA-9989-65E56B24A144}" name="Engament Rate" dataDxfId="6">
      <calculatedColumnFormula>((D2+E2)/C2)*100</calculatedColumnFormula>
    </tableColumn>
    <tableColumn id="13" xr3:uid="{5B842199-780B-4274-8FF5-AF89FF740C01}" name="Likes per 1000 Views" dataDxfId="5">
      <calculatedColumnFormula>(D2/C2)*1000</calculatedColumnFormula>
    </tableColumn>
    <tableColumn id="14" xr3:uid="{5F97F353-1142-471C-B65C-C40F10D729DD}" name="Comments per 1000  Views" dataDxfId="4">
      <calculatedColumnFormula>(E2/C2)*1000</calculatedColumnFormula>
    </tableColumn>
    <tableColumn id="6" xr3:uid="{4FC9B53C-A8A7-4FB8-A8C7-17483DC009FC}" name="Correlation Analysis Views vs Likes" dataDxfId="3">
      <calculatedColumnFormula>CORREL(C2:C500, D2:D500)</calculatedColumnFormula>
    </tableColumn>
    <tableColumn id="7" xr3:uid="{F818BCC1-AB7E-4530-8045-18AADA55313E}" name="Correlation Views Vs Comments" dataDxfId="2">
      <calculatedColumnFormula>CORREL(C2:C500,E2:E500)</calculatedColumnFormula>
    </tableColumn>
    <tableColumn id="8" xr3:uid="{7B950A32-D7B4-4BF6-82CA-A635212BEBE0}" name="Title Length" dataDxfId="1">
      <calculatedColumnFormula>LEN(A2)</calculatedColumnFormula>
    </tableColumn>
    <tableColumn id="23" xr3:uid="{D22950B6-CAC9-4C5A-BD0E-8779D017284D}" name="Video_Category" dataDxfId="0">
      <calculatedColumnFormula>IF(ISNUMBER(SEARCH("$",A2)), "Money", IF(ISNUMBER(SEARCH("Win",A2)), "Challenge",IF(ISNUMBER(SEARCH("Challenge",A2)), "Challenge",IF(ISNUMBER(SEARCH("Last To Leave",A2)),"Challenge",IF(ISNUMBER(SEARCH("Giving Away", A2)),"Giveaway",IF(ISNUMBER(SEARCH("Stranded",A2)),"Survival", IF(ISNUMBER(SEARCH("Survive",A2)), "Survival", IF(ISNUMBER(SEARCH("Days",A2)),"Endurance","Other"))))))))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29D4-2823-42D3-80D0-E9645FF47DAC}">
  <dimension ref="A1:O988"/>
  <sheetViews>
    <sheetView tabSelected="1" zoomScale="83" workbookViewId="0">
      <selection activeCell="P4" sqref="P4"/>
    </sheetView>
  </sheetViews>
  <sheetFormatPr defaultRowHeight="14.4" x14ac:dyDescent="0.3"/>
  <cols>
    <col min="1" max="1" width="90.21875" bestFit="1" customWidth="1"/>
    <col min="2" max="2" width="16.44140625" bestFit="1" customWidth="1"/>
    <col min="3" max="3" width="13.6640625" bestFit="1" customWidth="1"/>
    <col min="4" max="4" width="11.5546875" bestFit="1" customWidth="1"/>
    <col min="5" max="5" width="12.5546875" bestFit="1" customWidth="1"/>
    <col min="6" max="6" width="7.33203125" bestFit="1" customWidth="1"/>
    <col min="9" max="9" width="16.21875" bestFit="1" customWidth="1"/>
    <col min="10" max="10" width="20.88671875" bestFit="1" customWidth="1"/>
    <col min="11" max="11" width="26.21875" bestFit="1" customWidth="1"/>
    <col min="12" max="12" width="33" bestFit="1" customWidth="1"/>
    <col min="13" max="13" width="30.88671875" bestFit="1" customWidth="1"/>
    <col min="14" max="14" width="13.33203125" bestFit="1" customWidth="1"/>
    <col min="15" max="15" width="1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40959</v>
      </c>
      <c r="C2" s="2">
        <v>35020484</v>
      </c>
      <c r="D2" s="3">
        <v>1429501</v>
      </c>
      <c r="E2" s="3">
        <v>164399</v>
      </c>
      <c r="F2">
        <f>YEAR(B2)</f>
        <v>2012</v>
      </c>
      <c r="G2" t="str">
        <f>TEXT(B2,"MMMM")</f>
        <v>February</v>
      </c>
      <c r="H2" t="str">
        <f>TEXT(B2, "DDDD")</f>
        <v>Monday</v>
      </c>
      <c r="I2">
        <f>((D2+E2)/C2)*100</f>
        <v>4.5513362979220959</v>
      </c>
      <c r="J2">
        <f>(D2/C2)*1000</f>
        <v>40.818996105250861</v>
      </c>
      <c r="K2">
        <f>(E2/C2)*1000</f>
        <v>4.694366873970103</v>
      </c>
      <c r="L2">
        <f>CORREL(C2:C500, D2:D500)</f>
        <v>0.94458832376591506</v>
      </c>
      <c r="M2">
        <f>CORREL(C2:C500,E2:E500)</f>
        <v>0.74352191801088163</v>
      </c>
      <c r="N2">
        <f>LEN(A2)</f>
        <v>32</v>
      </c>
      <c r="O2" t="str">
        <f>IF(ISNUMBER(SEARCH("$",A2)), "Money", IF(ISNUMBER(SEARCH("Win",A2)), "Challenge",IF(ISNUMBER(SEARCH("Challenge",A2)), "Challenge",IF(ISNUMBER(SEARCH("Last To Leave",A2)),"Challenge",IF(ISNUMBER(SEARCH("Giving Away", A2)),"Giveaway",IF(ISNUMBER(SEARCH("Stranded",A2)),"Survival", IF(ISNUMBER(SEARCH("Survive",A2)), "Survival", IF(ISNUMBER(SEARCH("Days",A2)),"Endurance","Other"))))))))</f>
        <v>Other</v>
      </c>
    </row>
    <row r="3" spans="1:15" x14ac:dyDescent="0.3">
      <c r="A3" t="s">
        <v>16</v>
      </c>
      <c r="B3" s="1">
        <v>40977</v>
      </c>
      <c r="C3" s="2">
        <v>6752770</v>
      </c>
      <c r="D3" s="3">
        <v>0</v>
      </c>
      <c r="E3" s="3">
        <v>10522</v>
      </c>
      <c r="F3">
        <f>YEAR(B3)</f>
        <v>2012</v>
      </c>
      <c r="G3" t="str">
        <f>TEXT(B3,"MMMM")</f>
        <v>March</v>
      </c>
      <c r="H3" t="str">
        <f>TEXT(B3, "DDDD")</f>
        <v>Friday</v>
      </c>
      <c r="I3">
        <f>((D3+E3)/C3)*100</f>
        <v>0.15581753858046402</v>
      </c>
      <c r="J3">
        <f>(D3/C3)*1000</f>
        <v>0</v>
      </c>
      <c r="K3">
        <f>(E3/C3)*1000</f>
        <v>1.5581753858046401</v>
      </c>
      <c r="L3">
        <f>CORREL(C3:C501, D3:D501)</f>
        <v>0.94705994725938625</v>
      </c>
      <c r="M3">
        <f>CORREL(C3:C501,E3:E501)</f>
        <v>0.78665598551415605</v>
      </c>
      <c r="N3">
        <f>LEN(A3)</f>
        <v>51</v>
      </c>
      <c r="O3" t="str">
        <f>IF(ISNUMBER(SEARCH("$",A3)), "Money", IF(ISNUMBER(SEARCH("Win",A3)), "Challenge",IF(ISNUMBER(SEARCH("Challenge",A3)), "Challenge",IF(ISNUMBER(SEARCH("Last To Leave",A3)),"Challenge",IF(ISNUMBER(SEARCH("Giving Away", A3)),"Giveaway",IF(ISNUMBER(SEARCH("Stranded",A3)),"Survival", IF(ISNUMBER(SEARCH("Survive",A3)), "Survival", IF(ISNUMBER(SEARCH("Days",A3)),"Endurance","Other"))))))))</f>
        <v>Other</v>
      </c>
    </row>
    <row r="4" spans="1:15" x14ac:dyDescent="0.3">
      <c r="A4" t="s">
        <v>17</v>
      </c>
      <c r="B4" s="1">
        <v>41524</v>
      </c>
      <c r="C4" s="2">
        <v>13394140</v>
      </c>
      <c r="D4" s="3">
        <v>1169635</v>
      </c>
      <c r="E4" s="3">
        <v>71504</v>
      </c>
      <c r="F4">
        <f>YEAR(B4)</f>
        <v>2013</v>
      </c>
      <c r="G4" t="str">
        <f>TEXT(B4,"MMMM")</f>
        <v>September</v>
      </c>
      <c r="H4" t="str">
        <f>TEXT(B4, "DDDD")</f>
        <v>Saturday</v>
      </c>
      <c r="I4">
        <f>((D4+E4)/C4)*100</f>
        <v>9.2662836135802671</v>
      </c>
      <c r="J4">
        <f>(D4/C4)*1000</f>
        <v>87.324382155181297</v>
      </c>
      <c r="K4">
        <f>(E4/C4)*1000</f>
        <v>5.3384539806213764</v>
      </c>
      <c r="L4">
        <f>CORREL(C4:C502, D4:D502)</f>
        <v>0.94892245598919922</v>
      </c>
      <c r="M4">
        <f>CORREL(C4:C502,E4:E502)</f>
        <v>0.79122910665431745</v>
      </c>
      <c r="N4">
        <f>LEN(A4)</f>
        <v>41</v>
      </c>
      <c r="O4" t="str">
        <f>IF(ISNUMBER(SEARCH("$",A4)), "Money", IF(ISNUMBER(SEARCH("Win",A4)), "Challenge",IF(ISNUMBER(SEARCH("Challenge",A4)), "Challenge",IF(ISNUMBER(SEARCH("Last To Leave",A4)),"Challenge",IF(ISNUMBER(SEARCH("Giving Away", A4)),"Giveaway",IF(ISNUMBER(SEARCH("Stranded",A4)),"Survival", IF(ISNUMBER(SEARCH("Survive",A4)), "Survival", IF(ISNUMBER(SEARCH("Days",A4)),"Endurance","Other"))))))))</f>
        <v>Other</v>
      </c>
    </row>
    <row r="5" spans="1:15" x14ac:dyDescent="0.3">
      <c r="A5" t="s">
        <v>18</v>
      </c>
      <c r="B5" s="1">
        <v>41286</v>
      </c>
      <c r="C5" s="2">
        <v>1747531</v>
      </c>
      <c r="D5" s="3">
        <v>60536</v>
      </c>
      <c r="E5" s="3">
        <v>4750</v>
      </c>
      <c r="F5">
        <f>YEAR(B5)</f>
        <v>2013</v>
      </c>
      <c r="G5" t="str">
        <f>TEXT(B5,"MMMM")</f>
        <v>January</v>
      </c>
      <c r="H5" t="str">
        <f>TEXT(B5, "DDDD")</f>
        <v>Saturday</v>
      </c>
      <c r="I5">
        <f>((D5+E5)/C5)*100</f>
        <v>3.7358993917704462</v>
      </c>
      <c r="J5">
        <f>(D5/C5)*1000</f>
        <v>34.640873323563362</v>
      </c>
      <c r="K5">
        <f>(E5/C5)*1000</f>
        <v>2.7181205941411055</v>
      </c>
      <c r="L5">
        <f>CORREL(C5:C503, D5:D503)</f>
        <v>0.95293525874691665</v>
      </c>
      <c r="M5">
        <f>CORREL(C5:C503,E5:E503)</f>
        <v>0.80633230019677549</v>
      </c>
      <c r="N5">
        <f>LEN(A5)</f>
        <v>30</v>
      </c>
      <c r="O5" t="str">
        <f>IF(ISNUMBER(SEARCH("$",A5)), "Money", IF(ISNUMBER(SEARCH("Win",A5)), "Challenge",IF(ISNUMBER(SEARCH("Challenge",A5)), "Challenge",IF(ISNUMBER(SEARCH("Last To Leave",A5)),"Challenge",IF(ISNUMBER(SEARCH("Giving Away", A5)),"Giveaway",IF(ISNUMBER(SEARCH("Stranded",A5)),"Survival", IF(ISNUMBER(SEARCH("Survive",A5)), "Survival", IF(ISNUMBER(SEARCH("Days",A5)),"Endurance","Other"))))))))</f>
        <v>Other</v>
      </c>
    </row>
    <row r="6" spans="1:15" x14ac:dyDescent="0.3">
      <c r="A6" t="s">
        <v>19</v>
      </c>
      <c r="B6" s="1">
        <v>41286</v>
      </c>
      <c r="C6" s="2">
        <v>1491514</v>
      </c>
      <c r="D6" s="3">
        <v>51394</v>
      </c>
      <c r="E6" s="3">
        <v>4237</v>
      </c>
      <c r="F6">
        <f>YEAR(B6)</f>
        <v>2013</v>
      </c>
      <c r="G6" t="str">
        <f>TEXT(B6,"MMMM")</f>
        <v>January</v>
      </c>
      <c r="H6" t="str">
        <f>TEXT(B6, "DDDD")</f>
        <v>Saturday</v>
      </c>
      <c r="I6">
        <f>((D6+E6)/C6)*100</f>
        <v>3.7298342489577703</v>
      </c>
      <c r="J6">
        <f>(D6/C6)*1000</f>
        <v>34.457604823018762</v>
      </c>
      <c r="K6">
        <f>(E6/C6)*1000</f>
        <v>2.8407376665589466</v>
      </c>
      <c r="L6">
        <f>CORREL(C6:C504, D6:D504)</f>
        <v>0.95397571689738692</v>
      </c>
      <c r="M6">
        <f>CORREL(C6:C504,E6:E504)</f>
        <v>0.80938756804555789</v>
      </c>
      <c r="N6">
        <f>LEN(A6)</f>
        <v>25</v>
      </c>
      <c r="O6" t="str">
        <f>IF(ISNUMBER(SEARCH("$",A6)), "Money", IF(ISNUMBER(SEARCH("Win",A6)), "Challenge",IF(ISNUMBER(SEARCH("Challenge",A6)), "Challenge",IF(ISNUMBER(SEARCH("Last To Leave",A6)),"Challenge",IF(ISNUMBER(SEARCH("Giving Away", A6)),"Giveaway",IF(ISNUMBER(SEARCH("Stranded",A6)),"Survival", IF(ISNUMBER(SEARCH("Survive",A6)), "Survival", IF(ISNUMBER(SEARCH("Days",A6)),"Endurance","Other"))))))))</f>
        <v>Other</v>
      </c>
    </row>
    <row r="7" spans="1:15" x14ac:dyDescent="0.3">
      <c r="A7" t="s">
        <v>20</v>
      </c>
      <c r="B7" s="1">
        <v>41287</v>
      </c>
      <c r="C7" s="2">
        <v>1377198</v>
      </c>
      <c r="D7" s="3">
        <v>46596</v>
      </c>
      <c r="E7" s="3">
        <v>4053</v>
      </c>
      <c r="F7">
        <f>YEAR(B7)</f>
        <v>2013</v>
      </c>
      <c r="G7" t="str">
        <f>TEXT(B7,"MMMM")</f>
        <v>January</v>
      </c>
      <c r="H7" t="str">
        <f>TEXT(B7, "DDDD")</f>
        <v>Sunday</v>
      </c>
      <c r="I7">
        <f>((D7+E7)/C7)*100</f>
        <v>3.6776846902188352</v>
      </c>
      <c r="J7">
        <f>(D7/C7)*1000</f>
        <v>33.833914949048719</v>
      </c>
      <c r="K7">
        <f>(E7/C7)*1000</f>
        <v>2.9429319531396354</v>
      </c>
      <c r="L7">
        <f>CORREL(C7:C505, D7:D505)</f>
        <v>0.95473280546000416</v>
      </c>
      <c r="M7">
        <f>CORREL(C7:C505,E7:E505)</f>
        <v>0.8116970803863216</v>
      </c>
      <c r="N7">
        <f>LEN(A7)</f>
        <v>36</v>
      </c>
      <c r="O7" t="str">
        <f>IF(ISNUMBER(SEARCH("$",A7)), "Money", IF(ISNUMBER(SEARCH("Win",A7)), "Challenge",IF(ISNUMBER(SEARCH("Challenge",A7)), "Challenge",IF(ISNUMBER(SEARCH("Last To Leave",A7)),"Challenge",IF(ISNUMBER(SEARCH("Giving Away", A7)),"Giveaway",IF(ISNUMBER(SEARCH("Stranded",A7)),"Survival", IF(ISNUMBER(SEARCH("Survive",A7)), "Survival", IF(ISNUMBER(SEARCH("Days",A7)),"Endurance","Other"))))))))</f>
        <v>Other</v>
      </c>
    </row>
    <row r="8" spans="1:15" x14ac:dyDescent="0.3">
      <c r="A8" t="s">
        <v>21</v>
      </c>
      <c r="B8" s="1">
        <v>41287</v>
      </c>
      <c r="C8" s="2">
        <v>1199681</v>
      </c>
      <c r="D8" s="3">
        <v>39151</v>
      </c>
      <c r="E8" s="3">
        <v>3500</v>
      </c>
      <c r="F8">
        <f>YEAR(B8)</f>
        <v>2013</v>
      </c>
      <c r="G8" t="str">
        <f>TEXT(B8,"MMMM")</f>
        <v>January</v>
      </c>
      <c r="H8" t="str">
        <f>TEXT(B8, "DDDD")</f>
        <v>Sunday</v>
      </c>
      <c r="I8">
        <f>((D8+E8)/C8)*100</f>
        <v>3.5551950893612552</v>
      </c>
      <c r="J8">
        <f>(D8/C8)*1000</f>
        <v>32.634508673555715</v>
      </c>
      <c r="K8">
        <f>(E8/C8)*1000</f>
        <v>2.9174422200568317</v>
      </c>
      <c r="L8">
        <f>CORREL(C8:C506, D8:D506)</f>
        <v>0.95547767854368892</v>
      </c>
      <c r="M8">
        <f>CORREL(C8:C506,E8:E506)</f>
        <v>0.81289263877783535</v>
      </c>
      <c r="N8">
        <f>LEN(A8)</f>
        <v>25</v>
      </c>
      <c r="O8" t="str">
        <f>IF(ISNUMBER(SEARCH("$",A8)), "Money", IF(ISNUMBER(SEARCH("Win",A8)), "Challenge",IF(ISNUMBER(SEARCH("Challenge",A8)), "Challenge",IF(ISNUMBER(SEARCH("Last To Leave",A8)),"Challenge",IF(ISNUMBER(SEARCH("Giving Away", A8)),"Giveaway",IF(ISNUMBER(SEARCH("Stranded",A8)),"Survival", IF(ISNUMBER(SEARCH("Survive",A8)), "Survival", IF(ISNUMBER(SEARCH("Days",A8)),"Endurance","Other"))))))))</f>
        <v>Other</v>
      </c>
    </row>
    <row r="9" spans="1:15" x14ac:dyDescent="0.3">
      <c r="A9" t="s">
        <v>22</v>
      </c>
      <c r="B9" s="1">
        <v>41295</v>
      </c>
      <c r="C9" s="2">
        <v>954129</v>
      </c>
      <c r="D9" s="3">
        <v>34940</v>
      </c>
      <c r="E9" s="3">
        <v>4571</v>
      </c>
      <c r="F9">
        <f>YEAR(B9)</f>
        <v>2013</v>
      </c>
      <c r="G9" t="str">
        <f>TEXT(B9,"MMMM")</f>
        <v>January</v>
      </c>
      <c r="H9" t="str">
        <f>TEXT(B9, "DDDD")</f>
        <v>Monday</v>
      </c>
      <c r="I9">
        <f>((D9+E9)/C9)*100</f>
        <v>4.1410543018816117</v>
      </c>
      <c r="J9">
        <f>(D9/C9)*1000</f>
        <v>36.619786213394626</v>
      </c>
      <c r="K9">
        <f>(E9/C9)*1000</f>
        <v>4.7907568054214895</v>
      </c>
      <c r="L9">
        <f>CORREL(C9:C507, D9:D507)</f>
        <v>0.95558405280916048</v>
      </c>
      <c r="M9">
        <f>CORREL(C9:C507,E9:E507)</f>
        <v>0.81393028731738137</v>
      </c>
      <c r="N9">
        <f>LEN(A9)</f>
        <v>32</v>
      </c>
      <c r="O9" t="str">
        <f>IF(ISNUMBER(SEARCH("$",A9)), "Money", IF(ISNUMBER(SEARCH("Win",A9)), "Challenge",IF(ISNUMBER(SEARCH("Challenge",A9)), "Challenge",IF(ISNUMBER(SEARCH("Last To Leave",A9)),"Challenge",IF(ISNUMBER(SEARCH("Giving Away", A9)),"Giveaway",IF(ISNUMBER(SEARCH("Stranded",A9)),"Survival", IF(ISNUMBER(SEARCH("Survive",A9)), "Survival", IF(ISNUMBER(SEARCH("Days",A9)),"Endurance","Other"))))))))</f>
        <v>Other</v>
      </c>
    </row>
    <row r="10" spans="1:15" x14ac:dyDescent="0.3">
      <c r="A10" t="s">
        <v>23</v>
      </c>
      <c r="B10" s="1">
        <v>41590</v>
      </c>
      <c r="C10" s="2">
        <v>938967</v>
      </c>
      <c r="D10" s="3">
        <v>16121</v>
      </c>
      <c r="E10" s="3">
        <v>1527</v>
      </c>
      <c r="F10">
        <f>YEAR(B10)</f>
        <v>2013</v>
      </c>
      <c r="G10" t="str">
        <f>TEXT(B10,"MMMM")</f>
        <v>November</v>
      </c>
      <c r="H10" t="str">
        <f>TEXT(B10, "DDDD")</f>
        <v>Tuesday</v>
      </c>
      <c r="I10">
        <f>((D10+E10)/C10)*100</f>
        <v>1.8795122725292797</v>
      </c>
      <c r="J10">
        <f>(D10/C10)*1000</f>
        <v>17.168867489485788</v>
      </c>
      <c r="K10">
        <f>(E10/C10)*1000</f>
        <v>1.6262552358070093</v>
      </c>
      <c r="L10">
        <f>CORREL(C10:C508, D10:D508)</f>
        <v>0.95608582156177635</v>
      </c>
      <c r="M10">
        <f>CORREL(C10:C508,E10:E508)</f>
        <v>0.81528755943949061</v>
      </c>
      <c r="N10">
        <f>LEN(A10)</f>
        <v>39</v>
      </c>
      <c r="O10" t="str">
        <f>IF(ISNUMBER(SEARCH("$",A10)), "Money", IF(ISNUMBER(SEARCH("Win",A10)), "Challenge",IF(ISNUMBER(SEARCH("Challenge",A10)), "Challenge",IF(ISNUMBER(SEARCH("Last To Leave",A10)),"Challenge",IF(ISNUMBER(SEARCH("Giving Away", A10)),"Giveaway",IF(ISNUMBER(SEARCH("Stranded",A10)),"Survival", IF(ISNUMBER(SEARCH("Survive",A10)), "Survival", IF(ISNUMBER(SEARCH("Days",A10)),"Endurance","Other"))))))))</f>
        <v>Other</v>
      </c>
    </row>
    <row r="11" spans="1:15" x14ac:dyDescent="0.3">
      <c r="A11" t="s">
        <v>24</v>
      </c>
      <c r="B11" s="1">
        <v>41358</v>
      </c>
      <c r="C11" s="2">
        <v>910996</v>
      </c>
      <c r="D11" s="3">
        <v>0</v>
      </c>
      <c r="E11" s="3">
        <v>1906</v>
      </c>
      <c r="F11">
        <f>YEAR(B11)</f>
        <v>2013</v>
      </c>
      <c r="G11" t="str">
        <f>TEXT(B11,"MMMM")</f>
        <v>March</v>
      </c>
      <c r="H11" t="str">
        <f>TEXT(B11, "DDDD")</f>
        <v>Monday</v>
      </c>
      <c r="I11">
        <f>((D11+E11)/C11)*100</f>
        <v>0.2092215553086951</v>
      </c>
      <c r="J11">
        <f>(D11/C11)*1000</f>
        <v>0</v>
      </c>
      <c r="K11">
        <f>(E11/C11)*1000</f>
        <v>2.0922155530869508</v>
      </c>
      <c r="L11">
        <f>CORREL(C11:C509, D11:D509)</f>
        <v>0.95609312016940107</v>
      </c>
      <c r="M11">
        <f>CORREL(C11:C509,E11:E509)</f>
        <v>0.81728112668556852</v>
      </c>
      <c r="N11">
        <f>LEN(A11)</f>
        <v>28</v>
      </c>
      <c r="O11" t="str">
        <f>IF(ISNUMBER(SEARCH("$",A11)), "Money", IF(ISNUMBER(SEARCH("Win",A11)), "Challenge",IF(ISNUMBER(SEARCH("Challenge",A11)), "Challenge",IF(ISNUMBER(SEARCH("Last To Leave",A11)),"Challenge",IF(ISNUMBER(SEARCH("Giving Away", A11)),"Giveaway",IF(ISNUMBER(SEARCH("Stranded",A11)),"Survival", IF(ISNUMBER(SEARCH("Survive",A11)), "Survival", IF(ISNUMBER(SEARCH("Days",A11)),"Endurance","Other"))))))))</f>
        <v>Other</v>
      </c>
    </row>
    <row r="12" spans="1:15" x14ac:dyDescent="0.3">
      <c r="A12" t="s">
        <v>25</v>
      </c>
      <c r="B12" s="1">
        <v>41301</v>
      </c>
      <c r="C12" s="2">
        <v>757478</v>
      </c>
      <c r="D12" s="3">
        <v>25964</v>
      </c>
      <c r="E12" s="3">
        <v>2759</v>
      </c>
      <c r="F12">
        <f>YEAR(B12)</f>
        <v>2013</v>
      </c>
      <c r="G12" t="str">
        <f>TEXT(B12,"MMMM")</f>
        <v>January</v>
      </c>
      <c r="H12" t="str">
        <f>TEXT(B12, "DDDD")</f>
        <v>Sunday</v>
      </c>
      <c r="I12">
        <f>((D12+E12)/C12)*100</f>
        <v>3.7919253100420076</v>
      </c>
      <c r="J12">
        <f>(D12/C12)*1000</f>
        <v>34.276903091574937</v>
      </c>
      <c r="K12">
        <f>(E12/C12)*1000</f>
        <v>3.6423500088451415</v>
      </c>
      <c r="L12">
        <f>CORREL(C12:C510, D12:D510)</f>
        <v>0.95629186069342598</v>
      </c>
      <c r="M12">
        <f>CORREL(C12:C510,E12:E510)</f>
        <v>0.81795821664502399</v>
      </c>
      <c r="N12">
        <f>LEN(A12)</f>
        <v>38</v>
      </c>
      <c r="O12" t="str">
        <f>IF(ISNUMBER(SEARCH("$",A12)), "Money", IF(ISNUMBER(SEARCH("Win",A12)), "Challenge",IF(ISNUMBER(SEARCH("Challenge",A12)), "Challenge",IF(ISNUMBER(SEARCH("Last To Leave",A12)),"Challenge",IF(ISNUMBER(SEARCH("Giving Away", A12)),"Giveaway",IF(ISNUMBER(SEARCH("Stranded",A12)),"Survival", IF(ISNUMBER(SEARCH("Survive",A12)), "Survival", IF(ISNUMBER(SEARCH("Days",A12)),"Endurance","Other"))))))))</f>
        <v>Other</v>
      </c>
    </row>
    <row r="13" spans="1:15" x14ac:dyDescent="0.3">
      <c r="A13" t="s">
        <v>26</v>
      </c>
      <c r="B13" s="1">
        <v>41463</v>
      </c>
      <c r="C13" s="2">
        <v>747081</v>
      </c>
      <c r="D13" s="3">
        <v>25855</v>
      </c>
      <c r="E13" s="3">
        <v>2698</v>
      </c>
      <c r="F13">
        <f>YEAR(B13)</f>
        <v>2013</v>
      </c>
      <c r="G13" t="str">
        <f>TEXT(B13,"MMMM")</f>
        <v>July</v>
      </c>
      <c r="H13" t="str">
        <f>TEXT(B13, "DDDD")</f>
        <v>Monday</v>
      </c>
      <c r="I13">
        <f>((D13+E13)/C13)*100</f>
        <v>3.8219416636214816</v>
      </c>
      <c r="J13">
        <f>(D13/C13)*1000</f>
        <v>34.608027777443141</v>
      </c>
      <c r="K13">
        <f>(E13/C13)*1000</f>
        <v>3.6113888587716727</v>
      </c>
      <c r="L13">
        <f>CORREL(C13:C511, D13:D511)</f>
        <v>0.95661828164094331</v>
      </c>
      <c r="M13">
        <f>CORREL(C13:C511,E13:E511)</f>
        <v>0.81515740237377965</v>
      </c>
      <c r="N13">
        <f>LEN(A13)</f>
        <v>43</v>
      </c>
      <c r="O13" t="str">
        <f>IF(ISNUMBER(SEARCH("$",A13)), "Money", IF(ISNUMBER(SEARCH("Win",A13)), "Challenge",IF(ISNUMBER(SEARCH("Challenge",A13)), "Challenge",IF(ISNUMBER(SEARCH("Last To Leave",A13)),"Challenge",IF(ISNUMBER(SEARCH("Giving Away", A13)),"Giveaway",IF(ISNUMBER(SEARCH("Stranded",A13)),"Survival", IF(ISNUMBER(SEARCH("Survive",A13)), "Survival", IF(ISNUMBER(SEARCH("Days",A13)),"Endurance","Other"))))))))</f>
        <v>Other</v>
      </c>
    </row>
    <row r="14" spans="1:15" x14ac:dyDescent="0.3">
      <c r="A14" t="s">
        <v>27</v>
      </c>
      <c r="B14" s="1">
        <v>41382</v>
      </c>
      <c r="C14" s="2">
        <v>681463</v>
      </c>
      <c r="D14" s="3">
        <v>21486</v>
      </c>
      <c r="E14" s="3">
        <v>1707</v>
      </c>
      <c r="F14">
        <f>YEAR(B14)</f>
        <v>2013</v>
      </c>
      <c r="G14" t="str">
        <f>TEXT(B14,"MMMM")</f>
        <v>April</v>
      </c>
      <c r="H14" t="str">
        <f>TEXT(B14, "DDDD")</f>
        <v>Thursday</v>
      </c>
      <c r="I14">
        <f>((D14+E14)/C14)*100</f>
        <v>3.4034129512534061</v>
      </c>
      <c r="J14">
        <f>(D14/C14)*1000</f>
        <v>31.529224624080836</v>
      </c>
      <c r="K14">
        <f>(E14/C14)*1000</f>
        <v>2.5049048884532246</v>
      </c>
      <c r="L14">
        <f>CORREL(C14:C512, D14:D512)</f>
        <v>0.95672064558422454</v>
      </c>
      <c r="M14">
        <f>CORREL(C14:C512,E14:E512)</f>
        <v>0.81538163022448384</v>
      </c>
      <c r="N14">
        <f>LEN(A14)</f>
        <v>11</v>
      </c>
      <c r="O14" t="str">
        <f>IF(ISNUMBER(SEARCH("$",A14)), "Money", IF(ISNUMBER(SEARCH("Win",A14)), "Challenge",IF(ISNUMBER(SEARCH("Challenge",A14)), "Challenge",IF(ISNUMBER(SEARCH("Last To Leave",A14)),"Challenge",IF(ISNUMBER(SEARCH("Giving Away", A14)),"Giveaway",IF(ISNUMBER(SEARCH("Stranded",A14)),"Survival", IF(ISNUMBER(SEARCH("Survive",A14)), "Survival", IF(ISNUMBER(SEARCH("Days",A14)),"Endurance","Other"))))))))</f>
        <v>Other</v>
      </c>
    </row>
    <row r="15" spans="1:15" x14ac:dyDescent="0.3">
      <c r="A15" t="s">
        <v>28</v>
      </c>
      <c r="B15" s="1">
        <v>41495</v>
      </c>
      <c r="C15" s="2">
        <v>677714</v>
      </c>
      <c r="D15" s="3">
        <v>19790</v>
      </c>
      <c r="E15" s="3">
        <v>1718</v>
      </c>
      <c r="F15">
        <f>YEAR(B15)</f>
        <v>2013</v>
      </c>
      <c r="G15" t="str">
        <f>TEXT(B15,"MMMM")</f>
        <v>August</v>
      </c>
      <c r="H15" t="str">
        <f>TEXT(B15, "DDDD")</f>
        <v>Friday</v>
      </c>
      <c r="I15">
        <f>((D15+E15)/C15)*100</f>
        <v>3.1736101069182578</v>
      </c>
      <c r="J15">
        <f>(D15/C15)*1000</f>
        <v>29.201108432170503</v>
      </c>
      <c r="K15">
        <f>(E15/C15)*1000</f>
        <v>2.5349926370120732</v>
      </c>
      <c r="L15">
        <f>CORREL(C15:C513, D15:D513)</f>
        <v>0.95701757613384009</v>
      </c>
      <c r="M15">
        <f>CORREL(C15:C513,E15:E513)</f>
        <v>0.81678166027666022</v>
      </c>
      <c r="N15">
        <f>LEN(A15)</f>
        <v>55</v>
      </c>
      <c r="O15" t="str">
        <f>IF(ISNUMBER(SEARCH("$",A15)), "Money", IF(ISNUMBER(SEARCH("Win",A15)), "Challenge",IF(ISNUMBER(SEARCH("Challenge",A15)), "Challenge",IF(ISNUMBER(SEARCH("Last To Leave",A15)),"Challenge",IF(ISNUMBER(SEARCH("Giving Away", A15)),"Giveaway",IF(ISNUMBER(SEARCH("Stranded",A15)),"Survival", IF(ISNUMBER(SEARCH("Survive",A15)), "Survival", IF(ISNUMBER(SEARCH("Days",A15)),"Endurance","Other"))))))))</f>
        <v>Challenge</v>
      </c>
    </row>
    <row r="16" spans="1:15" x14ac:dyDescent="0.3">
      <c r="A16" t="s">
        <v>29</v>
      </c>
      <c r="B16" s="1">
        <v>41385</v>
      </c>
      <c r="C16" s="2">
        <v>674901</v>
      </c>
      <c r="D16" s="3">
        <v>19736</v>
      </c>
      <c r="E16" s="3">
        <v>2113</v>
      </c>
      <c r="F16">
        <f>YEAR(B16)</f>
        <v>2013</v>
      </c>
      <c r="G16" t="str">
        <f>TEXT(B16,"MMMM")</f>
        <v>April</v>
      </c>
      <c r="H16" t="str">
        <f>TEXT(B16, "DDDD")</f>
        <v>Sunday</v>
      </c>
      <c r="I16">
        <f>((D16+E16)/C16)*100</f>
        <v>3.2373637022318831</v>
      </c>
      <c r="J16">
        <f>(D16/C16)*1000</f>
        <v>29.242807463613183</v>
      </c>
      <c r="K16">
        <f>(E16/C16)*1000</f>
        <v>3.1308295587056474</v>
      </c>
      <c r="L16">
        <f>CORREL(C16:C514, D16:D514)</f>
        <v>0.95695675629372334</v>
      </c>
      <c r="M16">
        <f>CORREL(C16:C514,E16:E514)</f>
        <v>0.81619471063511961</v>
      </c>
      <c r="N16">
        <f>LEN(A16)</f>
        <v>35</v>
      </c>
      <c r="O16" t="str">
        <f>IF(ISNUMBER(SEARCH("$",A16)), "Money", IF(ISNUMBER(SEARCH("Win",A16)), "Challenge",IF(ISNUMBER(SEARCH("Challenge",A16)), "Challenge",IF(ISNUMBER(SEARCH("Last To Leave",A16)),"Challenge",IF(ISNUMBER(SEARCH("Giving Away", A16)),"Giveaway",IF(ISNUMBER(SEARCH("Stranded",A16)),"Survival", IF(ISNUMBER(SEARCH("Survive",A16)), "Survival", IF(ISNUMBER(SEARCH("Days",A16)),"Endurance","Other"))))))))</f>
        <v>Other</v>
      </c>
    </row>
    <row r="17" spans="1:15" x14ac:dyDescent="0.3">
      <c r="A17" t="s">
        <v>30</v>
      </c>
      <c r="B17" s="1">
        <v>41300</v>
      </c>
      <c r="C17" s="2">
        <v>648551</v>
      </c>
      <c r="D17" s="3">
        <v>25814</v>
      </c>
      <c r="E17" s="3">
        <v>2463</v>
      </c>
      <c r="F17">
        <f>YEAR(B17)</f>
        <v>2013</v>
      </c>
      <c r="G17" t="str">
        <f>TEXT(B17,"MMMM")</f>
        <v>January</v>
      </c>
      <c r="H17" t="str">
        <f>TEXT(B17, "DDDD")</f>
        <v>Saturday</v>
      </c>
      <c r="I17">
        <f>((D17+E17)/C17)*100</f>
        <v>4.3600271990945965</v>
      </c>
      <c r="J17">
        <f>(D17/C17)*1000</f>
        <v>39.802575279353512</v>
      </c>
      <c r="K17">
        <f>(E17/C17)*1000</f>
        <v>3.797696711592458</v>
      </c>
      <c r="L17">
        <f>CORREL(C17:C515, D17:D515)</f>
        <v>0.95540431229554346</v>
      </c>
      <c r="M17">
        <f>CORREL(C17:C515,E17:E515)</f>
        <v>0.81717671306493178</v>
      </c>
      <c r="N17">
        <f>LEN(A17)</f>
        <v>48</v>
      </c>
      <c r="O17" t="str">
        <f>IF(ISNUMBER(SEARCH("$",A17)), "Money", IF(ISNUMBER(SEARCH("Win",A17)), "Challenge",IF(ISNUMBER(SEARCH("Challenge",A17)), "Challenge",IF(ISNUMBER(SEARCH("Last To Leave",A17)),"Challenge",IF(ISNUMBER(SEARCH("Giving Away", A17)),"Giveaway",IF(ISNUMBER(SEARCH("Stranded",A17)),"Survival", IF(ISNUMBER(SEARCH("Survive",A17)), "Survival", IF(ISNUMBER(SEARCH("Days",A17)),"Endurance","Other"))))))))</f>
        <v>Other</v>
      </c>
    </row>
    <row r="18" spans="1:15" x14ac:dyDescent="0.3">
      <c r="A18" t="s">
        <v>31</v>
      </c>
      <c r="B18" s="1">
        <v>41300</v>
      </c>
      <c r="C18" s="2">
        <v>630111</v>
      </c>
      <c r="D18" s="3">
        <v>0</v>
      </c>
      <c r="E18" s="3">
        <v>2101</v>
      </c>
      <c r="F18">
        <f>YEAR(B18)</f>
        <v>2013</v>
      </c>
      <c r="G18" t="str">
        <f>TEXT(B18,"MMMM")</f>
        <v>January</v>
      </c>
      <c r="H18" t="str">
        <f>TEXT(B18, "DDDD")</f>
        <v>Saturday</v>
      </c>
      <c r="I18">
        <f>((D18+E18)/C18)*100</f>
        <v>0.33343331571738949</v>
      </c>
      <c r="J18">
        <f>(D18/C18)*1000</f>
        <v>0</v>
      </c>
      <c r="K18">
        <f>(E18/C18)*1000</f>
        <v>3.3343331571738948</v>
      </c>
      <c r="L18">
        <f>CORREL(C18:C516, D18:D516)</f>
        <v>0.95547719146873256</v>
      </c>
      <c r="M18">
        <f>CORREL(C18:C516,E18:E516)</f>
        <v>0.81812278448335396</v>
      </c>
      <c r="N18">
        <f>LEN(A18)</f>
        <v>25</v>
      </c>
      <c r="O18" t="str">
        <f>IF(ISNUMBER(SEARCH("$",A18)), "Money", IF(ISNUMBER(SEARCH("Win",A18)), "Challenge",IF(ISNUMBER(SEARCH("Challenge",A18)), "Challenge",IF(ISNUMBER(SEARCH("Last To Leave",A18)),"Challenge",IF(ISNUMBER(SEARCH("Giving Away", A18)),"Giveaway",IF(ISNUMBER(SEARCH("Stranded",A18)),"Survival", IF(ISNUMBER(SEARCH("Survive",A18)), "Survival", IF(ISNUMBER(SEARCH("Days",A18)),"Endurance","Other"))))))))</f>
        <v>Other</v>
      </c>
    </row>
    <row r="19" spans="1:15" x14ac:dyDescent="0.3">
      <c r="A19" t="s">
        <v>32</v>
      </c>
      <c r="B19" s="1">
        <v>41301</v>
      </c>
      <c r="C19" s="2">
        <v>623240</v>
      </c>
      <c r="D19" s="3">
        <v>24226</v>
      </c>
      <c r="E19" s="3">
        <v>2516</v>
      </c>
      <c r="F19">
        <f>YEAR(B19)</f>
        <v>2013</v>
      </c>
      <c r="G19" t="str">
        <f>TEXT(B19,"MMMM")</f>
        <v>January</v>
      </c>
      <c r="H19" t="str">
        <f>TEXT(B19, "DDDD")</f>
        <v>Sunday</v>
      </c>
      <c r="I19">
        <f>((D19+E19)/C19)*100</f>
        <v>4.2908029009691289</v>
      </c>
      <c r="J19">
        <f>(D19/C19)*1000</f>
        <v>38.871060907515563</v>
      </c>
      <c r="K19">
        <f>(E19/C19)*1000</f>
        <v>4.0369681021757273</v>
      </c>
      <c r="L19">
        <f>CORREL(C19:C517, D19:D517)</f>
        <v>0.95552656295926952</v>
      </c>
      <c r="M19">
        <f>CORREL(C19:C517,E19:E517)</f>
        <v>0.81895807888009653</v>
      </c>
      <c r="N19">
        <f>LEN(A19)</f>
        <v>33</v>
      </c>
      <c r="O19" t="str">
        <f>IF(ISNUMBER(SEARCH("$",A19)), "Money", IF(ISNUMBER(SEARCH("Win",A19)), "Challenge",IF(ISNUMBER(SEARCH("Challenge",A19)), "Challenge",IF(ISNUMBER(SEARCH("Last To Leave",A19)),"Challenge",IF(ISNUMBER(SEARCH("Giving Away", A19)),"Giveaway",IF(ISNUMBER(SEARCH("Stranded",A19)),"Survival", IF(ISNUMBER(SEARCH("Survive",A19)), "Survival", IF(ISNUMBER(SEARCH("Days",A19)),"Endurance","Other"))))))))</f>
        <v>Other</v>
      </c>
    </row>
    <row r="20" spans="1:15" x14ac:dyDescent="0.3">
      <c r="A20" t="s">
        <v>33</v>
      </c>
      <c r="B20" s="1">
        <v>41297</v>
      </c>
      <c r="C20" s="2">
        <v>612112</v>
      </c>
      <c r="D20" s="3">
        <v>26546</v>
      </c>
      <c r="E20" s="3">
        <v>2539</v>
      </c>
      <c r="F20">
        <f>YEAR(B20)</f>
        <v>2013</v>
      </c>
      <c r="G20" t="str">
        <f>TEXT(B20,"MMMM")</f>
        <v>January</v>
      </c>
      <c r="H20" t="str">
        <f>TEXT(B20, "DDDD")</f>
        <v>Wednesday</v>
      </c>
      <c r="I20">
        <f>((D20+E20)/C20)*100</f>
        <v>4.7515814099380504</v>
      </c>
      <c r="J20">
        <f>(D20/C20)*1000</f>
        <v>43.367880387902865</v>
      </c>
      <c r="K20">
        <f>(E20/C20)*1000</f>
        <v>4.1479337114776387</v>
      </c>
      <c r="L20">
        <f>CORREL(C20:C518, D20:D518)</f>
        <v>0.95565623204517092</v>
      </c>
      <c r="M20">
        <f>CORREL(C20:C518,E20:E518)</f>
        <v>0.81838155954055603</v>
      </c>
      <c r="N20">
        <f>LEN(A20)</f>
        <v>29</v>
      </c>
      <c r="O20" t="str">
        <f>IF(ISNUMBER(SEARCH("$",A20)), "Money", IF(ISNUMBER(SEARCH("Win",A20)), "Challenge",IF(ISNUMBER(SEARCH("Challenge",A20)), "Challenge",IF(ISNUMBER(SEARCH("Last To Leave",A20)),"Challenge",IF(ISNUMBER(SEARCH("Giving Away", A20)),"Giveaway",IF(ISNUMBER(SEARCH("Stranded",A20)),"Survival", IF(ISNUMBER(SEARCH("Survive",A20)), "Survival", IF(ISNUMBER(SEARCH("Days",A20)),"Endurance","Other"))))))))</f>
        <v>Other</v>
      </c>
    </row>
    <row r="21" spans="1:15" x14ac:dyDescent="0.3">
      <c r="A21" t="s">
        <v>34</v>
      </c>
      <c r="B21" s="1">
        <v>41595</v>
      </c>
      <c r="C21" s="2">
        <v>509101</v>
      </c>
      <c r="D21" s="3">
        <v>7940</v>
      </c>
      <c r="E21" s="3">
        <v>821</v>
      </c>
      <c r="F21">
        <f>YEAR(B21)</f>
        <v>2013</v>
      </c>
      <c r="G21" t="str">
        <f>TEXT(B21,"MMMM")</f>
        <v>November</v>
      </c>
      <c r="H21" t="str">
        <f>TEXT(B21, "DDDD")</f>
        <v>Sunday</v>
      </c>
      <c r="I21">
        <f>((D21+E21)/C21)*100</f>
        <v>1.7208766040530268</v>
      </c>
      <c r="J21">
        <f>(D21/C21)*1000</f>
        <v>15.596119434061217</v>
      </c>
      <c r="K21">
        <f>(E21/C21)*1000</f>
        <v>1.6126466064690503</v>
      </c>
      <c r="L21">
        <f>CORREL(C21:C519, D21:D519)</f>
        <v>0.95583822848622535</v>
      </c>
      <c r="M21">
        <f>CORREL(C21:C519,E21:E519)</f>
        <v>0.81897576951612683</v>
      </c>
      <c r="N21">
        <f>LEN(A21)</f>
        <v>42</v>
      </c>
      <c r="O21" t="str">
        <f>IF(ISNUMBER(SEARCH("$",A21)), "Money", IF(ISNUMBER(SEARCH("Win",A21)), "Challenge",IF(ISNUMBER(SEARCH("Challenge",A21)), "Challenge",IF(ISNUMBER(SEARCH("Last To Leave",A21)),"Challenge",IF(ISNUMBER(SEARCH("Giving Away", A21)),"Giveaway",IF(ISNUMBER(SEARCH("Stranded",A21)),"Survival", IF(ISNUMBER(SEARCH("Survive",A21)), "Survival", IF(ISNUMBER(SEARCH("Days",A21)),"Endurance","Other"))))))))</f>
        <v>Other</v>
      </c>
    </row>
    <row r="22" spans="1:15" x14ac:dyDescent="0.3">
      <c r="A22" t="s">
        <v>35</v>
      </c>
      <c r="B22" s="1">
        <v>41343</v>
      </c>
      <c r="C22" s="2">
        <v>488623</v>
      </c>
      <c r="D22" s="3">
        <v>18701</v>
      </c>
      <c r="E22" s="3">
        <v>2001</v>
      </c>
      <c r="F22">
        <f>YEAR(B22)</f>
        <v>2013</v>
      </c>
      <c r="G22" t="str">
        <f>TEXT(B22,"MMMM")</f>
        <v>March</v>
      </c>
      <c r="H22" t="str">
        <f>TEXT(B22, "DDDD")</f>
        <v>Sunday</v>
      </c>
      <c r="I22">
        <f>((D22+E22)/C22)*100</f>
        <v>4.2368042437625739</v>
      </c>
      <c r="J22">
        <f>(D22/C22)*1000</f>
        <v>38.272860671724416</v>
      </c>
      <c r="K22">
        <f>(E22/C22)*1000</f>
        <v>4.0951817659013185</v>
      </c>
      <c r="L22">
        <f>CORREL(C22:C520, D22:D520)</f>
        <v>0.95601559123441016</v>
      </c>
      <c r="M22">
        <f>CORREL(C22:C520,E22:E520)</f>
        <v>0.81957089839795094</v>
      </c>
      <c r="N22">
        <f>LEN(A22)</f>
        <v>45</v>
      </c>
      <c r="O22" t="str">
        <f>IF(ISNUMBER(SEARCH("$",A22)), "Money", IF(ISNUMBER(SEARCH("Win",A22)), "Challenge",IF(ISNUMBER(SEARCH("Challenge",A22)), "Challenge",IF(ISNUMBER(SEARCH("Last To Leave",A22)),"Challenge",IF(ISNUMBER(SEARCH("Giving Away", A22)),"Giveaway",IF(ISNUMBER(SEARCH("Stranded",A22)),"Survival", IF(ISNUMBER(SEARCH("Survive",A22)), "Survival", IF(ISNUMBER(SEARCH("Days",A22)),"Endurance","Other"))))))))</f>
        <v>Other</v>
      </c>
    </row>
    <row r="23" spans="1:15" x14ac:dyDescent="0.3">
      <c r="A23" t="s">
        <v>36</v>
      </c>
      <c r="B23" s="1">
        <v>41385</v>
      </c>
      <c r="C23" s="2">
        <v>478832</v>
      </c>
      <c r="D23" s="3">
        <v>15098</v>
      </c>
      <c r="E23" s="3">
        <v>1348</v>
      </c>
      <c r="F23">
        <f>YEAR(B23)</f>
        <v>2013</v>
      </c>
      <c r="G23" t="str">
        <f>TEXT(B23,"MMMM")</f>
        <v>April</v>
      </c>
      <c r="H23" t="str">
        <f>TEXT(B23, "DDDD")</f>
        <v>Sunday</v>
      </c>
      <c r="I23">
        <f>((D23+E23)/C23)*100</f>
        <v>3.4346075450262301</v>
      </c>
      <c r="J23">
        <f>(D23/C23)*1000</f>
        <v>31.530891836802891</v>
      </c>
      <c r="K23">
        <f>(E23/C23)*1000</f>
        <v>2.8151836134594181</v>
      </c>
      <c r="L23">
        <f>CORREL(C23:C521, D23:D521)</f>
        <v>0.95608937518051462</v>
      </c>
      <c r="M23">
        <f>CORREL(C23:C521,E23:E521)</f>
        <v>0.81904360774341811</v>
      </c>
      <c r="N23">
        <f>LEN(A23)</f>
        <v>28</v>
      </c>
      <c r="O23" t="str">
        <f>IF(ISNUMBER(SEARCH("$",A23)), "Money", IF(ISNUMBER(SEARCH("Win",A23)), "Challenge",IF(ISNUMBER(SEARCH("Challenge",A23)), "Challenge",IF(ISNUMBER(SEARCH("Last To Leave",A23)),"Challenge",IF(ISNUMBER(SEARCH("Giving Away", A23)),"Giveaway",IF(ISNUMBER(SEARCH("Stranded",A23)),"Survival", IF(ISNUMBER(SEARCH("Survive",A23)), "Survival", IF(ISNUMBER(SEARCH("Days",A23)),"Endurance","Other"))))))))</f>
        <v>Other</v>
      </c>
    </row>
    <row r="24" spans="1:15" x14ac:dyDescent="0.3">
      <c r="A24" t="s">
        <v>37</v>
      </c>
      <c r="B24" s="1">
        <v>41301</v>
      </c>
      <c r="C24" s="2">
        <v>450212</v>
      </c>
      <c r="D24" s="3">
        <v>20488</v>
      </c>
      <c r="E24" s="3">
        <v>2463</v>
      </c>
      <c r="F24">
        <f>YEAR(B24)</f>
        <v>2013</v>
      </c>
      <c r="G24" t="str">
        <f>TEXT(B24,"MMMM")</f>
        <v>January</v>
      </c>
      <c r="H24" t="str">
        <f>TEXT(B24, "DDDD")</f>
        <v>Sunday</v>
      </c>
      <c r="I24">
        <f>((D24+E24)/C24)*100</f>
        <v>5.0978205823034477</v>
      </c>
      <c r="J24">
        <f>(D24/C24)*1000</f>
        <v>45.507449823638645</v>
      </c>
      <c r="K24">
        <f>(E24/C24)*1000</f>
        <v>5.4707559993958403</v>
      </c>
      <c r="L24">
        <f>CORREL(C24:C522, D24:D522)</f>
        <v>0.95606703464331344</v>
      </c>
      <c r="M24">
        <f>CORREL(C24:C522,E24:E522)</f>
        <v>0.81868144660894748</v>
      </c>
      <c r="N24">
        <f>LEN(A24)</f>
        <v>27</v>
      </c>
      <c r="O24" t="str">
        <f>IF(ISNUMBER(SEARCH("$",A24)), "Money", IF(ISNUMBER(SEARCH("Win",A24)), "Challenge",IF(ISNUMBER(SEARCH("Challenge",A24)), "Challenge",IF(ISNUMBER(SEARCH("Last To Leave",A24)),"Challenge",IF(ISNUMBER(SEARCH("Giving Away", A24)),"Giveaway",IF(ISNUMBER(SEARCH("Stranded",A24)),"Survival", IF(ISNUMBER(SEARCH("Survive",A24)), "Survival", IF(ISNUMBER(SEARCH("Days",A24)),"Endurance","Other"))))))))</f>
        <v>Other</v>
      </c>
    </row>
    <row r="25" spans="1:15" x14ac:dyDescent="0.3">
      <c r="A25" t="s">
        <v>38</v>
      </c>
      <c r="B25" s="1">
        <v>41375</v>
      </c>
      <c r="C25" s="2">
        <v>419980</v>
      </c>
      <c r="D25" s="3">
        <v>12054</v>
      </c>
      <c r="E25" s="3">
        <v>1164</v>
      </c>
      <c r="F25">
        <f>YEAR(B25)</f>
        <v>2013</v>
      </c>
      <c r="G25" t="str">
        <f>TEXT(B25,"MMMM")</f>
        <v>April</v>
      </c>
      <c r="H25" t="str">
        <f>TEXT(B25, "DDDD")</f>
        <v>Thursday</v>
      </c>
      <c r="I25">
        <f>((D25+E25)/C25)*100</f>
        <v>3.1472927282251533</v>
      </c>
      <c r="J25">
        <f>(D25/C25)*1000</f>
        <v>28.701366731749133</v>
      </c>
      <c r="K25">
        <f>(E25/C25)*1000</f>
        <v>2.7715605505024046</v>
      </c>
      <c r="L25">
        <f>CORREL(C25:C523, D25:D523)</f>
        <v>0.95614519020705768</v>
      </c>
      <c r="M25">
        <f>CORREL(C25:C523,E25:E523)</f>
        <v>0.81897544593943117</v>
      </c>
      <c r="N25">
        <f>LEN(A25)</f>
        <v>40</v>
      </c>
      <c r="O25" t="str">
        <f>IF(ISNUMBER(SEARCH("$",A25)), "Money", IF(ISNUMBER(SEARCH("Win",A25)), "Challenge",IF(ISNUMBER(SEARCH("Challenge",A25)), "Challenge",IF(ISNUMBER(SEARCH("Last To Leave",A25)),"Challenge",IF(ISNUMBER(SEARCH("Giving Away", A25)),"Giveaway",IF(ISNUMBER(SEARCH("Stranded",A25)),"Survival", IF(ISNUMBER(SEARCH("Survive",A25)), "Survival", IF(ISNUMBER(SEARCH("Days",A25)),"Endurance","Other"))))))))</f>
        <v>Other</v>
      </c>
    </row>
    <row r="26" spans="1:15" x14ac:dyDescent="0.3">
      <c r="A26" t="s">
        <v>39</v>
      </c>
      <c r="B26" s="1">
        <v>41458</v>
      </c>
      <c r="C26" s="2">
        <v>393545</v>
      </c>
      <c r="D26" s="3">
        <v>12624</v>
      </c>
      <c r="E26" s="3">
        <v>947</v>
      </c>
      <c r="F26">
        <f>YEAR(B26)</f>
        <v>2013</v>
      </c>
      <c r="G26" t="str">
        <f>TEXT(B26,"MMMM")</f>
        <v>July</v>
      </c>
      <c r="H26" t="str">
        <f>TEXT(B26, "DDDD")</f>
        <v>Wednesday</v>
      </c>
      <c r="I26">
        <f>((D26+E26)/C26)*100</f>
        <v>3.4483985312988352</v>
      </c>
      <c r="J26">
        <f>(D26/C26)*1000</f>
        <v>32.077653127342487</v>
      </c>
      <c r="K26">
        <f>(E26/C26)*1000</f>
        <v>2.4063321856458599</v>
      </c>
      <c r="L26">
        <f>CORREL(C26:C524, D26:D524)</f>
        <v>0.95609153175191042</v>
      </c>
      <c r="M26">
        <f>CORREL(C26:C524,E26:E524)</f>
        <v>0.81953077169256128</v>
      </c>
      <c r="N26">
        <f>LEN(A26)</f>
        <v>44</v>
      </c>
      <c r="O26" t="str">
        <f>IF(ISNUMBER(SEARCH("$",A26)), "Money", IF(ISNUMBER(SEARCH("Win",A26)), "Challenge",IF(ISNUMBER(SEARCH("Challenge",A26)), "Challenge",IF(ISNUMBER(SEARCH("Last To Leave",A26)),"Challenge",IF(ISNUMBER(SEARCH("Giving Away", A26)),"Giveaway",IF(ISNUMBER(SEARCH("Stranded",A26)),"Survival", IF(ISNUMBER(SEARCH("Survive",A26)), "Survival", IF(ISNUMBER(SEARCH("Days",A26)),"Endurance","Other"))))))))</f>
        <v>Other</v>
      </c>
    </row>
    <row r="27" spans="1:15" x14ac:dyDescent="0.3">
      <c r="A27" t="s">
        <v>40</v>
      </c>
      <c r="B27" s="1">
        <v>41500</v>
      </c>
      <c r="C27" s="2">
        <v>374868</v>
      </c>
      <c r="D27" s="3">
        <v>18243</v>
      </c>
      <c r="E27" s="3">
        <v>1500</v>
      </c>
      <c r="F27">
        <f>YEAR(B27)</f>
        <v>2013</v>
      </c>
      <c r="G27" t="str">
        <f>TEXT(B27,"MMMM")</f>
        <v>August</v>
      </c>
      <c r="H27" t="str">
        <f>TEXT(B27, "DDDD")</f>
        <v>Wednesday</v>
      </c>
      <c r="I27">
        <f>((D27+E27)/C27)*100</f>
        <v>5.2666538621594805</v>
      </c>
      <c r="J27">
        <f>(D27/C27)*1000</f>
        <v>48.665130125804282</v>
      </c>
      <c r="K27">
        <f>(E27/C27)*1000</f>
        <v>4.0014084957905185</v>
      </c>
      <c r="L27">
        <f>CORREL(C27:C525, D27:D525)</f>
        <v>0.95548111547189074</v>
      </c>
      <c r="M27">
        <f>CORREL(C27:C525,E27:E525)</f>
        <v>0.81130064428407078</v>
      </c>
      <c r="N27">
        <f>LEN(A27)</f>
        <v>43</v>
      </c>
      <c r="O27" t="str">
        <f>IF(ISNUMBER(SEARCH("$",A27)), "Money", IF(ISNUMBER(SEARCH("Win",A27)), "Challenge",IF(ISNUMBER(SEARCH("Challenge",A27)), "Challenge",IF(ISNUMBER(SEARCH("Last To Leave",A27)),"Challenge",IF(ISNUMBER(SEARCH("Giving Away", A27)),"Giveaway",IF(ISNUMBER(SEARCH("Stranded",A27)),"Survival", IF(ISNUMBER(SEARCH("Survive",A27)), "Survival", IF(ISNUMBER(SEARCH("Days",A27)),"Endurance","Other"))))))))</f>
        <v>Other</v>
      </c>
    </row>
    <row r="28" spans="1:15" x14ac:dyDescent="0.3">
      <c r="A28" t="s">
        <v>41</v>
      </c>
      <c r="B28" s="1">
        <v>41359</v>
      </c>
      <c r="C28" s="2">
        <v>339940</v>
      </c>
      <c r="D28" s="3">
        <v>0</v>
      </c>
      <c r="E28" s="3">
        <v>1320</v>
      </c>
      <c r="F28">
        <f>YEAR(B28)</f>
        <v>2013</v>
      </c>
      <c r="G28" t="str">
        <f>TEXT(B28,"MMMM")</f>
        <v>March</v>
      </c>
      <c r="H28" t="str">
        <f>TEXT(B28, "DDDD")</f>
        <v>Tuesday</v>
      </c>
      <c r="I28">
        <f>((D28+E28)/C28)*100</f>
        <v>0.38830381832088018</v>
      </c>
      <c r="J28">
        <f>(D28/C28)*1000</f>
        <v>0</v>
      </c>
      <c r="K28">
        <f>(E28/C28)*1000</f>
        <v>3.8830381832088015</v>
      </c>
      <c r="L28">
        <f>CORREL(C28:C526, D28:D526)</f>
        <v>0.95538341778008062</v>
      </c>
      <c r="M28">
        <f>CORREL(C28:C526,E28:E526)</f>
        <v>0.81181290099436787</v>
      </c>
      <c r="N28">
        <f>LEN(A28)</f>
        <v>59</v>
      </c>
      <c r="O28" t="str">
        <f>IF(ISNUMBER(SEARCH("$",A28)), "Money", IF(ISNUMBER(SEARCH("Win",A28)), "Challenge",IF(ISNUMBER(SEARCH("Challenge",A28)), "Challenge",IF(ISNUMBER(SEARCH("Last To Leave",A28)),"Challenge",IF(ISNUMBER(SEARCH("Giving Away", A28)),"Giveaway",IF(ISNUMBER(SEARCH("Stranded",A28)),"Survival", IF(ISNUMBER(SEARCH("Survive",A28)), "Survival", IF(ISNUMBER(SEARCH("Days",A28)),"Endurance","Other"))))))))</f>
        <v>Other</v>
      </c>
    </row>
    <row r="29" spans="1:15" x14ac:dyDescent="0.3">
      <c r="A29" t="s">
        <v>42</v>
      </c>
      <c r="B29" s="1">
        <v>41461</v>
      </c>
      <c r="C29" s="2">
        <v>302945</v>
      </c>
      <c r="D29" s="3">
        <v>10515</v>
      </c>
      <c r="E29" s="3">
        <v>942</v>
      </c>
      <c r="F29">
        <f>YEAR(B29)</f>
        <v>2013</v>
      </c>
      <c r="G29" t="str">
        <f>TEXT(B29,"MMMM")</f>
        <v>July</v>
      </c>
      <c r="H29" t="str">
        <f>TEXT(B29, "DDDD")</f>
        <v>Saturday</v>
      </c>
      <c r="I29">
        <f>((D29+E29)/C29)*100</f>
        <v>3.781874597699252</v>
      </c>
      <c r="J29">
        <f>(D29/C29)*1000</f>
        <v>34.709270659690702</v>
      </c>
      <c r="K29">
        <f>(E29/C29)*1000</f>
        <v>3.1094753173018206</v>
      </c>
      <c r="L29">
        <f>CORREL(C29:C527, D29:D527)</f>
        <v>0.95536143741887547</v>
      </c>
      <c r="M29">
        <f>CORREL(C29:C527,E29:E527)</f>
        <v>0.81157228924674074</v>
      </c>
      <c r="N29">
        <f>LEN(A29)</f>
        <v>19</v>
      </c>
      <c r="O29" t="str">
        <f>IF(ISNUMBER(SEARCH("$",A29)), "Money", IF(ISNUMBER(SEARCH("Win",A29)), "Challenge",IF(ISNUMBER(SEARCH("Challenge",A29)), "Challenge",IF(ISNUMBER(SEARCH("Last To Leave",A29)),"Challenge",IF(ISNUMBER(SEARCH("Giving Away", A29)),"Giveaway",IF(ISNUMBER(SEARCH("Stranded",A29)),"Survival", IF(ISNUMBER(SEARCH("Survive",A29)), "Survival", IF(ISNUMBER(SEARCH("Days",A29)),"Endurance","Other"))))))))</f>
        <v>Other</v>
      </c>
    </row>
    <row r="30" spans="1:15" x14ac:dyDescent="0.3">
      <c r="A30" t="s">
        <v>43</v>
      </c>
      <c r="B30" s="1">
        <v>41525</v>
      </c>
      <c r="C30" s="2">
        <v>298889</v>
      </c>
      <c r="D30" s="3">
        <v>9456</v>
      </c>
      <c r="E30" s="3">
        <v>847</v>
      </c>
      <c r="F30">
        <f>YEAR(B30)</f>
        <v>2013</v>
      </c>
      <c r="G30" t="str">
        <f>TEXT(B30,"MMMM")</f>
        <v>September</v>
      </c>
      <c r="H30" t="str">
        <f>TEXT(B30, "DDDD")</f>
        <v>Sunday</v>
      </c>
      <c r="I30">
        <f>((D30+E30)/C30)*100</f>
        <v>3.4470990902977361</v>
      </c>
      <c r="J30">
        <f>(D30/C30)*1000</f>
        <v>31.637162960162467</v>
      </c>
      <c r="K30">
        <f>(E30/C30)*1000</f>
        <v>2.8338279428148909</v>
      </c>
      <c r="L30">
        <f>CORREL(C30:C528, D30:D528)</f>
        <v>0.95528531191717159</v>
      </c>
      <c r="M30">
        <f>CORREL(C30:C528,E30:E528)</f>
        <v>0.81139962907871954</v>
      </c>
      <c r="N30">
        <f>LEN(A30)</f>
        <v>30</v>
      </c>
      <c r="O30" t="str">
        <f>IF(ISNUMBER(SEARCH("$",A30)), "Money", IF(ISNUMBER(SEARCH("Win",A30)), "Challenge",IF(ISNUMBER(SEARCH("Challenge",A30)), "Challenge",IF(ISNUMBER(SEARCH("Last To Leave",A30)),"Challenge",IF(ISNUMBER(SEARCH("Giving Away", A30)),"Giveaway",IF(ISNUMBER(SEARCH("Stranded",A30)),"Survival", IF(ISNUMBER(SEARCH("Survive",A30)), "Survival", IF(ISNUMBER(SEARCH("Days",A30)),"Endurance","Other"))))))))</f>
        <v>Other</v>
      </c>
    </row>
    <row r="31" spans="1:15" x14ac:dyDescent="0.3">
      <c r="A31" t="s">
        <v>44</v>
      </c>
      <c r="B31" s="1">
        <v>41361</v>
      </c>
      <c r="C31" s="2">
        <v>280160</v>
      </c>
      <c r="D31" s="3">
        <v>0</v>
      </c>
      <c r="E31" s="3">
        <v>1159</v>
      </c>
      <c r="F31">
        <f>YEAR(B31)</f>
        <v>2013</v>
      </c>
      <c r="G31" t="str">
        <f>TEXT(B31,"MMMM")</f>
        <v>March</v>
      </c>
      <c r="H31" t="str">
        <f>TEXT(B31, "DDDD")</f>
        <v>Thursday</v>
      </c>
      <c r="I31">
        <f>((D31+E31)/C31)*100</f>
        <v>0.41369217589948598</v>
      </c>
      <c r="J31">
        <f>(D31/C31)*1000</f>
        <v>0</v>
      </c>
      <c r="K31">
        <f>(E31/C31)*1000</f>
        <v>4.1369217589948599</v>
      </c>
      <c r="L31">
        <f>CORREL(C31:C529, D31:D529)</f>
        <v>0.95536477645033857</v>
      </c>
      <c r="M31">
        <f>CORREL(C31:C529,E31:E529)</f>
        <v>0.81180485633617583</v>
      </c>
      <c r="N31">
        <f>LEN(A31)</f>
        <v>43</v>
      </c>
      <c r="O31" t="str">
        <f>IF(ISNUMBER(SEARCH("$",A31)), "Money", IF(ISNUMBER(SEARCH("Win",A31)), "Challenge",IF(ISNUMBER(SEARCH("Challenge",A31)), "Challenge",IF(ISNUMBER(SEARCH("Last To Leave",A31)),"Challenge",IF(ISNUMBER(SEARCH("Giving Away", A31)),"Giveaway",IF(ISNUMBER(SEARCH("Stranded",A31)),"Survival", IF(ISNUMBER(SEARCH("Survive",A31)), "Survival", IF(ISNUMBER(SEARCH("Days",A31)),"Endurance","Other"))))))))</f>
        <v>Other</v>
      </c>
    </row>
    <row r="32" spans="1:15" x14ac:dyDescent="0.3">
      <c r="A32" t="s">
        <v>45</v>
      </c>
      <c r="B32" s="1">
        <v>41461</v>
      </c>
      <c r="C32" s="2">
        <v>279823</v>
      </c>
      <c r="D32" s="3">
        <v>7025</v>
      </c>
      <c r="E32" s="3">
        <v>852</v>
      </c>
      <c r="F32">
        <f>YEAR(B32)</f>
        <v>2013</v>
      </c>
      <c r="G32" t="str">
        <f>TEXT(B32,"MMMM")</f>
        <v>July</v>
      </c>
      <c r="H32" t="str">
        <f>TEXT(B32, "DDDD")</f>
        <v>Saturday</v>
      </c>
      <c r="I32">
        <f>((D32+E32)/C32)*100</f>
        <v>2.8149937639150462</v>
      </c>
      <c r="J32">
        <f>(D32/C32)*1000</f>
        <v>25.105155759176338</v>
      </c>
      <c r="K32">
        <f>(E32/C32)*1000</f>
        <v>3.0447818799741264</v>
      </c>
      <c r="L32">
        <f>CORREL(C32:C530, D32:D530)</f>
        <v>0.95545843055843904</v>
      </c>
      <c r="M32">
        <f>CORREL(C32:C530,E32:E530)</f>
        <v>0.81226669940883933</v>
      </c>
      <c r="N32">
        <f>LEN(A32)</f>
        <v>60</v>
      </c>
      <c r="O32" t="str">
        <f>IF(ISNUMBER(SEARCH("$",A32)), "Money", IF(ISNUMBER(SEARCH("Win",A32)), "Challenge",IF(ISNUMBER(SEARCH("Challenge",A32)), "Challenge",IF(ISNUMBER(SEARCH("Last To Leave",A32)),"Challenge",IF(ISNUMBER(SEARCH("Giving Away", A32)),"Giveaway",IF(ISNUMBER(SEARCH("Stranded",A32)),"Survival", IF(ISNUMBER(SEARCH("Survive",A32)), "Survival", IF(ISNUMBER(SEARCH("Days",A32)),"Endurance","Other"))))))))</f>
        <v>Other</v>
      </c>
    </row>
    <row r="33" spans="1:15" x14ac:dyDescent="0.3">
      <c r="A33" t="s">
        <v>46</v>
      </c>
      <c r="B33" s="1">
        <v>41440</v>
      </c>
      <c r="C33" s="2">
        <v>279413</v>
      </c>
      <c r="D33" s="3">
        <v>9639</v>
      </c>
      <c r="E33" s="3">
        <v>962</v>
      </c>
      <c r="F33">
        <f>YEAR(B33)</f>
        <v>2013</v>
      </c>
      <c r="G33" t="str">
        <f>TEXT(B33,"MMMM")</f>
        <v>June</v>
      </c>
      <c r="H33" t="str">
        <f>TEXT(B33, "DDDD")</f>
        <v>Saturday</v>
      </c>
      <c r="I33">
        <f>((D33+E33)/C33)*100</f>
        <v>3.7940253316774806</v>
      </c>
      <c r="J33">
        <f>(D33/C33)*1000</f>
        <v>34.497321169737987</v>
      </c>
      <c r="K33">
        <f>(E33/C33)*1000</f>
        <v>3.4429321470368239</v>
      </c>
      <c r="L33">
        <f>CORREL(C33:C531, D33:D531)</f>
        <v>0.95545082136317527</v>
      </c>
      <c r="M33">
        <f>CORREL(C33:C531,E33:E531)</f>
        <v>0.81271037466930729</v>
      </c>
      <c r="N33">
        <f>LEN(A33)</f>
        <v>50</v>
      </c>
      <c r="O33" t="str">
        <f>IF(ISNUMBER(SEARCH("$",A33)), "Money", IF(ISNUMBER(SEARCH("Win",A33)), "Challenge",IF(ISNUMBER(SEARCH("Challenge",A33)), "Challenge",IF(ISNUMBER(SEARCH("Last To Leave",A33)),"Challenge",IF(ISNUMBER(SEARCH("Giving Away", A33)),"Giveaway",IF(ISNUMBER(SEARCH("Stranded",A33)),"Survival", IF(ISNUMBER(SEARCH("Survive",A33)), "Survival", IF(ISNUMBER(SEARCH("Days",A33)),"Endurance","Other"))))))))</f>
        <v>Other</v>
      </c>
    </row>
    <row r="34" spans="1:15" x14ac:dyDescent="0.3">
      <c r="A34" t="s">
        <v>47</v>
      </c>
      <c r="B34" s="1">
        <v>41485</v>
      </c>
      <c r="C34" s="2">
        <v>271369</v>
      </c>
      <c r="D34" s="3">
        <v>7140</v>
      </c>
      <c r="E34" s="3">
        <v>720</v>
      </c>
      <c r="F34">
        <f>YEAR(B34)</f>
        <v>2013</v>
      </c>
      <c r="G34" t="str">
        <f>TEXT(B34,"MMMM")</f>
        <v>July</v>
      </c>
      <c r="H34" t="str">
        <f>TEXT(B34, "DDDD")</f>
        <v>Tuesday</v>
      </c>
      <c r="I34">
        <f>((D34+E34)/C34)*100</f>
        <v>2.8964251627857274</v>
      </c>
      <c r="J34">
        <f>(D34/C34)*1000</f>
        <v>26.311037738282558</v>
      </c>
      <c r="K34">
        <f>(E34/C34)*1000</f>
        <v>2.6532138895747117</v>
      </c>
      <c r="L34">
        <f>CORREL(C34:C532, D34:D532)</f>
        <v>0.9554528647664563</v>
      </c>
      <c r="M34">
        <f>CORREL(C34:C532,E34:E532)</f>
        <v>0.81286015665272637</v>
      </c>
      <c r="N34">
        <f>LEN(A34)</f>
        <v>29</v>
      </c>
      <c r="O34" t="str">
        <f>IF(ISNUMBER(SEARCH("$",A34)), "Money", IF(ISNUMBER(SEARCH("Win",A34)), "Challenge",IF(ISNUMBER(SEARCH("Challenge",A34)), "Challenge",IF(ISNUMBER(SEARCH("Last To Leave",A34)),"Challenge",IF(ISNUMBER(SEARCH("Giving Away", A34)),"Giveaway",IF(ISNUMBER(SEARCH("Stranded",A34)),"Survival", IF(ISNUMBER(SEARCH("Survive",A34)), "Survival", IF(ISNUMBER(SEARCH("Days",A34)),"Endurance","Other"))))))))</f>
        <v>Other</v>
      </c>
    </row>
    <row r="35" spans="1:15" x14ac:dyDescent="0.3">
      <c r="A35" t="s">
        <v>48</v>
      </c>
      <c r="B35" s="1">
        <v>41368</v>
      </c>
      <c r="C35" s="2">
        <v>268919</v>
      </c>
      <c r="D35" s="3">
        <v>10763</v>
      </c>
      <c r="E35" s="3">
        <v>1017</v>
      </c>
      <c r="F35">
        <f>YEAR(B35)</f>
        <v>2013</v>
      </c>
      <c r="G35" t="str">
        <f>TEXT(B35,"MMMM")</f>
        <v>April</v>
      </c>
      <c r="H35" t="str">
        <f>TEXT(B35, "DDDD")</f>
        <v>Thursday</v>
      </c>
      <c r="I35">
        <f>((D35+E35)/C35)*100</f>
        <v>4.380501191808686</v>
      </c>
      <c r="J35">
        <f>(D35/C35)*1000</f>
        <v>40.023204013104319</v>
      </c>
      <c r="K35">
        <f>(E35/C35)*1000</f>
        <v>3.781807904982541</v>
      </c>
      <c r="L35">
        <f>CORREL(C35:C533, D35:D533)</f>
        <v>0.9551700409595123</v>
      </c>
      <c r="M35">
        <f>CORREL(C35:C533,E35:E533)</f>
        <v>0.81232522788431849</v>
      </c>
      <c r="N35">
        <f>LEN(A35)</f>
        <v>33</v>
      </c>
      <c r="O35" t="str">
        <f>IF(ISNUMBER(SEARCH("$",A35)), "Money", IF(ISNUMBER(SEARCH("Win",A35)), "Challenge",IF(ISNUMBER(SEARCH("Challenge",A35)), "Challenge",IF(ISNUMBER(SEARCH("Last To Leave",A35)),"Challenge",IF(ISNUMBER(SEARCH("Giving Away", A35)),"Giveaway",IF(ISNUMBER(SEARCH("Stranded",A35)),"Survival", IF(ISNUMBER(SEARCH("Survive",A35)), "Survival", IF(ISNUMBER(SEARCH("Days",A35)),"Endurance","Other"))))))))</f>
        <v>Other</v>
      </c>
    </row>
    <row r="36" spans="1:15" x14ac:dyDescent="0.3">
      <c r="A36" t="s">
        <v>49</v>
      </c>
      <c r="B36" s="1">
        <v>41385</v>
      </c>
      <c r="C36" s="2">
        <v>245371</v>
      </c>
      <c r="D36" s="3">
        <v>8468</v>
      </c>
      <c r="E36" s="3">
        <v>999</v>
      </c>
      <c r="F36">
        <f>YEAR(B36)</f>
        <v>2013</v>
      </c>
      <c r="G36" t="str">
        <f>TEXT(B36,"MMMM")</f>
        <v>April</v>
      </c>
      <c r="H36" t="str">
        <f>TEXT(B36, "DDDD")</f>
        <v>Sunday</v>
      </c>
      <c r="I36">
        <f>((D36+E36)/C36)*100</f>
        <v>3.8582391562165053</v>
      </c>
      <c r="J36">
        <f>(D36/C36)*1000</f>
        <v>34.511005783079504</v>
      </c>
      <c r="K36">
        <f>(E36/C36)*1000</f>
        <v>4.0713857790855483</v>
      </c>
      <c r="L36">
        <f>CORREL(C36:C534, D36:D534)</f>
        <v>0.95522371675655493</v>
      </c>
      <c r="M36">
        <f>CORREL(C36:C534,E36:E534)</f>
        <v>0.81240512932515097</v>
      </c>
      <c r="N36">
        <f>LEN(A36)</f>
        <v>44</v>
      </c>
      <c r="O36" t="str">
        <f>IF(ISNUMBER(SEARCH("$",A36)), "Money", IF(ISNUMBER(SEARCH("Win",A36)), "Challenge",IF(ISNUMBER(SEARCH("Challenge",A36)), "Challenge",IF(ISNUMBER(SEARCH("Last To Leave",A36)),"Challenge",IF(ISNUMBER(SEARCH("Giving Away", A36)),"Giveaway",IF(ISNUMBER(SEARCH("Stranded",A36)),"Survival", IF(ISNUMBER(SEARCH("Survive",A36)), "Survival", IF(ISNUMBER(SEARCH("Days",A36)),"Endurance","Other"))))))))</f>
        <v>Other</v>
      </c>
    </row>
    <row r="37" spans="1:15" x14ac:dyDescent="0.3">
      <c r="A37" t="s">
        <v>50</v>
      </c>
      <c r="B37" s="1">
        <v>41385</v>
      </c>
      <c r="C37" s="2">
        <v>245180</v>
      </c>
      <c r="D37" s="3">
        <v>8502</v>
      </c>
      <c r="E37" s="3">
        <v>871</v>
      </c>
      <c r="F37">
        <f>YEAR(B37)</f>
        <v>2013</v>
      </c>
      <c r="G37" t="str">
        <f>TEXT(B37,"MMMM")</f>
        <v>April</v>
      </c>
      <c r="H37" t="str">
        <f>TEXT(B37, "DDDD")</f>
        <v>Sunday</v>
      </c>
      <c r="I37">
        <f>((D37+E37)/C37)*100</f>
        <v>3.8229056203605514</v>
      </c>
      <c r="J37">
        <f>(D37/C37)*1000</f>
        <v>34.676564156945915</v>
      </c>
      <c r="K37">
        <f>(E37/C37)*1000</f>
        <v>3.5524920466595971</v>
      </c>
      <c r="L37">
        <f>CORREL(C37:C535, D37:D535)</f>
        <v>0.95493778177058508</v>
      </c>
      <c r="M37">
        <f>CORREL(C37:C535,E37:E535)</f>
        <v>0.81004676195102598</v>
      </c>
      <c r="N37">
        <f>LEN(A37)</f>
        <v>64</v>
      </c>
      <c r="O37" t="str">
        <f>IF(ISNUMBER(SEARCH("$",A37)), "Money", IF(ISNUMBER(SEARCH("Win",A37)), "Challenge",IF(ISNUMBER(SEARCH("Challenge",A37)), "Challenge",IF(ISNUMBER(SEARCH("Last To Leave",A37)),"Challenge",IF(ISNUMBER(SEARCH("Giving Away", A37)),"Giveaway",IF(ISNUMBER(SEARCH("Stranded",A37)),"Survival", IF(ISNUMBER(SEARCH("Survive",A37)), "Survival", IF(ISNUMBER(SEARCH("Days",A37)),"Endurance","Other"))))))))</f>
        <v>Other</v>
      </c>
    </row>
    <row r="38" spans="1:15" x14ac:dyDescent="0.3">
      <c r="A38" t="s">
        <v>51</v>
      </c>
      <c r="B38" s="1">
        <v>41362</v>
      </c>
      <c r="C38" s="2">
        <v>234299</v>
      </c>
      <c r="D38" s="3">
        <v>9143</v>
      </c>
      <c r="E38" s="3">
        <v>1090</v>
      </c>
      <c r="F38">
        <f>YEAR(B38)</f>
        <v>2013</v>
      </c>
      <c r="G38" t="str">
        <f>TEXT(B38,"MMMM")</f>
        <v>March</v>
      </c>
      <c r="H38" t="str">
        <f>TEXT(B38, "DDDD")</f>
        <v>Friday</v>
      </c>
      <c r="I38">
        <f>((D38+E38)/C38)*100</f>
        <v>4.3674962334452987</v>
      </c>
      <c r="J38">
        <f>(D38/C38)*1000</f>
        <v>39.02278712243757</v>
      </c>
      <c r="K38">
        <f>(E38/C38)*1000</f>
        <v>4.6521752120154165</v>
      </c>
      <c r="L38">
        <f>CORREL(C38:C536, D38:D536)</f>
        <v>0.95497691277128349</v>
      </c>
      <c r="M38">
        <f>CORREL(C38:C536,E38:E536)</f>
        <v>0.80993684729693038</v>
      </c>
      <c r="N38">
        <f>LEN(A38)</f>
        <v>62</v>
      </c>
      <c r="O38" t="str">
        <f>IF(ISNUMBER(SEARCH("$",A38)), "Money", IF(ISNUMBER(SEARCH("Win",A38)), "Challenge",IF(ISNUMBER(SEARCH("Challenge",A38)), "Challenge",IF(ISNUMBER(SEARCH("Last To Leave",A38)),"Challenge",IF(ISNUMBER(SEARCH("Giving Away", A38)),"Giveaway",IF(ISNUMBER(SEARCH("Stranded",A38)),"Survival", IF(ISNUMBER(SEARCH("Survive",A38)), "Survival", IF(ISNUMBER(SEARCH("Days",A38)),"Endurance","Other"))))))))</f>
        <v>Other</v>
      </c>
    </row>
    <row r="39" spans="1:15" x14ac:dyDescent="0.3">
      <c r="A39" t="s">
        <v>52</v>
      </c>
      <c r="B39" s="1">
        <v>41360</v>
      </c>
      <c r="C39" s="2">
        <v>230732</v>
      </c>
      <c r="D39" s="3">
        <v>0</v>
      </c>
      <c r="E39" s="3">
        <v>1500</v>
      </c>
      <c r="F39">
        <f>YEAR(B39)</f>
        <v>2013</v>
      </c>
      <c r="G39" t="str">
        <f>TEXT(B39,"MMMM")</f>
        <v>March</v>
      </c>
      <c r="H39" t="str">
        <f>TEXT(B39, "DDDD")</f>
        <v>Wednesday</v>
      </c>
      <c r="I39">
        <f>((D39+E39)/C39)*100</f>
        <v>0.65010488358788554</v>
      </c>
      <c r="J39">
        <f>(D39/C39)*1000</f>
        <v>0</v>
      </c>
      <c r="K39">
        <f>(E39/C39)*1000</f>
        <v>6.5010488358788558</v>
      </c>
      <c r="L39">
        <f>CORREL(C39:C537, D39:D537)</f>
        <v>0.95502875407863719</v>
      </c>
      <c r="M39">
        <f>CORREL(C39:C537,E39:E537)</f>
        <v>0.81021020905299446</v>
      </c>
      <c r="N39">
        <f>LEN(A39)</f>
        <v>39</v>
      </c>
      <c r="O39" t="str">
        <f>IF(ISNUMBER(SEARCH("$",A39)), "Money", IF(ISNUMBER(SEARCH("Win",A39)), "Challenge",IF(ISNUMBER(SEARCH("Challenge",A39)), "Challenge",IF(ISNUMBER(SEARCH("Last To Leave",A39)),"Challenge",IF(ISNUMBER(SEARCH("Giving Away", A39)),"Giveaway",IF(ISNUMBER(SEARCH("Stranded",A39)),"Survival", IF(ISNUMBER(SEARCH("Survive",A39)), "Survival", IF(ISNUMBER(SEARCH("Days",A39)),"Endurance","Other"))))))))</f>
        <v>Other</v>
      </c>
    </row>
    <row r="40" spans="1:15" x14ac:dyDescent="0.3">
      <c r="A40" t="s">
        <v>53</v>
      </c>
      <c r="B40" s="1">
        <v>41480</v>
      </c>
      <c r="C40" s="2">
        <v>226693</v>
      </c>
      <c r="D40" s="3">
        <v>7699</v>
      </c>
      <c r="E40" s="3">
        <v>694</v>
      </c>
      <c r="F40">
        <f>YEAR(B40)</f>
        <v>2013</v>
      </c>
      <c r="G40" t="str">
        <f>TEXT(B40,"MMMM")</f>
        <v>July</v>
      </c>
      <c r="H40" t="str">
        <f>TEXT(B40, "DDDD")</f>
        <v>Thursday</v>
      </c>
      <c r="I40">
        <f>((D40+E40)/C40)*100</f>
        <v>3.70236399006586</v>
      </c>
      <c r="J40">
        <f>(D40/C40)*1000</f>
        <v>33.962230858473795</v>
      </c>
      <c r="K40">
        <f>(E40/C40)*1000</f>
        <v>3.0614090421848048</v>
      </c>
      <c r="L40">
        <f>CORREL(C40:C538, D40:D538)</f>
        <v>0.95496238501294228</v>
      </c>
      <c r="M40">
        <f>CORREL(C40:C538,E40:E538)</f>
        <v>0.81018708484719748</v>
      </c>
      <c r="N40">
        <f>LEN(A40)</f>
        <v>42</v>
      </c>
      <c r="O40" t="str">
        <f>IF(ISNUMBER(SEARCH("$",A40)), "Money", IF(ISNUMBER(SEARCH("Win",A40)), "Challenge",IF(ISNUMBER(SEARCH("Challenge",A40)), "Challenge",IF(ISNUMBER(SEARCH("Last To Leave",A40)),"Challenge",IF(ISNUMBER(SEARCH("Giving Away", A40)),"Giveaway",IF(ISNUMBER(SEARCH("Stranded",A40)),"Survival", IF(ISNUMBER(SEARCH("Survive",A40)), "Survival", IF(ISNUMBER(SEARCH("Days",A40)),"Endurance","Other"))))))))</f>
        <v>Other</v>
      </c>
    </row>
    <row r="41" spans="1:15" x14ac:dyDescent="0.3">
      <c r="A41" t="s">
        <v>54</v>
      </c>
      <c r="B41" s="1">
        <v>41365</v>
      </c>
      <c r="C41" s="2">
        <v>219335</v>
      </c>
      <c r="D41" s="3">
        <v>8247</v>
      </c>
      <c r="E41" s="3">
        <v>991</v>
      </c>
      <c r="F41">
        <f>YEAR(B41)</f>
        <v>2013</v>
      </c>
      <c r="G41" t="str">
        <f>TEXT(B41,"MMMM")</f>
        <v>April</v>
      </c>
      <c r="H41" t="str">
        <f>TEXT(B41, "DDDD")</f>
        <v>Monday</v>
      </c>
      <c r="I41">
        <f>((D41+E41)/C41)*100</f>
        <v>4.2118220986162722</v>
      </c>
      <c r="J41">
        <f>(D41/C41)*1000</f>
        <v>37.600018236943491</v>
      </c>
      <c r="K41">
        <f>(E41/C41)*1000</f>
        <v>4.5182027492192312</v>
      </c>
      <c r="L41">
        <f>CORREL(C41:C539, D41:D539)</f>
        <v>0.95493807053910285</v>
      </c>
      <c r="M41">
        <f>CORREL(C41:C539,E41:E539)</f>
        <v>0.81041152934260585</v>
      </c>
      <c r="N41">
        <f>LEN(A41)</f>
        <v>46</v>
      </c>
      <c r="O41" t="str">
        <f>IF(ISNUMBER(SEARCH("$",A41)), "Money", IF(ISNUMBER(SEARCH("Win",A41)), "Challenge",IF(ISNUMBER(SEARCH("Challenge",A41)), "Challenge",IF(ISNUMBER(SEARCH("Last To Leave",A41)),"Challenge",IF(ISNUMBER(SEARCH("Giving Away", A41)),"Giveaway",IF(ISNUMBER(SEARCH("Stranded",A41)),"Survival", IF(ISNUMBER(SEARCH("Survive",A41)), "Survival", IF(ISNUMBER(SEARCH("Days",A41)),"Endurance","Other"))))))))</f>
        <v>Other</v>
      </c>
    </row>
    <row r="42" spans="1:15" x14ac:dyDescent="0.3">
      <c r="A42" t="s">
        <v>55</v>
      </c>
      <c r="B42" s="1">
        <v>41364</v>
      </c>
      <c r="C42" s="2">
        <v>219124</v>
      </c>
      <c r="D42" s="3">
        <v>9328</v>
      </c>
      <c r="E42" s="3">
        <v>1319</v>
      </c>
      <c r="F42">
        <f>YEAR(B42)</f>
        <v>2013</v>
      </c>
      <c r="G42" t="str">
        <f>TEXT(B42,"MMMM")</f>
        <v>March</v>
      </c>
      <c r="H42" t="str">
        <f>TEXT(B42, "DDDD")</f>
        <v>Sunday</v>
      </c>
      <c r="I42">
        <f>((D42+E42)/C42)*100</f>
        <v>4.8588926817692268</v>
      </c>
      <c r="J42">
        <f>(D42/C42)*1000</f>
        <v>42.569504025118199</v>
      </c>
      <c r="K42">
        <f>(E42/C42)*1000</f>
        <v>6.0194227925740682</v>
      </c>
      <c r="L42">
        <f>CORREL(C42:C540, D42:D540)</f>
        <v>0.9549165142434537</v>
      </c>
      <c r="M42">
        <f>CORREL(C42:C540,E42:E540)</f>
        <v>0.81032057127498558</v>
      </c>
      <c r="N42">
        <f>LEN(A42)</f>
        <v>72</v>
      </c>
      <c r="O42" t="str">
        <f>IF(ISNUMBER(SEARCH("$",A42)), "Money", IF(ISNUMBER(SEARCH("Win",A42)), "Challenge",IF(ISNUMBER(SEARCH("Challenge",A42)), "Challenge",IF(ISNUMBER(SEARCH("Last To Leave",A42)),"Challenge",IF(ISNUMBER(SEARCH("Giving Away", A42)),"Giveaway",IF(ISNUMBER(SEARCH("Stranded",A42)),"Survival", IF(ISNUMBER(SEARCH("Survive",A42)), "Survival", IF(ISNUMBER(SEARCH("Days",A42)),"Endurance","Other"))))))))</f>
        <v>Other</v>
      </c>
    </row>
    <row r="43" spans="1:15" x14ac:dyDescent="0.3">
      <c r="A43" t="s">
        <v>56</v>
      </c>
      <c r="B43" s="1">
        <v>41371</v>
      </c>
      <c r="C43" s="2">
        <v>217560</v>
      </c>
      <c r="D43" s="3">
        <v>8190</v>
      </c>
      <c r="E43" s="3">
        <v>859</v>
      </c>
      <c r="F43">
        <f>YEAR(B43)</f>
        <v>2013</v>
      </c>
      <c r="G43" t="str">
        <f>TEXT(B43,"MMMM")</f>
        <v>April</v>
      </c>
      <c r="H43" t="str">
        <f>TEXT(B43, "DDDD")</f>
        <v>Sunday</v>
      </c>
      <c r="I43">
        <f>((D43+E43)/C43)*100</f>
        <v>4.1593123735980875</v>
      </c>
      <c r="J43">
        <f>(D43/C43)*1000</f>
        <v>37.644787644787648</v>
      </c>
      <c r="K43">
        <f>(E43/C43)*1000</f>
        <v>3.9483360911932337</v>
      </c>
      <c r="L43">
        <f>CORREL(C43:C541, D43:D541)</f>
        <v>0.95488879253627923</v>
      </c>
      <c r="M43">
        <f>CORREL(C43:C541,E43:E541)</f>
        <v>0.79250646911435496</v>
      </c>
      <c r="N43">
        <f>LEN(A43)</f>
        <v>51</v>
      </c>
      <c r="O43" t="str">
        <f>IF(ISNUMBER(SEARCH("$",A43)), "Money", IF(ISNUMBER(SEARCH("Win",A43)), "Challenge",IF(ISNUMBER(SEARCH("Challenge",A43)), "Challenge",IF(ISNUMBER(SEARCH("Last To Leave",A43)),"Challenge",IF(ISNUMBER(SEARCH("Giving Away", A43)),"Giveaway",IF(ISNUMBER(SEARCH("Stranded",A43)),"Survival", IF(ISNUMBER(SEARCH("Survive",A43)), "Survival", IF(ISNUMBER(SEARCH("Days",A43)),"Endurance","Other"))))))))</f>
        <v>Other</v>
      </c>
    </row>
    <row r="44" spans="1:15" x14ac:dyDescent="0.3">
      <c r="A44" t="s">
        <v>57</v>
      </c>
      <c r="B44" s="1">
        <v>41474</v>
      </c>
      <c r="C44" s="2">
        <v>216436</v>
      </c>
      <c r="D44" s="3">
        <v>7153</v>
      </c>
      <c r="E44" s="3">
        <v>772</v>
      </c>
      <c r="F44">
        <f>YEAR(B44)</f>
        <v>2013</v>
      </c>
      <c r="G44" t="str">
        <f>TEXT(B44,"MMMM")</f>
        <v>July</v>
      </c>
      <c r="H44" t="str">
        <f>TEXT(B44, "DDDD")</f>
        <v>Friday</v>
      </c>
      <c r="I44">
        <f>((D44+E44)/C44)*100</f>
        <v>3.6615904932635974</v>
      </c>
      <c r="J44">
        <f>(D44/C44)*1000</f>
        <v>33.049030660333777</v>
      </c>
      <c r="K44">
        <f>(E44/C44)*1000</f>
        <v>3.5668742723022051</v>
      </c>
      <c r="L44">
        <f>CORREL(C44:C542, D44:D542)</f>
        <v>0.95489830954761035</v>
      </c>
      <c r="M44">
        <f>CORREL(C44:C542,E44:E542)</f>
        <v>0.79237429670533666</v>
      </c>
      <c r="N44">
        <f>LEN(A44)</f>
        <v>26</v>
      </c>
      <c r="O44" t="str">
        <f>IF(ISNUMBER(SEARCH("$",A44)), "Money", IF(ISNUMBER(SEARCH("Win",A44)), "Challenge",IF(ISNUMBER(SEARCH("Challenge",A44)), "Challenge",IF(ISNUMBER(SEARCH("Last To Leave",A44)),"Challenge",IF(ISNUMBER(SEARCH("Giving Away", A44)),"Giveaway",IF(ISNUMBER(SEARCH("Stranded",A44)),"Survival", IF(ISNUMBER(SEARCH("Survive",A44)), "Survival", IF(ISNUMBER(SEARCH("Days",A44)),"Endurance","Other"))))))))</f>
        <v>Other</v>
      </c>
    </row>
    <row r="45" spans="1:15" x14ac:dyDescent="0.3">
      <c r="A45" t="s">
        <v>58</v>
      </c>
      <c r="B45" s="1">
        <v>41369</v>
      </c>
      <c r="C45" s="2">
        <v>211323</v>
      </c>
      <c r="D45" s="3">
        <v>9284</v>
      </c>
      <c r="E45" s="3">
        <v>1744</v>
      </c>
      <c r="F45">
        <f>YEAR(B45)</f>
        <v>2013</v>
      </c>
      <c r="G45" t="str">
        <f>TEXT(B45,"MMMM")</f>
        <v>April</v>
      </c>
      <c r="H45" t="str">
        <f>TEXT(B45, "DDDD")</f>
        <v>Friday</v>
      </c>
      <c r="I45">
        <f>((D45+E45)/C45)*100</f>
        <v>5.2185516957453757</v>
      </c>
      <c r="J45">
        <f>(D45/C45)*1000</f>
        <v>43.932747500272093</v>
      </c>
      <c r="K45">
        <f>(E45/C45)*1000</f>
        <v>8.2527694571816603</v>
      </c>
      <c r="L45">
        <f>CORREL(C45:C543, D45:D543)</f>
        <v>0.95493920878760907</v>
      </c>
      <c r="M45">
        <f>CORREL(C45:C543,E45:E543)</f>
        <v>0.79253365506761941</v>
      </c>
      <c r="N45">
        <f>LEN(A45)</f>
        <v>35</v>
      </c>
      <c r="O45" t="str">
        <f>IF(ISNUMBER(SEARCH("$",A45)), "Money", IF(ISNUMBER(SEARCH("Win",A45)), "Challenge",IF(ISNUMBER(SEARCH("Challenge",A45)), "Challenge",IF(ISNUMBER(SEARCH("Last To Leave",A45)),"Challenge",IF(ISNUMBER(SEARCH("Giving Away", A45)),"Giveaway",IF(ISNUMBER(SEARCH("Stranded",A45)),"Survival", IF(ISNUMBER(SEARCH("Survive",A45)), "Survival", IF(ISNUMBER(SEARCH("Days",A45)),"Endurance","Other"))))))))</f>
        <v>Other</v>
      </c>
    </row>
    <row r="46" spans="1:15" x14ac:dyDescent="0.3">
      <c r="A46" t="s">
        <v>59</v>
      </c>
      <c r="B46" s="1">
        <v>41502</v>
      </c>
      <c r="C46" s="2">
        <v>209240</v>
      </c>
      <c r="D46" s="3">
        <v>5014</v>
      </c>
      <c r="E46" s="3">
        <v>451</v>
      </c>
      <c r="F46">
        <f>YEAR(B46)</f>
        <v>2013</v>
      </c>
      <c r="G46" t="str">
        <f>TEXT(B46,"MMMM")</f>
        <v>August</v>
      </c>
      <c r="H46" t="str">
        <f>TEXT(B46, "DDDD")</f>
        <v>Friday</v>
      </c>
      <c r="I46">
        <f>((D46+E46)/C46)*100</f>
        <v>2.6118333014719939</v>
      </c>
      <c r="J46">
        <f>(D46/C46)*1000</f>
        <v>23.962913400879373</v>
      </c>
      <c r="K46">
        <f>(E46/C46)*1000</f>
        <v>2.1554196138405661</v>
      </c>
      <c r="L46">
        <f>CORREL(C46:C544, D46:D544)</f>
        <v>0.95497099725917278</v>
      </c>
      <c r="M46">
        <f>CORREL(C46:C544,E46:E544)</f>
        <v>0.79265438208647954</v>
      </c>
      <c r="N46">
        <f>LEN(A46)</f>
        <v>15</v>
      </c>
      <c r="O46" t="str">
        <f>IF(ISNUMBER(SEARCH("$",A46)), "Money", IF(ISNUMBER(SEARCH("Win",A46)), "Challenge",IF(ISNUMBER(SEARCH("Challenge",A46)), "Challenge",IF(ISNUMBER(SEARCH("Last To Leave",A46)),"Challenge",IF(ISNUMBER(SEARCH("Giving Away", A46)),"Giveaway",IF(ISNUMBER(SEARCH("Stranded",A46)),"Survival", IF(ISNUMBER(SEARCH("Survive",A46)), "Survival", IF(ISNUMBER(SEARCH("Days",A46)),"Endurance","Other"))))))))</f>
        <v>Other</v>
      </c>
    </row>
    <row r="47" spans="1:15" x14ac:dyDescent="0.3">
      <c r="A47" t="s">
        <v>60</v>
      </c>
      <c r="B47" s="1">
        <v>41498</v>
      </c>
      <c r="C47" s="2">
        <v>208495</v>
      </c>
      <c r="D47" s="3">
        <v>7698</v>
      </c>
      <c r="E47" s="3">
        <v>874</v>
      </c>
      <c r="F47">
        <f>YEAR(B47)</f>
        <v>2013</v>
      </c>
      <c r="G47" t="str">
        <f>TEXT(B47,"MMMM")</f>
        <v>August</v>
      </c>
      <c r="H47" t="str">
        <f>TEXT(B47, "DDDD")</f>
        <v>Monday</v>
      </c>
      <c r="I47">
        <f>((D47+E47)/C47)*100</f>
        <v>4.1113695772080865</v>
      </c>
      <c r="J47">
        <f>(D47/C47)*1000</f>
        <v>36.921748722990955</v>
      </c>
      <c r="K47">
        <f>(E47/C47)*1000</f>
        <v>4.1919470490899062</v>
      </c>
      <c r="L47">
        <f>CORREL(C47:C545, D47:D545)</f>
        <v>0.95492571025320794</v>
      </c>
      <c r="M47">
        <f>CORREL(C47:C545,E47:E545)</f>
        <v>0.7927894487614674</v>
      </c>
      <c r="N47">
        <f>LEN(A47)</f>
        <v>54</v>
      </c>
      <c r="O47" t="str">
        <f>IF(ISNUMBER(SEARCH("$",A47)), "Money", IF(ISNUMBER(SEARCH("Win",A47)), "Challenge",IF(ISNUMBER(SEARCH("Challenge",A47)), "Challenge",IF(ISNUMBER(SEARCH("Last To Leave",A47)),"Challenge",IF(ISNUMBER(SEARCH("Giving Away", A47)),"Giveaway",IF(ISNUMBER(SEARCH("Stranded",A47)),"Survival", IF(ISNUMBER(SEARCH("Survive",A47)), "Survival", IF(ISNUMBER(SEARCH("Days",A47)),"Endurance","Other"))))))))</f>
        <v>Other</v>
      </c>
    </row>
    <row r="48" spans="1:15" x14ac:dyDescent="0.3">
      <c r="A48" t="s">
        <v>61</v>
      </c>
      <c r="B48" s="1">
        <v>41522</v>
      </c>
      <c r="C48" s="2">
        <v>205727</v>
      </c>
      <c r="D48" s="3">
        <v>4967</v>
      </c>
      <c r="E48" s="3">
        <v>482</v>
      </c>
      <c r="F48">
        <f>YEAR(B48)</f>
        <v>2013</v>
      </c>
      <c r="G48" t="str">
        <f>TEXT(B48,"MMMM")</f>
        <v>September</v>
      </c>
      <c r="H48" t="str">
        <f>TEXT(B48, "DDDD")</f>
        <v>Thursday</v>
      </c>
      <c r="I48">
        <f>((D48+E48)/C48)*100</f>
        <v>2.648655742804785</v>
      </c>
      <c r="J48">
        <f>(D48/C48)*1000</f>
        <v>24.143646677392855</v>
      </c>
      <c r="K48">
        <f>(E48/C48)*1000</f>
        <v>2.342910750654994</v>
      </c>
      <c r="L48">
        <f>CORREL(C48:C546, D48:D546)</f>
        <v>0.95494722855675596</v>
      </c>
      <c r="M48">
        <f>CORREL(C48:C546,E48:E546)</f>
        <v>0.79291661208432251</v>
      </c>
      <c r="N48">
        <f>LEN(A48)</f>
        <v>28</v>
      </c>
      <c r="O48" t="str">
        <f>IF(ISNUMBER(SEARCH("$",A48)), "Money", IF(ISNUMBER(SEARCH("Win",A48)), "Challenge",IF(ISNUMBER(SEARCH("Challenge",A48)), "Challenge",IF(ISNUMBER(SEARCH("Last To Leave",A48)),"Challenge",IF(ISNUMBER(SEARCH("Giving Away", A48)),"Giveaway",IF(ISNUMBER(SEARCH("Stranded",A48)),"Survival", IF(ISNUMBER(SEARCH("Survive",A48)), "Survival", IF(ISNUMBER(SEARCH("Days",A48)),"Endurance","Other"))))))))</f>
        <v>Endurance</v>
      </c>
    </row>
    <row r="49" spans="1:15" x14ac:dyDescent="0.3">
      <c r="A49" t="s">
        <v>62</v>
      </c>
      <c r="B49" s="1">
        <v>41532</v>
      </c>
      <c r="C49" s="2">
        <v>198498</v>
      </c>
      <c r="D49" s="3">
        <v>6779</v>
      </c>
      <c r="E49" s="3">
        <v>615</v>
      </c>
      <c r="F49">
        <f>YEAR(B49)</f>
        <v>2013</v>
      </c>
      <c r="G49" t="str">
        <f>TEXT(B49,"MMMM")</f>
        <v>September</v>
      </c>
      <c r="H49" t="str">
        <f>TEXT(B49, "DDDD")</f>
        <v>Sunday</v>
      </c>
      <c r="I49">
        <f>((D49+E49)/C49)*100</f>
        <v>3.7249745589376215</v>
      </c>
      <c r="J49">
        <f>(D49/C49)*1000</f>
        <v>34.151477596751604</v>
      </c>
      <c r="K49">
        <f>(E49/C49)*1000</f>
        <v>3.0982679926246108</v>
      </c>
      <c r="L49">
        <f>CORREL(C49:C547, D49:D547)</f>
        <v>0.95118570753664888</v>
      </c>
      <c r="M49">
        <f>CORREL(C49:C547,E49:E547)</f>
        <v>0.7646094844536061</v>
      </c>
      <c r="N49">
        <f>LEN(A49)</f>
        <v>29</v>
      </c>
      <c r="O49" t="str">
        <f>IF(ISNUMBER(SEARCH("$",A49)), "Money", IF(ISNUMBER(SEARCH("Win",A49)), "Challenge",IF(ISNUMBER(SEARCH("Challenge",A49)), "Challenge",IF(ISNUMBER(SEARCH("Last To Leave",A49)),"Challenge",IF(ISNUMBER(SEARCH("Giving Away", A49)),"Giveaway",IF(ISNUMBER(SEARCH("Stranded",A49)),"Survival", IF(ISNUMBER(SEARCH("Survive",A49)), "Survival", IF(ISNUMBER(SEARCH("Days",A49)),"Endurance","Other"))))))))</f>
        <v>Other</v>
      </c>
    </row>
    <row r="50" spans="1:15" x14ac:dyDescent="0.3">
      <c r="A50" t="s">
        <v>63</v>
      </c>
      <c r="B50" s="1">
        <v>41476</v>
      </c>
      <c r="C50" s="2">
        <v>198439</v>
      </c>
      <c r="D50" s="3">
        <v>5871</v>
      </c>
      <c r="E50" s="3">
        <v>643</v>
      </c>
      <c r="F50">
        <f>YEAR(B50)</f>
        <v>2013</v>
      </c>
      <c r="G50" t="str">
        <f>TEXT(B50,"MMMM")</f>
        <v>July</v>
      </c>
      <c r="H50" t="str">
        <f>TEXT(B50, "DDDD")</f>
        <v>Sunday</v>
      </c>
      <c r="I50">
        <f>((D50+E50)/C50)*100</f>
        <v>3.2826208557793577</v>
      </c>
      <c r="J50">
        <f>(D50/C50)*1000</f>
        <v>29.585918090697895</v>
      </c>
      <c r="K50">
        <f>(E50/C50)*1000</f>
        <v>3.240290467095682</v>
      </c>
      <c r="L50">
        <f>CORREL(C50:C548, D50:D548)</f>
        <v>0.95117244771687026</v>
      </c>
      <c r="M50">
        <f>CORREL(C50:C548,E50:E548)</f>
        <v>0.76469639132396605</v>
      </c>
      <c r="N50">
        <f>LEN(A50)</f>
        <v>55</v>
      </c>
      <c r="O50" t="str">
        <f>IF(ISNUMBER(SEARCH("$",A50)), "Money", IF(ISNUMBER(SEARCH("Win",A50)), "Challenge",IF(ISNUMBER(SEARCH("Challenge",A50)), "Challenge",IF(ISNUMBER(SEARCH("Last To Leave",A50)),"Challenge",IF(ISNUMBER(SEARCH("Giving Away", A50)),"Giveaway",IF(ISNUMBER(SEARCH("Stranded",A50)),"Survival", IF(ISNUMBER(SEARCH("Survive",A50)), "Survival", IF(ISNUMBER(SEARCH("Days",A50)),"Endurance","Other"))))))))</f>
        <v>Other</v>
      </c>
    </row>
    <row r="51" spans="1:15" x14ac:dyDescent="0.3">
      <c r="A51" t="s">
        <v>64</v>
      </c>
      <c r="B51" s="1">
        <v>41487</v>
      </c>
      <c r="C51" s="2">
        <v>182413</v>
      </c>
      <c r="D51" s="3">
        <v>6428</v>
      </c>
      <c r="E51" s="3">
        <v>1082</v>
      </c>
      <c r="F51">
        <f>YEAR(B51)</f>
        <v>2013</v>
      </c>
      <c r="G51" t="str">
        <f>TEXT(B51,"MMMM")</f>
        <v>August</v>
      </c>
      <c r="H51" t="str">
        <f>TEXT(B51, "DDDD")</f>
        <v>Thursday</v>
      </c>
      <c r="I51">
        <f>((D51+E51)/C51)*100</f>
        <v>4.1170311326495375</v>
      </c>
      <c r="J51">
        <f>(D51/C51)*1000</f>
        <v>35.238716538843178</v>
      </c>
      <c r="K51">
        <f>(E51/C51)*1000</f>
        <v>5.9315947876521964</v>
      </c>
      <c r="L51">
        <f>CORREL(C51:C549, D51:D549)</f>
        <v>0.95120003067539494</v>
      </c>
      <c r="M51">
        <f>CORREL(C51:C549,E51:E549)</f>
        <v>0.76479104636028805</v>
      </c>
      <c r="N51">
        <f>LEN(A51)</f>
        <v>42</v>
      </c>
      <c r="O51" t="str">
        <f>IF(ISNUMBER(SEARCH("$",A51)), "Money", IF(ISNUMBER(SEARCH("Win",A51)), "Challenge",IF(ISNUMBER(SEARCH("Challenge",A51)), "Challenge",IF(ISNUMBER(SEARCH("Last To Leave",A51)),"Challenge",IF(ISNUMBER(SEARCH("Giving Away", A51)),"Giveaway",IF(ISNUMBER(SEARCH("Stranded",A51)),"Survival", IF(ISNUMBER(SEARCH("Survive",A51)), "Survival", IF(ISNUMBER(SEARCH("Days",A51)),"Endurance","Other"))))))))</f>
        <v>Other</v>
      </c>
    </row>
    <row r="52" spans="1:15" x14ac:dyDescent="0.3">
      <c r="A52" t="s">
        <v>65</v>
      </c>
      <c r="B52" s="1">
        <v>41482</v>
      </c>
      <c r="C52" s="2">
        <v>179322</v>
      </c>
      <c r="D52" s="3">
        <v>5490</v>
      </c>
      <c r="E52" s="3">
        <v>614</v>
      </c>
      <c r="F52">
        <f>YEAR(B52)</f>
        <v>2013</v>
      </c>
      <c r="G52" t="str">
        <f>TEXT(B52,"MMMM")</f>
        <v>July</v>
      </c>
      <c r="H52" t="str">
        <f>TEXT(B52, "DDDD")</f>
        <v>Saturday</v>
      </c>
      <c r="I52">
        <f>((D52+E52)/C52)*100</f>
        <v>3.4039325905354612</v>
      </c>
      <c r="J52">
        <f>(D52/C52)*1000</f>
        <v>30.61531769665741</v>
      </c>
      <c r="K52">
        <f>(E52/C52)*1000</f>
        <v>3.4240082086972037</v>
      </c>
      <c r="L52">
        <f>CORREL(C52:C550, D52:D550)</f>
        <v>0.95122120066439642</v>
      </c>
      <c r="M52">
        <f>CORREL(C52:C550,E52:E550)</f>
        <v>0.76477791888808122</v>
      </c>
      <c r="N52">
        <f>LEN(A52)</f>
        <v>42</v>
      </c>
      <c r="O52" t="str">
        <f>IF(ISNUMBER(SEARCH("$",A52)), "Money", IF(ISNUMBER(SEARCH("Win",A52)), "Challenge",IF(ISNUMBER(SEARCH("Challenge",A52)), "Challenge",IF(ISNUMBER(SEARCH("Last To Leave",A52)),"Challenge",IF(ISNUMBER(SEARCH("Giving Away", A52)),"Giveaway",IF(ISNUMBER(SEARCH("Stranded",A52)),"Survival", IF(ISNUMBER(SEARCH("Survive",A52)), "Survival", IF(ISNUMBER(SEARCH("Days",A52)),"Endurance","Other"))))))))</f>
        <v>Other</v>
      </c>
    </row>
    <row r="53" spans="1:15" x14ac:dyDescent="0.3">
      <c r="A53" t="s">
        <v>66</v>
      </c>
      <c r="B53" s="1">
        <v>41483</v>
      </c>
      <c r="C53" s="2">
        <v>169406</v>
      </c>
      <c r="D53" s="3">
        <v>4511</v>
      </c>
      <c r="E53" s="3">
        <v>548</v>
      </c>
      <c r="F53">
        <f>YEAR(B53)</f>
        <v>2013</v>
      </c>
      <c r="G53" t="str">
        <f>TEXT(B53,"MMMM")</f>
        <v>July</v>
      </c>
      <c r="H53" t="str">
        <f>TEXT(B53, "DDDD")</f>
        <v>Sunday</v>
      </c>
      <c r="I53">
        <f>((D53+E53)/C53)*100</f>
        <v>2.986316895505472</v>
      </c>
      <c r="J53">
        <f>(D53/C53)*1000</f>
        <v>26.62833665867797</v>
      </c>
      <c r="K53">
        <f>(E53/C53)*1000</f>
        <v>3.2348322963767515</v>
      </c>
      <c r="L53">
        <f>CORREL(C53:C551, D53:D551)</f>
        <v>0.95122480216867222</v>
      </c>
      <c r="M53">
        <f>CORREL(C53:C551,E53:E551)</f>
        <v>0.76488920069941169</v>
      </c>
      <c r="N53">
        <f>LEN(A53)</f>
        <v>22</v>
      </c>
      <c r="O53" t="str">
        <f>IF(ISNUMBER(SEARCH("$",A53)), "Money", IF(ISNUMBER(SEARCH("Win",A53)), "Challenge",IF(ISNUMBER(SEARCH("Challenge",A53)), "Challenge",IF(ISNUMBER(SEARCH("Last To Leave",A53)),"Challenge",IF(ISNUMBER(SEARCH("Giving Away", A53)),"Giveaway",IF(ISNUMBER(SEARCH("Stranded",A53)),"Survival", IF(ISNUMBER(SEARCH("Survive",A53)), "Survival", IF(ISNUMBER(SEARCH("Days",A53)),"Endurance","Other"))))))))</f>
        <v>Other</v>
      </c>
    </row>
    <row r="54" spans="1:15" x14ac:dyDescent="0.3">
      <c r="A54" t="s">
        <v>67</v>
      </c>
      <c r="B54" s="1">
        <v>41443</v>
      </c>
      <c r="C54" s="2">
        <v>165682</v>
      </c>
      <c r="D54" s="3">
        <v>6198</v>
      </c>
      <c r="E54" s="3">
        <v>961</v>
      </c>
      <c r="F54">
        <f>YEAR(B54)</f>
        <v>2013</v>
      </c>
      <c r="G54" t="str">
        <f>TEXT(B54,"MMMM")</f>
        <v>June</v>
      </c>
      <c r="H54" t="str">
        <f>TEXT(B54, "DDDD")</f>
        <v>Tuesday</v>
      </c>
      <c r="I54">
        <f>((D54+E54)/C54)*100</f>
        <v>4.3209280428773189</v>
      </c>
      <c r="J54">
        <f>(D54/C54)*1000</f>
        <v>37.409012445528184</v>
      </c>
      <c r="K54">
        <f>(E54/C54)*1000</f>
        <v>5.8002679832450115</v>
      </c>
      <c r="L54">
        <f>CORREL(C54:C552, D54:D552)</f>
        <v>0.95123817417965906</v>
      </c>
      <c r="M54">
        <f>CORREL(C54:C552,E54:E552)</f>
        <v>0.76497627047621697</v>
      </c>
      <c r="N54">
        <f>LEN(A54)</f>
        <v>48</v>
      </c>
      <c r="O54" t="str">
        <f>IF(ISNUMBER(SEARCH("$",A54)), "Money", IF(ISNUMBER(SEARCH("Win",A54)), "Challenge",IF(ISNUMBER(SEARCH("Challenge",A54)), "Challenge",IF(ISNUMBER(SEARCH("Last To Leave",A54)),"Challenge",IF(ISNUMBER(SEARCH("Giving Away", A54)),"Giveaway",IF(ISNUMBER(SEARCH("Stranded",A54)),"Survival", IF(ISNUMBER(SEARCH("Survive",A54)), "Survival", IF(ISNUMBER(SEARCH("Days",A54)),"Endurance","Other"))))))))</f>
        <v>Other</v>
      </c>
    </row>
    <row r="55" spans="1:15" x14ac:dyDescent="0.3">
      <c r="A55" t="s">
        <v>68</v>
      </c>
      <c r="B55" s="1">
        <v>41591</v>
      </c>
      <c r="C55" s="2">
        <v>162392</v>
      </c>
      <c r="D55" s="3">
        <v>3647</v>
      </c>
      <c r="E55" s="3">
        <v>432</v>
      </c>
      <c r="F55">
        <f>YEAR(B55)</f>
        <v>2013</v>
      </c>
      <c r="G55" t="str">
        <f>TEXT(B55,"MMMM")</f>
        <v>November</v>
      </c>
      <c r="H55" t="str">
        <f>TEXT(B55, "DDDD")</f>
        <v>Wednesday</v>
      </c>
      <c r="I55">
        <f>((D55+E55)/C55)*100</f>
        <v>2.5118232425242621</v>
      </c>
      <c r="J55">
        <f>(D55/C55)*1000</f>
        <v>22.45800285728361</v>
      </c>
      <c r="K55">
        <f>(E55/C55)*1000</f>
        <v>2.6602295679590129</v>
      </c>
      <c r="L55">
        <f>CORREL(C55:C553, D55:D553)</f>
        <v>0.95118275960366172</v>
      </c>
      <c r="M55">
        <f>CORREL(C55:C553,E55:E553)</f>
        <v>0.76502732086756786</v>
      </c>
      <c r="N55">
        <f>LEN(A55)</f>
        <v>33</v>
      </c>
      <c r="O55" t="str">
        <f>IF(ISNUMBER(SEARCH("$",A55)), "Money", IF(ISNUMBER(SEARCH("Win",A55)), "Challenge",IF(ISNUMBER(SEARCH("Challenge",A55)), "Challenge",IF(ISNUMBER(SEARCH("Last To Leave",A55)),"Challenge",IF(ISNUMBER(SEARCH("Giving Away", A55)),"Giveaway",IF(ISNUMBER(SEARCH("Stranded",A55)),"Survival", IF(ISNUMBER(SEARCH("Survive",A55)), "Survival", IF(ISNUMBER(SEARCH("Days",A55)),"Endurance","Other"))))))))</f>
        <v>Other</v>
      </c>
    </row>
    <row r="56" spans="1:15" x14ac:dyDescent="0.3">
      <c r="A56" t="s">
        <v>69</v>
      </c>
      <c r="B56" s="1">
        <v>41479</v>
      </c>
      <c r="C56" s="2">
        <v>162181</v>
      </c>
      <c r="D56" s="3">
        <v>5351</v>
      </c>
      <c r="E56" s="3">
        <v>858</v>
      </c>
      <c r="F56">
        <f>YEAR(B56)</f>
        <v>2013</v>
      </c>
      <c r="G56" t="str">
        <f>TEXT(B56,"MMMM")</f>
        <v>July</v>
      </c>
      <c r="H56" t="str">
        <f>TEXT(B56, "DDDD")</f>
        <v>Wednesday</v>
      </c>
      <c r="I56">
        <f>((D56+E56)/C56)*100</f>
        <v>3.8284385963830534</v>
      </c>
      <c r="J56">
        <f>(D56/C56)*1000</f>
        <v>32.994000530271734</v>
      </c>
      <c r="K56">
        <f>(E56/C56)*1000</f>
        <v>5.2903854335588019</v>
      </c>
      <c r="L56">
        <f>CORREL(C56:C554, D56:D554)</f>
        <v>0.9511815614575434</v>
      </c>
      <c r="M56">
        <f>CORREL(C56:C554,E56:E554)</f>
        <v>0.76472342810848348</v>
      </c>
      <c r="N56">
        <f>LEN(A56)</f>
        <v>23</v>
      </c>
      <c r="O56" t="str">
        <f>IF(ISNUMBER(SEARCH("$",A56)), "Money", IF(ISNUMBER(SEARCH("Win",A56)), "Challenge",IF(ISNUMBER(SEARCH("Challenge",A56)), "Challenge",IF(ISNUMBER(SEARCH("Last To Leave",A56)),"Challenge",IF(ISNUMBER(SEARCH("Giving Away", A56)),"Giveaway",IF(ISNUMBER(SEARCH("Stranded",A56)),"Survival", IF(ISNUMBER(SEARCH("Survive",A56)), "Survival", IF(ISNUMBER(SEARCH("Days",A56)),"Endurance","Other"))))))))</f>
        <v>Other</v>
      </c>
    </row>
    <row r="57" spans="1:15" x14ac:dyDescent="0.3">
      <c r="A57" t="s">
        <v>70</v>
      </c>
      <c r="B57" s="1">
        <v>41498</v>
      </c>
      <c r="C57" s="2">
        <v>161268</v>
      </c>
      <c r="D57" s="3">
        <v>4798</v>
      </c>
      <c r="E57" s="3">
        <v>480</v>
      </c>
      <c r="F57">
        <f>YEAR(B57)</f>
        <v>2013</v>
      </c>
      <c r="G57" t="str">
        <f>TEXT(B57,"MMMM")</f>
        <v>August</v>
      </c>
      <c r="H57" t="str">
        <f>TEXT(B57, "DDDD")</f>
        <v>Monday</v>
      </c>
      <c r="I57">
        <f>((D57+E57)/C57)*100</f>
        <v>3.2728129573132927</v>
      </c>
      <c r="J57">
        <f>(D57/C57)*1000</f>
        <v>29.751717637721061</v>
      </c>
      <c r="K57">
        <f>(E57/C57)*1000</f>
        <v>2.976411935411861</v>
      </c>
      <c r="L57">
        <f>CORREL(C57:C555, D57:D555)</f>
        <v>0.95115579914139858</v>
      </c>
      <c r="M57">
        <f>CORREL(C57:C555,E57:E555)</f>
        <v>0.76473886169651795</v>
      </c>
      <c r="N57">
        <f>LEN(A57)</f>
        <v>46</v>
      </c>
      <c r="O57" t="str">
        <f>IF(ISNUMBER(SEARCH("$",A57)), "Money", IF(ISNUMBER(SEARCH("Win",A57)), "Challenge",IF(ISNUMBER(SEARCH("Challenge",A57)), "Challenge",IF(ISNUMBER(SEARCH("Last To Leave",A57)),"Challenge",IF(ISNUMBER(SEARCH("Giving Away", A57)),"Giveaway",IF(ISNUMBER(SEARCH("Stranded",A57)),"Survival", IF(ISNUMBER(SEARCH("Survive",A57)), "Survival", IF(ISNUMBER(SEARCH("Days",A57)),"Endurance","Other"))))))))</f>
        <v>Other</v>
      </c>
    </row>
    <row r="58" spans="1:15" x14ac:dyDescent="0.3">
      <c r="A58" t="s">
        <v>71</v>
      </c>
      <c r="B58" s="1">
        <v>41440</v>
      </c>
      <c r="C58" s="2">
        <v>158886</v>
      </c>
      <c r="D58" s="3">
        <v>6248</v>
      </c>
      <c r="E58" s="3">
        <v>1087</v>
      </c>
      <c r="F58">
        <f>YEAR(B58)</f>
        <v>2013</v>
      </c>
      <c r="G58" t="str">
        <f>TEXT(B58,"MMMM")</f>
        <v>June</v>
      </c>
      <c r="H58" t="str">
        <f>TEXT(B58, "DDDD")</f>
        <v>Saturday</v>
      </c>
      <c r="I58">
        <f>((D58+E58)/C58)*100</f>
        <v>4.6165175031154417</v>
      </c>
      <c r="J58">
        <f>(D58/C58)*1000</f>
        <v>39.323791901111491</v>
      </c>
      <c r="K58">
        <f>(E58/C58)*1000</f>
        <v>6.8413831300429235</v>
      </c>
      <c r="L58">
        <f>CORREL(C58:C556, D58:D556)</f>
        <v>0.95113142218640512</v>
      </c>
      <c r="M58">
        <f>CORREL(C58:C556,E58:E556)</f>
        <v>0.76470922892433435</v>
      </c>
      <c r="N58">
        <f>LEN(A58)</f>
        <v>53</v>
      </c>
      <c r="O58" t="str">
        <f>IF(ISNUMBER(SEARCH("$",A58)), "Money", IF(ISNUMBER(SEARCH("Win",A58)), "Challenge",IF(ISNUMBER(SEARCH("Challenge",A58)), "Challenge",IF(ISNUMBER(SEARCH("Last To Leave",A58)),"Challenge",IF(ISNUMBER(SEARCH("Giving Away", A58)),"Giveaway",IF(ISNUMBER(SEARCH("Stranded",A58)),"Survival", IF(ISNUMBER(SEARCH("Survive",A58)), "Survival", IF(ISNUMBER(SEARCH("Days",A58)),"Endurance","Other"))))))))</f>
        <v>Other</v>
      </c>
    </row>
    <row r="59" spans="1:15" x14ac:dyDescent="0.3">
      <c r="A59" t="s">
        <v>72</v>
      </c>
      <c r="B59" s="1">
        <v>41442</v>
      </c>
      <c r="C59" s="2">
        <v>158394</v>
      </c>
      <c r="D59" s="3">
        <v>5984</v>
      </c>
      <c r="E59" s="3">
        <v>1139</v>
      </c>
      <c r="F59">
        <f>YEAR(B59)</f>
        <v>2013</v>
      </c>
      <c r="G59" t="str">
        <f>TEXT(B59,"MMMM")</f>
        <v>June</v>
      </c>
      <c r="H59" t="str">
        <f>TEXT(B59, "DDDD")</f>
        <v>Monday</v>
      </c>
      <c r="I59">
        <f>((D59+E59)/C59)*100</f>
        <v>4.4970137757743345</v>
      </c>
      <c r="J59">
        <f>(D59/C59)*1000</f>
        <v>37.779208808414459</v>
      </c>
      <c r="K59">
        <f>(E59/C59)*1000</f>
        <v>7.1909289493288888</v>
      </c>
      <c r="L59">
        <f>CORREL(C59:C557, D59:D557)</f>
        <v>0.95112942350588048</v>
      </c>
      <c r="M59">
        <f>CORREL(C59:C557,E59:E557)</f>
        <v>0.76462059471794852</v>
      </c>
      <c r="N59">
        <f>LEN(A59)</f>
        <v>56</v>
      </c>
      <c r="O59" t="str">
        <f>IF(ISNUMBER(SEARCH("$",A59)), "Money", IF(ISNUMBER(SEARCH("Win",A59)), "Challenge",IF(ISNUMBER(SEARCH("Challenge",A59)), "Challenge",IF(ISNUMBER(SEARCH("Last To Leave",A59)),"Challenge",IF(ISNUMBER(SEARCH("Giving Away", A59)),"Giveaway",IF(ISNUMBER(SEARCH("Stranded",A59)),"Survival", IF(ISNUMBER(SEARCH("Survive",A59)), "Survival", IF(ISNUMBER(SEARCH("Days",A59)),"Endurance","Other"))))))))</f>
        <v>Other</v>
      </c>
    </row>
    <row r="60" spans="1:15" x14ac:dyDescent="0.3">
      <c r="A60" t="s">
        <v>73</v>
      </c>
      <c r="B60" s="1">
        <v>41502</v>
      </c>
      <c r="C60" s="2">
        <v>147116</v>
      </c>
      <c r="D60" s="3">
        <v>3963</v>
      </c>
      <c r="E60" s="3">
        <v>461</v>
      </c>
      <c r="F60">
        <f>YEAR(B60)</f>
        <v>2013</v>
      </c>
      <c r="G60" t="str">
        <f>TEXT(B60,"MMMM")</f>
        <v>August</v>
      </c>
      <c r="H60" t="str">
        <f>TEXT(B60, "DDDD")</f>
        <v>Friday</v>
      </c>
      <c r="I60">
        <f>((D60+E60)/C60)*100</f>
        <v>3.0071508197612768</v>
      </c>
      <c r="J60">
        <f>(D60/C60)*1000</f>
        <v>26.937926534163516</v>
      </c>
      <c r="K60">
        <f>(E60/C60)*1000</f>
        <v>3.133581663449251</v>
      </c>
      <c r="L60">
        <f>CORREL(C60:C558, D60:D558)</f>
        <v>0.95112221694670707</v>
      </c>
      <c r="M60">
        <f>CORREL(C60:C558,E60:E558)</f>
        <v>0.76402973608344615</v>
      </c>
      <c r="N60">
        <f>LEN(A60)</f>
        <v>35</v>
      </c>
      <c r="O60" t="str">
        <f>IF(ISNUMBER(SEARCH("$",A60)), "Money", IF(ISNUMBER(SEARCH("Win",A60)), "Challenge",IF(ISNUMBER(SEARCH("Challenge",A60)), "Challenge",IF(ISNUMBER(SEARCH("Last To Leave",A60)),"Challenge",IF(ISNUMBER(SEARCH("Giving Away", A60)),"Giveaway",IF(ISNUMBER(SEARCH("Stranded",A60)),"Survival", IF(ISNUMBER(SEARCH("Survive",A60)), "Survival", IF(ISNUMBER(SEARCH("Days",A60)),"Endurance","Other"))))))))</f>
        <v>Other</v>
      </c>
    </row>
    <row r="61" spans="1:15" x14ac:dyDescent="0.3">
      <c r="A61" t="s">
        <v>74</v>
      </c>
      <c r="B61" s="1">
        <v>41483</v>
      </c>
      <c r="C61" s="2">
        <v>141434</v>
      </c>
      <c r="D61" s="3">
        <v>4922</v>
      </c>
      <c r="E61" s="3">
        <v>847</v>
      </c>
      <c r="F61">
        <f>YEAR(B61)</f>
        <v>2013</v>
      </c>
      <c r="G61" t="str">
        <f>TEXT(B61,"MMMM")</f>
        <v>July</v>
      </c>
      <c r="H61" t="str">
        <f>TEXT(B61, "DDDD")</f>
        <v>Sunday</v>
      </c>
      <c r="I61">
        <f>((D61+E61)/C61)*100</f>
        <v>4.0789343439342733</v>
      </c>
      <c r="J61">
        <f>(D61/C61)*1000</f>
        <v>34.800684418173851</v>
      </c>
      <c r="K61">
        <f>(E61/C61)*1000</f>
        <v>5.9886590211688846</v>
      </c>
      <c r="L61">
        <f>CORREL(C61:C559, D61:D559)</f>
        <v>0.95111794738066324</v>
      </c>
      <c r="M61">
        <f>CORREL(C61:C559,E61:E559)</f>
        <v>0.76380766289385726</v>
      </c>
      <c r="N61">
        <f>LEN(A61)</f>
        <v>46</v>
      </c>
      <c r="O61" t="str">
        <f>IF(ISNUMBER(SEARCH("$",A61)), "Money", IF(ISNUMBER(SEARCH("Win",A61)), "Challenge",IF(ISNUMBER(SEARCH("Challenge",A61)), "Challenge",IF(ISNUMBER(SEARCH("Last To Leave",A61)),"Challenge",IF(ISNUMBER(SEARCH("Giving Away", A61)),"Giveaway",IF(ISNUMBER(SEARCH("Stranded",A61)),"Survival", IF(ISNUMBER(SEARCH("Survive",A61)), "Survival", IF(ISNUMBER(SEARCH("Days",A61)),"Endurance","Other"))))))))</f>
        <v>Other</v>
      </c>
    </row>
    <row r="62" spans="1:15" x14ac:dyDescent="0.3">
      <c r="A62" t="s">
        <v>75</v>
      </c>
      <c r="B62" s="1">
        <v>41485</v>
      </c>
      <c r="C62" s="2">
        <v>138997</v>
      </c>
      <c r="D62" s="3">
        <v>4404</v>
      </c>
      <c r="E62" s="3">
        <v>623</v>
      </c>
      <c r="F62">
        <f>YEAR(B62)</f>
        <v>2013</v>
      </c>
      <c r="G62" t="str">
        <f>TEXT(B62,"MMMM")</f>
        <v>July</v>
      </c>
      <c r="H62" t="str">
        <f>TEXT(B62, "DDDD")</f>
        <v>Tuesday</v>
      </c>
      <c r="I62">
        <f>((D62+E62)/C62)*100</f>
        <v>3.6166248192407031</v>
      </c>
      <c r="J62">
        <f>(D62/C62)*1000</f>
        <v>31.684137067706494</v>
      </c>
      <c r="K62">
        <f>(E62/C62)*1000</f>
        <v>4.4821111247005332</v>
      </c>
      <c r="L62">
        <f>CORREL(C62:C560, D62:D560)</f>
        <v>0.95110993454718185</v>
      </c>
      <c r="M62">
        <f>CORREL(C62:C560,E62:E560)</f>
        <v>0.76341311595883221</v>
      </c>
      <c r="N62">
        <f>LEN(A62)</f>
        <v>58</v>
      </c>
      <c r="O62" t="str">
        <f>IF(ISNUMBER(SEARCH("$",A62)), "Money", IF(ISNUMBER(SEARCH("Win",A62)), "Challenge",IF(ISNUMBER(SEARCH("Challenge",A62)), "Challenge",IF(ISNUMBER(SEARCH("Last To Leave",A62)),"Challenge",IF(ISNUMBER(SEARCH("Giving Away", A62)),"Giveaway",IF(ISNUMBER(SEARCH("Stranded",A62)),"Survival", IF(ISNUMBER(SEARCH("Survive",A62)), "Survival", IF(ISNUMBER(SEARCH("Days",A62)),"Endurance","Other"))))))))</f>
        <v>Other</v>
      </c>
    </row>
    <row r="63" spans="1:15" x14ac:dyDescent="0.3">
      <c r="A63" t="s">
        <v>76</v>
      </c>
      <c r="B63" s="1">
        <v>41589</v>
      </c>
      <c r="C63" s="2">
        <v>135565</v>
      </c>
      <c r="D63" s="3">
        <v>3997</v>
      </c>
      <c r="E63" s="3">
        <v>395</v>
      </c>
      <c r="F63">
        <f>YEAR(B63)</f>
        <v>2013</v>
      </c>
      <c r="G63" t="str">
        <f>TEXT(B63,"MMMM")</f>
        <v>November</v>
      </c>
      <c r="H63" t="str">
        <f>TEXT(B63, "DDDD")</f>
        <v>Monday</v>
      </c>
      <c r="I63">
        <f>((D63+E63)/C63)*100</f>
        <v>3.2397742780216134</v>
      </c>
      <c r="J63">
        <f>(D63/C63)*1000</f>
        <v>29.484011359864272</v>
      </c>
      <c r="K63">
        <f>(E63/C63)*1000</f>
        <v>2.9137314203518607</v>
      </c>
      <c r="L63">
        <f>CORREL(C63:C561, D63:D561)</f>
        <v>0.95110246606026172</v>
      </c>
      <c r="M63">
        <f>CORREL(C63:C561,E63:E561)</f>
        <v>0.76337855916450903</v>
      </c>
      <c r="N63">
        <f>LEN(A63)</f>
        <v>31</v>
      </c>
      <c r="O63" t="str">
        <f>IF(ISNUMBER(SEARCH("$",A63)), "Money", IF(ISNUMBER(SEARCH("Win",A63)), "Challenge",IF(ISNUMBER(SEARCH("Challenge",A63)), "Challenge",IF(ISNUMBER(SEARCH("Last To Leave",A63)),"Challenge",IF(ISNUMBER(SEARCH("Giving Away", A63)),"Giveaway",IF(ISNUMBER(SEARCH("Stranded",A63)),"Survival", IF(ISNUMBER(SEARCH("Survive",A63)), "Survival", IF(ISNUMBER(SEARCH("Days",A63)),"Endurance","Other"))))))))</f>
        <v>Other</v>
      </c>
    </row>
    <row r="64" spans="1:15" x14ac:dyDescent="0.3">
      <c r="A64" t="s">
        <v>77</v>
      </c>
      <c r="B64" s="1">
        <v>41595</v>
      </c>
      <c r="C64" s="2">
        <v>128904</v>
      </c>
      <c r="D64" s="3">
        <v>3510</v>
      </c>
      <c r="E64" s="3">
        <v>350</v>
      </c>
      <c r="F64">
        <f>YEAR(B64)</f>
        <v>2013</v>
      </c>
      <c r="G64" t="str">
        <f>TEXT(B64,"MMMM")</f>
        <v>November</v>
      </c>
      <c r="H64" t="str">
        <f>TEXT(B64, "DDDD")</f>
        <v>Sunday</v>
      </c>
      <c r="I64">
        <f>((D64+E64)/C64)*100</f>
        <v>2.9944765096505925</v>
      </c>
      <c r="J64">
        <f>(D64/C64)*1000</f>
        <v>27.229566188791658</v>
      </c>
      <c r="K64">
        <f>(E64/C64)*1000</f>
        <v>2.7151989077142682</v>
      </c>
      <c r="L64">
        <f>CORREL(C64:C562, D64:D562)</f>
        <v>0.95108641368612745</v>
      </c>
      <c r="M64">
        <f>CORREL(C64:C562,E64:E562)</f>
        <v>0.76328337007899338</v>
      </c>
      <c r="N64">
        <f>LEN(A64)</f>
        <v>72</v>
      </c>
      <c r="O64" t="str">
        <f>IF(ISNUMBER(SEARCH("$",A64)), "Money", IF(ISNUMBER(SEARCH("Win",A64)), "Challenge",IF(ISNUMBER(SEARCH("Challenge",A64)), "Challenge",IF(ISNUMBER(SEARCH("Last To Leave",A64)),"Challenge",IF(ISNUMBER(SEARCH("Giving Away", A64)),"Giveaway",IF(ISNUMBER(SEARCH("Stranded",A64)),"Survival", IF(ISNUMBER(SEARCH("Survive",A64)), "Survival", IF(ISNUMBER(SEARCH("Days",A64)),"Endurance","Other"))))))))</f>
        <v>Other</v>
      </c>
    </row>
    <row r="65" spans="1:15" x14ac:dyDescent="0.3">
      <c r="A65" t="s">
        <v>78</v>
      </c>
      <c r="B65" s="1">
        <v>41613</v>
      </c>
      <c r="C65" s="2">
        <v>126884</v>
      </c>
      <c r="D65" s="3">
        <v>2671</v>
      </c>
      <c r="E65" s="3">
        <v>369</v>
      </c>
      <c r="F65">
        <f>YEAR(B65)</f>
        <v>2013</v>
      </c>
      <c r="G65" t="str">
        <f>TEXT(B65,"MMMM")</f>
        <v>December</v>
      </c>
      <c r="H65" t="str">
        <f>TEXT(B65, "DDDD")</f>
        <v>Thursday</v>
      </c>
      <c r="I65">
        <f>((D65+E65)/C65)*100</f>
        <v>2.3958891586015572</v>
      </c>
      <c r="J65">
        <f>(D65/C65)*1000</f>
        <v>21.050723495476181</v>
      </c>
      <c r="K65">
        <f>(E65/C65)*1000</f>
        <v>2.9081680905393901</v>
      </c>
      <c r="L65">
        <f>CORREL(C65:C563, D65:D563)</f>
        <v>0.95104467076652688</v>
      </c>
      <c r="M65">
        <f>CORREL(C65:C563,E65:E563)</f>
        <v>0.76298302392136008</v>
      </c>
      <c r="N65">
        <f>LEN(A65)</f>
        <v>43</v>
      </c>
      <c r="O65" t="str">
        <f>IF(ISNUMBER(SEARCH("$",A65)), "Money", IF(ISNUMBER(SEARCH("Win",A65)), "Challenge",IF(ISNUMBER(SEARCH("Challenge",A65)), "Challenge",IF(ISNUMBER(SEARCH("Last To Leave",A65)),"Challenge",IF(ISNUMBER(SEARCH("Giving Away", A65)),"Giveaway",IF(ISNUMBER(SEARCH("Stranded",A65)),"Survival", IF(ISNUMBER(SEARCH("Survive",A65)), "Survival", IF(ISNUMBER(SEARCH("Days",A65)),"Endurance","Other"))))))))</f>
        <v>Other</v>
      </c>
    </row>
    <row r="66" spans="1:15" x14ac:dyDescent="0.3">
      <c r="A66" t="s">
        <v>79</v>
      </c>
      <c r="B66" s="1">
        <v>41538</v>
      </c>
      <c r="C66" s="2">
        <v>125090</v>
      </c>
      <c r="D66" s="3">
        <v>4215</v>
      </c>
      <c r="E66" s="3">
        <v>780</v>
      </c>
      <c r="F66">
        <f>YEAR(B66)</f>
        <v>2013</v>
      </c>
      <c r="G66" t="str">
        <f>TEXT(B66,"MMMM")</f>
        <v>September</v>
      </c>
      <c r="H66" t="str">
        <f>TEXT(B66, "DDDD")</f>
        <v>Saturday</v>
      </c>
      <c r="I66">
        <f>((D66+E66)/C66)*100</f>
        <v>3.9931249500359742</v>
      </c>
      <c r="J66">
        <f>(D66/C66)*1000</f>
        <v>33.695739067871138</v>
      </c>
      <c r="K66">
        <f>(E66/C66)*1000</f>
        <v>6.2355104324886081</v>
      </c>
      <c r="L66">
        <f>CORREL(C66:C564, D66:D564)</f>
        <v>0.95103473587330345</v>
      </c>
      <c r="M66">
        <f>CORREL(C66:C564,E66:E564)</f>
        <v>0.76291807758909236</v>
      </c>
      <c r="N66">
        <f>LEN(A66)</f>
        <v>15</v>
      </c>
      <c r="O66" t="str">
        <f>IF(ISNUMBER(SEARCH("$",A66)), "Money", IF(ISNUMBER(SEARCH("Win",A66)), "Challenge",IF(ISNUMBER(SEARCH("Challenge",A66)), "Challenge",IF(ISNUMBER(SEARCH("Last To Leave",A66)),"Challenge",IF(ISNUMBER(SEARCH("Giving Away", A66)),"Giveaway",IF(ISNUMBER(SEARCH("Stranded",A66)),"Survival", IF(ISNUMBER(SEARCH("Survive",A66)), "Survival", IF(ISNUMBER(SEARCH("Days",A66)),"Endurance","Other"))))))))</f>
        <v>Other</v>
      </c>
    </row>
    <row r="67" spans="1:15" x14ac:dyDescent="0.3">
      <c r="A67" t="s">
        <v>80</v>
      </c>
      <c r="B67" s="1">
        <v>41578</v>
      </c>
      <c r="C67" s="2">
        <v>120682</v>
      </c>
      <c r="D67" s="3">
        <v>3134</v>
      </c>
      <c r="E67" s="3">
        <v>347</v>
      </c>
      <c r="F67">
        <f>YEAR(B67)</f>
        <v>2013</v>
      </c>
      <c r="G67" t="str">
        <f>TEXT(B67,"MMMM")</f>
        <v>October</v>
      </c>
      <c r="H67" t="str">
        <f>TEXT(B67, "DDDD")</f>
        <v>Thursday</v>
      </c>
      <c r="I67">
        <f>((D67+E67)/C67)*100</f>
        <v>2.8844400987719796</v>
      </c>
      <c r="J67">
        <f>(D67/C67)*1000</f>
        <v>25.969075752804894</v>
      </c>
      <c r="K67">
        <f>(E67/C67)*1000</f>
        <v>2.8753252349149001</v>
      </c>
      <c r="L67">
        <f>CORREL(C67:C565, D67:D565)</f>
        <v>0.95102440242806752</v>
      </c>
      <c r="M67">
        <f>CORREL(C67:C565,E67:E565)</f>
        <v>0.76283575670690362</v>
      </c>
      <c r="N67">
        <f>LEN(A67)</f>
        <v>59</v>
      </c>
      <c r="O67" t="str">
        <f>IF(ISNUMBER(SEARCH("$",A67)), "Money", IF(ISNUMBER(SEARCH("Win",A67)), "Challenge",IF(ISNUMBER(SEARCH("Challenge",A67)), "Challenge",IF(ISNUMBER(SEARCH("Last To Leave",A67)),"Challenge",IF(ISNUMBER(SEARCH("Giving Away", A67)),"Giveaway",IF(ISNUMBER(SEARCH("Stranded",A67)),"Survival", IF(ISNUMBER(SEARCH("Survive",A67)), "Survival", IF(ISNUMBER(SEARCH("Days",A67)),"Endurance","Other"))))))))</f>
        <v>Other</v>
      </c>
    </row>
    <row r="68" spans="1:15" x14ac:dyDescent="0.3">
      <c r="A68" t="s">
        <v>81</v>
      </c>
      <c r="B68" s="1">
        <v>41491</v>
      </c>
      <c r="C68" s="2">
        <v>117479</v>
      </c>
      <c r="D68" s="3">
        <v>3762</v>
      </c>
      <c r="E68" s="3">
        <v>559</v>
      </c>
      <c r="F68">
        <f>YEAR(B68)</f>
        <v>2013</v>
      </c>
      <c r="G68" t="str">
        <f>TEXT(B68,"MMMM")</f>
        <v>August</v>
      </c>
      <c r="H68" t="str">
        <f>TEXT(B68, "DDDD")</f>
        <v>Monday</v>
      </c>
      <c r="I68">
        <f>((D68+E68)/C68)*100</f>
        <v>3.6781041718094301</v>
      </c>
      <c r="J68">
        <f>(D68/C68)*1000</f>
        <v>32.022744490504685</v>
      </c>
      <c r="K68">
        <f>(E68/C68)*1000</f>
        <v>4.7582972275896118</v>
      </c>
      <c r="L68">
        <f>CORREL(C68:C566, D68:D566)</f>
        <v>0.95094181606641159</v>
      </c>
      <c r="M68">
        <f>CORREL(C68:C566,E68:E566)</f>
        <v>0.76236613258197439</v>
      </c>
      <c r="N68">
        <f>LEN(A68)</f>
        <v>23</v>
      </c>
      <c r="O68" t="str">
        <f>IF(ISNUMBER(SEARCH("$",A68)), "Money", IF(ISNUMBER(SEARCH("Win",A68)), "Challenge",IF(ISNUMBER(SEARCH("Challenge",A68)), "Challenge",IF(ISNUMBER(SEARCH("Last To Leave",A68)),"Challenge",IF(ISNUMBER(SEARCH("Giving Away", A68)),"Giveaway",IF(ISNUMBER(SEARCH("Stranded",A68)),"Survival", IF(ISNUMBER(SEARCH("Survive",A68)), "Survival", IF(ISNUMBER(SEARCH("Days",A68)),"Endurance","Other"))))))))</f>
        <v>Other</v>
      </c>
    </row>
    <row r="69" spans="1:15" x14ac:dyDescent="0.3">
      <c r="A69" t="s">
        <v>82</v>
      </c>
      <c r="B69" s="1">
        <v>41494</v>
      </c>
      <c r="C69" s="2">
        <v>115195</v>
      </c>
      <c r="D69" s="3">
        <v>3941</v>
      </c>
      <c r="E69" s="3">
        <v>689</v>
      </c>
      <c r="F69">
        <f>YEAR(B69)</f>
        <v>2013</v>
      </c>
      <c r="G69" t="str">
        <f>TEXT(B69,"MMMM")</f>
        <v>August</v>
      </c>
      <c r="H69" t="str">
        <f>TEXT(B69, "DDDD")</f>
        <v>Thursday</v>
      </c>
      <c r="I69">
        <f>((D69+E69)/C69)*100</f>
        <v>4.0192716697773339</v>
      </c>
      <c r="J69">
        <f>(D69/C69)*1000</f>
        <v>34.21155432093407</v>
      </c>
      <c r="K69">
        <f>(E69/C69)*1000</f>
        <v>5.9811623768392721</v>
      </c>
      <c r="L69">
        <f>CORREL(C69:C567, D69:D567)</f>
        <v>0.95092687100728124</v>
      </c>
      <c r="M69">
        <f>CORREL(C69:C567,E69:E567)</f>
        <v>0.762187364194993</v>
      </c>
      <c r="N69">
        <f>LEN(A69)</f>
        <v>48</v>
      </c>
      <c r="O69" t="str">
        <f>IF(ISNUMBER(SEARCH("$",A69)), "Money", IF(ISNUMBER(SEARCH("Win",A69)), "Challenge",IF(ISNUMBER(SEARCH("Challenge",A69)), "Challenge",IF(ISNUMBER(SEARCH("Last To Leave",A69)),"Challenge",IF(ISNUMBER(SEARCH("Giving Away", A69)),"Giveaway",IF(ISNUMBER(SEARCH("Stranded",A69)),"Survival", IF(ISNUMBER(SEARCH("Survive",A69)), "Survival", IF(ISNUMBER(SEARCH("Days",A69)),"Endurance","Other"))))))))</f>
        <v>Other</v>
      </c>
    </row>
    <row r="70" spans="1:15" x14ac:dyDescent="0.3">
      <c r="A70" t="s">
        <v>83</v>
      </c>
      <c r="B70" s="1">
        <v>41488</v>
      </c>
      <c r="C70" s="2">
        <v>114325</v>
      </c>
      <c r="D70" s="3">
        <v>4547</v>
      </c>
      <c r="E70" s="3">
        <v>916</v>
      </c>
      <c r="F70">
        <f>YEAR(B70)</f>
        <v>2013</v>
      </c>
      <c r="G70" t="str">
        <f>TEXT(B70,"MMMM")</f>
        <v>August</v>
      </c>
      <c r="H70" t="str">
        <f>TEXT(B70, "DDDD")</f>
        <v>Friday</v>
      </c>
      <c r="I70">
        <f>((D70+E70)/C70)*100</f>
        <v>4.7784823966761429</v>
      </c>
      <c r="J70">
        <f>(D70/C70)*1000</f>
        <v>39.772578176251912</v>
      </c>
      <c r="K70">
        <f>(E70/C70)*1000</f>
        <v>8.0122457905095139</v>
      </c>
      <c r="L70">
        <f>CORREL(C70:C568, D70:D568)</f>
        <v>0.950913110471866</v>
      </c>
      <c r="M70">
        <f>CORREL(C70:C568,E70:E568)</f>
        <v>0.76209957641240889</v>
      </c>
      <c r="N70">
        <f>LEN(A70)</f>
        <v>10</v>
      </c>
      <c r="O70" t="str">
        <f>IF(ISNUMBER(SEARCH("$",A70)), "Money", IF(ISNUMBER(SEARCH("Win",A70)), "Challenge",IF(ISNUMBER(SEARCH("Challenge",A70)), "Challenge",IF(ISNUMBER(SEARCH("Last To Leave",A70)),"Challenge",IF(ISNUMBER(SEARCH("Giving Away", A70)),"Giveaway",IF(ISNUMBER(SEARCH("Stranded",A70)),"Survival", IF(ISNUMBER(SEARCH("Survive",A70)), "Survival", IF(ISNUMBER(SEARCH("Days",A70)),"Endurance","Other"))))))))</f>
        <v>Other</v>
      </c>
    </row>
    <row r="71" spans="1:15" x14ac:dyDescent="0.3">
      <c r="A71" t="s">
        <v>84</v>
      </c>
      <c r="B71" s="1">
        <v>41491</v>
      </c>
      <c r="C71" s="2">
        <v>114145</v>
      </c>
      <c r="D71" s="3">
        <v>4355</v>
      </c>
      <c r="E71" s="3">
        <v>896</v>
      </c>
      <c r="F71">
        <f>YEAR(B71)</f>
        <v>2013</v>
      </c>
      <c r="G71" t="str">
        <f>TEXT(B71,"MMMM")</f>
        <v>August</v>
      </c>
      <c r="H71" t="str">
        <f>TEXT(B71, "DDDD")</f>
        <v>Monday</v>
      </c>
      <c r="I71">
        <f>((D71+E71)/C71)*100</f>
        <v>4.6002891059617159</v>
      </c>
      <c r="J71">
        <f>(D71/C71)*1000</f>
        <v>38.153226159709142</v>
      </c>
      <c r="K71">
        <f>(E71/C71)*1000</f>
        <v>7.8496648999080119</v>
      </c>
      <c r="L71">
        <f>CORREL(C71:C569, D71:D569)</f>
        <v>0.95089725564890526</v>
      </c>
      <c r="M71">
        <f>CORREL(C71:C569,E71:E569)</f>
        <v>0.76197063898708206</v>
      </c>
      <c r="N71">
        <f>LEN(A71)</f>
        <v>31</v>
      </c>
      <c r="O71" t="str">
        <f>IF(ISNUMBER(SEARCH("$",A71)), "Money", IF(ISNUMBER(SEARCH("Win",A71)), "Challenge",IF(ISNUMBER(SEARCH("Challenge",A71)), "Challenge",IF(ISNUMBER(SEARCH("Last To Leave",A71)),"Challenge",IF(ISNUMBER(SEARCH("Giving Away", A71)),"Giveaway",IF(ISNUMBER(SEARCH("Stranded",A71)),"Survival", IF(ISNUMBER(SEARCH("Survive",A71)), "Survival", IF(ISNUMBER(SEARCH("Days",A71)),"Endurance","Other"))))))))</f>
        <v>Other</v>
      </c>
    </row>
    <row r="72" spans="1:15" x14ac:dyDescent="0.3">
      <c r="A72" t="s">
        <v>85</v>
      </c>
      <c r="B72" s="1">
        <v>41594</v>
      </c>
      <c r="C72" s="2">
        <v>101958</v>
      </c>
      <c r="D72" s="3">
        <v>3473</v>
      </c>
      <c r="E72" s="3">
        <v>749</v>
      </c>
      <c r="F72">
        <f>YEAR(B72)</f>
        <v>2013</v>
      </c>
      <c r="G72" t="str">
        <f>TEXT(B72,"MMMM")</f>
        <v>November</v>
      </c>
      <c r="H72" t="str">
        <f>TEXT(B72, "DDDD")</f>
        <v>Saturday</v>
      </c>
      <c r="I72">
        <f>((D72+E72)/C72)*100</f>
        <v>4.140920771297985</v>
      </c>
      <c r="J72">
        <f>(D72/C72)*1000</f>
        <v>34.063045567782815</v>
      </c>
      <c r="K72">
        <f>(E72/C72)*1000</f>
        <v>7.3461621451970416</v>
      </c>
      <c r="L72">
        <f>CORREL(C72:C570, D72:D570)</f>
        <v>0.95088312059859026</v>
      </c>
      <c r="M72">
        <f>CORREL(C72:C570,E72:E570)</f>
        <v>0.76189246063365945</v>
      </c>
      <c r="N72">
        <f>LEN(A72)</f>
        <v>20</v>
      </c>
      <c r="O72" t="str">
        <f>IF(ISNUMBER(SEARCH("$",A72)), "Money", IF(ISNUMBER(SEARCH("Win",A72)), "Challenge",IF(ISNUMBER(SEARCH("Challenge",A72)), "Challenge",IF(ISNUMBER(SEARCH("Last To Leave",A72)),"Challenge",IF(ISNUMBER(SEARCH("Giving Away", A72)),"Giveaway",IF(ISNUMBER(SEARCH("Stranded",A72)),"Survival", IF(ISNUMBER(SEARCH("Survive",A72)), "Survival", IF(ISNUMBER(SEARCH("Days",A72)),"Endurance","Other"))))))))</f>
        <v>Other</v>
      </c>
    </row>
    <row r="73" spans="1:15" x14ac:dyDescent="0.3">
      <c r="A73" t="s">
        <v>86</v>
      </c>
      <c r="B73" s="1">
        <v>41635</v>
      </c>
      <c r="C73" s="2">
        <v>101234</v>
      </c>
      <c r="D73" s="3">
        <v>2179</v>
      </c>
      <c r="E73" s="3">
        <v>424</v>
      </c>
      <c r="F73">
        <f>YEAR(B73)</f>
        <v>2013</v>
      </c>
      <c r="G73" t="str">
        <f>TEXT(B73,"MMMM")</f>
        <v>December</v>
      </c>
      <c r="H73" t="str">
        <f>TEXT(B73, "DDDD")</f>
        <v>Friday</v>
      </c>
      <c r="I73">
        <f>((D73+E73)/C73)*100</f>
        <v>2.5712705217614635</v>
      </c>
      <c r="J73">
        <f>(D73/C73)*1000</f>
        <v>21.524389039255585</v>
      </c>
      <c r="K73">
        <f>(E73/C73)*1000</f>
        <v>4.1883161783590488</v>
      </c>
      <c r="L73">
        <f>CORREL(C73:C571, D73:D571)</f>
        <v>0.95086757934079402</v>
      </c>
      <c r="M73">
        <f>CORREL(C73:C571,E73:E571)</f>
        <v>0.76161839988414182</v>
      </c>
      <c r="N73">
        <f>LEN(A73)</f>
        <v>23</v>
      </c>
      <c r="O73" t="str">
        <f>IF(ISNUMBER(SEARCH("$",A73)), "Money", IF(ISNUMBER(SEARCH("Win",A73)), "Challenge",IF(ISNUMBER(SEARCH("Challenge",A73)), "Challenge",IF(ISNUMBER(SEARCH("Last To Leave",A73)),"Challenge",IF(ISNUMBER(SEARCH("Giving Away", A73)),"Giveaway",IF(ISNUMBER(SEARCH("Stranded",A73)),"Survival", IF(ISNUMBER(SEARCH("Survive",A73)), "Survival", IF(ISNUMBER(SEARCH("Days",A73)),"Endurance","Other"))))))))</f>
        <v>Other</v>
      </c>
    </row>
    <row r="74" spans="1:15" x14ac:dyDescent="0.3">
      <c r="A74" t="s">
        <v>87</v>
      </c>
      <c r="B74" s="1">
        <v>41639</v>
      </c>
      <c r="C74" s="2">
        <v>96931</v>
      </c>
      <c r="D74" s="3">
        <v>2132</v>
      </c>
      <c r="E74" s="3">
        <v>347</v>
      </c>
      <c r="F74">
        <f>YEAR(B74)</f>
        <v>2013</v>
      </c>
      <c r="G74" t="str">
        <f>TEXT(B74,"MMMM")</f>
        <v>December</v>
      </c>
      <c r="H74" t="str">
        <f>TEXT(B74, "DDDD")</f>
        <v>Tuesday</v>
      </c>
      <c r="I74">
        <f>((D74+E74)/C74)*100</f>
        <v>2.5574893480929735</v>
      </c>
      <c r="J74">
        <f>(D74/C74)*1000</f>
        <v>21.99502739061807</v>
      </c>
      <c r="K74">
        <f>(E74/C74)*1000</f>
        <v>3.5798660903116648</v>
      </c>
      <c r="L74">
        <f>CORREL(C74:C572, D74:D572)</f>
        <v>0.95084340949112889</v>
      </c>
      <c r="M74">
        <f>CORREL(C74:C572,E74:E572)</f>
        <v>0.76144593792958148</v>
      </c>
      <c r="N74">
        <f>LEN(A74)</f>
        <v>24</v>
      </c>
      <c r="O74" t="str">
        <f>IF(ISNUMBER(SEARCH("$",A74)), "Money", IF(ISNUMBER(SEARCH("Win",A74)), "Challenge",IF(ISNUMBER(SEARCH("Challenge",A74)), "Challenge",IF(ISNUMBER(SEARCH("Last To Leave",A74)),"Challenge",IF(ISNUMBER(SEARCH("Giving Away", A74)),"Giveaway",IF(ISNUMBER(SEARCH("Stranded",A74)),"Survival", IF(ISNUMBER(SEARCH("Survive",A74)), "Survival", IF(ISNUMBER(SEARCH("Days",A74)),"Endurance","Other"))))))))</f>
        <v>Other</v>
      </c>
    </row>
    <row r="75" spans="1:15" x14ac:dyDescent="0.3">
      <c r="A75" t="s">
        <v>88</v>
      </c>
      <c r="B75" s="1">
        <v>41605</v>
      </c>
      <c r="C75" s="2">
        <v>92680</v>
      </c>
      <c r="D75" s="3">
        <v>2491</v>
      </c>
      <c r="E75" s="3">
        <v>523</v>
      </c>
      <c r="F75">
        <f>YEAR(B75)</f>
        <v>2013</v>
      </c>
      <c r="G75" t="str">
        <f>TEXT(B75,"MMMM")</f>
        <v>November</v>
      </c>
      <c r="H75" t="str">
        <f>TEXT(B75, "DDDD")</f>
        <v>Wednesday</v>
      </c>
      <c r="I75">
        <f>((D75+E75)/C75)*100</f>
        <v>3.2520500647388864</v>
      </c>
      <c r="J75">
        <f>(D75/C75)*1000</f>
        <v>26.877427708243417</v>
      </c>
      <c r="K75">
        <f>(E75/C75)*1000</f>
        <v>5.6430729391454468</v>
      </c>
      <c r="L75">
        <f>CORREL(C75:C573, D75:D573)</f>
        <v>0.95521977379909373</v>
      </c>
      <c r="M75">
        <f>CORREL(C75:C573,E75:E573)</f>
        <v>0.76142431038953162</v>
      </c>
      <c r="N75">
        <f>LEN(A75)</f>
        <v>25</v>
      </c>
      <c r="O75" t="str">
        <f>IF(ISNUMBER(SEARCH("$",A75)), "Money", IF(ISNUMBER(SEARCH("Win",A75)), "Challenge",IF(ISNUMBER(SEARCH("Challenge",A75)), "Challenge",IF(ISNUMBER(SEARCH("Last To Leave",A75)),"Challenge",IF(ISNUMBER(SEARCH("Giving Away", A75)),"Giveaway",IF(ISNUMBER(SEARCH("Stranded",A75)),"Survival", IF(ISNUMBER(SEARCH("Survive",A75)), "Survival", IF(ISNUMBER(SEARCH("Days",A75)),"Endurance","Other"))))))))</f>
        <v>Other</v>
      </c>
    </row>
    <row r="76" spans="1:15" x14ac:dyDescent="0.3">
      <c r="A76" t="s">
        <v>89</v>
      </c>
      <c r="B76" s="1">
        <v>41613</v>
      </c>
      <c r="C76" s="2">
        <v>89747</v>
      </c>
      <c r="D76" s="3">
        <v>2296</v>
      </c>
      <c r="E76" s="3">
        <v>356</v>
      </c>
      <c r="F76">
        <f>YEAR(B76)</f>
        <v>2013</v>
      </c>
      <c r="G76" t="str">
        <f>TEXT(B76,"MMMM")</f>
        <v>December</v>
      </c>
      <c r="H76" t="str">
        <f>TEXT(B76, "DDDD")</f>
        <v>Thursday</v>
      </c>
      <c r="I76">
        <f>((D76+E76)/C76)*100</f>
        <v>2.9549734252955528</v>
      </c>
      <c r="J76">
        <f>(D76/C76)*1000</f>
        <v>25.583027844941892</v>
      </c>
      <c r="K76">
        <f>(E76/C76)*1000</f>
        <v>3.9667064080136378</v>
      </c>
      <c r="L76">
        <f>CORREL(C76:C574, D76:D574)</f>
        <v>0.95817615056053274</v>
      </c>
      <c r="M76">
        <f>CORREL(C76:C574,E76:E574)</f>
        <v>0.75822541090172446</v>
      </c>
      <c r="N76">
        <f>LEN(A76)</f>
        <v>34</v>
      </c>
      <c r="O76" t="str">
        <f>IF(ISNUMBER(SEARCH("$",A76)), "Money", IF(ISNUMBER(SEARCH("Win",A76)), "Challenge",IF(ISNUMBER(SEARCH("Challenge",A76)), "Challenge",IF(ISNUMBER(SEARCH("Last To Leave",A76)),"Challenge",IF(ISNUMBER(SEARCH("Giving Away", A76)),"Giveaway",IF(ISNUMBER(SEARCH("Stranded",A76)),"Survival", IF(ISNUMBER(SEARCH("Survive",A76)), "Survival", IF(ISNUMBER(SEARCH("Days",A76)),"Endurance","Other"))))))))</f>
        <v>Other</v>
      </c>
    </row>
    <row r="77" spans="1:15" x14ac:dyDescent="0.3">
      <c r="A77" t="s">
        <v>90</v>
      </c>
      <c r="B77" s="1">
        <v>41613</v>
      </c>
      <c r="C77" s="2">
        <v>88576</v>
      </c>
      <c r="D77" s="3">
        <v>2585</v>
      </c>
      <c r="E77" s="3">
        <v>522</v>
      </c>
      <c r="F77">
        <f>YEAR(B77)</f>
        <v>2013</v>
      </c>
      <c r="G77" t="str">
        <f>TEXT(B77,"MMMM")</f>
        <v>December</v>
      </c>
      <c r="H77" t="str">
        <f>TEXT(B77, "DDDD")</f>
        <v>Thursday</v>
      </c>
      <c r="I77">
        <f>((D77+E77)/C77)*100</f>
        <v>3.5077221820809248</v>
      </c>
      <c r="J77">
        <f>(D77/C77)*1000</f>
        <v>29.183977601156069</v>
      </c>
      <c r="K77">
        <f>(E77/C77)*1000</f>
        <v>5.8932442196531793</v>
      </c>
      <c r="L77">
        <f>CORREL(C77:C575, D77:D575)</f>
        <v>0.95497914456994737</v>
      </c>
      <c r="M77">
        <f>CORREL(C77:C575,E77:E575)</f>
        <v>0.75302145939055809</v>
      </c>
      <c r="N77">
        <f>LEN(A77)</f>
        <v>48</v>
      </c>
      <c r="O77" t="str">
        <f>IF(ISNUMBER(SEARCH("$",A77)), "Money", IF(ISNUMBER(SEARCH("Win",A77)), "Challenge",IF(ISNUMBER(SEARCH("Challenge",A77)), "Challenge",IF(ISNUMBER(SEARCH("Last To Leave",A77)),"Challenge",IF(ISNUMBER(SEARCH("Giving Away", A77)),"Giveaway",IF(ISNUMBER(SEARCH("Stranded",A77)),"Survival", IF(ISNUMBER(SEARCH("Survive",A77)), "Survival", IF(ISNUMBER(SEARCH("Days",A77)),"Endurance","Other"))))))))</f>
        <v>Other</v>
      </c>
    </row>
    <row r="78" spans="1:15" x14ac:dyDescent="0.3">
      <c r="A78" t="s">
        <v>91</v>
      </c>
      <c r="B78" s="1">
        <v>41625</v>
      </c>
      <c r="C78" s="2">
        <v>85899</v>
      </c>
      <c r="D78" s="3">
        <v>2128</v>
      </c>
      <c r="E78" s="3">
        <v>313</v>
      </c>
      <c r="F78">
        <f>YEAR(B78)</f>
        <v>2013</v>
      </c>
      <c r="G78" t="str">
        <f>TEXT(B78,"MMMM")</f>
        <v>December</v>
      </c>
      <c r="H78" t="str">
        <f>TEXT(B78, "DDDD")</f>
        <v>Tuesday</v>
      </c>
      <c r="I78">
        <f>((D78+E78)/C78)*100</f>
        <v>2.8417094494697261</v>
      </c>
      <c r="J78">
        <f>(D78/C78)*1000</f>
        <v>24.773280247732803</v>
      </c>
      <c r="K78">
        <f>(E78/C78)*1000</f>
        <v>3.6438142469644585</v>
      </c>
      <c r="L78">
        <f>CORREL(C78:C576, D78:D576)</f>
        <v>0.95591272553947471</v>
      </c>
      <c r="M78">
        <f>CORREL(C78:C576,E78:E576)</f>
        <v>0.76814945768074216</v>
      </c>
      <c r="N78">
        <f>LEN(A78)</f>
        <v>50</v>
      </c>
      <c r="O78" t="str">
        <f>IF(ISNUMBER(SEARCH("$",A78)), "Money", IF(ISNUMBER(SEARCH("Win",A78)), "Challenge",IF(ISNUMBER(SEARCH("Challenge",A78)), "Challenge",IF(ISNUMBER(SEARCH("Last To Leave",A78)),"Challenge",IF(ISNUMBER(SEARCH("Giving Away", A78)),"Giveaway",IF(ISNUMBER(SEARCH("Stranded",A78)),"Survival", IF(ISNUMBER(SEARCH("Survive",A78)), "Survival", IF(ISNUMBER(SEARCH("Days",A78)),"Endurance","Other"))))))))</f>
        <v>Other</v>
      </c>
    </row>
    <row r="79" spans="1:15" x14ac:dyDescent="0.3">
      <c r="A79" t="s">
        <v>92</v>
      </c>
      <c r="B79" s="1">
        <v>41632</v>
      </c>
      <c r="C79" s="2">
        <v>84890</v>
      </c>
      <c r="D79" s="3">
        <v>2116</v>
      </c>
      <c r="E79" s="3">
        <v>383</v>
      </c>
      <c r="F79">
        <f>YEAR(B79)</f>
        <v>2013</v>
      </c>
      <c r="G79" t="str">
        <f>TEXT(B79,"MMMM")</f>
        <v>December</v>
      </c>
      <c r="H79" t="str">
        <f>TEXT(B79, "DDDD")</f>
        <v>Tuesday</v>
      </c>
      <c r="I79">
        <f>((D79+E79)/C79)*100</f>
        <v>2.9438096359995289</v>
      </c>
      <c r="J79">
        <f>(D79/C79)*1000</f>
        <v>24.926375309223701</v>
      </c>
      <c r="K79">
        <f>(E79/C79)*1000</f>
        <v>4.5117210507715866</v>
      </c>
      <c r="L79">
        <f>CORREL(C79:C577, D79:D577)</f>
        <v>0.95534186184619418</v>
      </c>
      <c r="M79">
        <f>CORREL(C79:C577,E79:E577)</f>
        <v>0.75820854878900057</v>
      </c>
      <c r="N79">
        <f>LEN(A79)</f>
        <v>40</v>
      </c>
      <c r="O79" t="str">
        <f>IF(ISNUMBER(SEARCH("$",A79)), "Money", IF(ISNUMBER(SEARCH("Win",A79)), "Challenge",IF(ISNUMBER(SEARCH("Challenge",A79)), "Challenge",IF(ISNUMBER(SEARCH("Last To Leave",A79)),"Challenge",IF(ISNUMBER(SEARCH("Giving Away", A79)),"Giveaway",IF(ISNUMBER(SEARCH("Stranded",A79)),"Survival", IF(ISNUMBER(SEARCH("Survive",A79)), "Survival", IF(ISNUMBER(SEARCH("Days",A79)),"Endurance","Other"))))))))</f>
        <v>Other</v>
      </c>
    </row>
    <row r="80" spans="1:15" x14ac:dyDescent="0.3">
      <c r="A80" t="s">
        <v>93</v>
      </c>
      <c r="B80" s="1">
        <v>41626</v>
      </c>
      <c r="C80" s="2">
        <v>84746</v>
      </c>
      <c r="D80" s="3">
        <v>2154</v>
      </c>
      <c r="E80" s="3">
        <v>379</v>
      </c>
      <c r="F80">
        <f>YEAR(B80)</f>
        <v>2013</v>
      </c>
      <c r="G80" t="str">
        <f>TEXT(B80,"MMMM")</f>
        <v>December</v>
      </c>
      <c r="H80" t="str">
        <f>TEXT(B80, "DDDD")</f>
        <v>Wednesday</v>
      </c>
      <c r="I80">
        <f>((D80+E80)/C80)*100</f>
        <v>2.9889316309914333</v>
      </c>
      <c r="J80">
        <f>(D80/C80)*1000</f>
        <v>25.417128832039271</v>
      </c>
      <c r="K80">
        <f>(E80/C80)*1000</f>
        <v>4.4721874778750621</v>
      </c>
      <c r="L80">
        <f>CORREL(C80:C578, D80:D578)</f>
        <v>0.95813603755502808</v>
      </c>
      <c r="M80">
        <f>CORREL(C80:C578,E80:E578)</f>
        <v>0.76701702841457331</v>
      </c>
      <c r="N80">
        <f>LEN(A80)</f>
        <v>40</v>
      </c>
      <c r="O80" t="str">
        <f>IF(ISNUMBER(SEARCH("$",A80)), "Money", IF(ISNUMBER(SEARCH("Win",A80)), "Challenge",IF(ISNUMBER(SEARCH("Challenge",A80)), "Challenge",IF(ISNUMBER(SEARCH("Last To Leave",A80)),"Challenge",IF(ISNUMBER(SEARCH("Giving Away", A80)),"Giveaway",IF(ISNUMBER(SEARCH("Stranded",A80)),"Survival", IF(ISNUMBER(SEARCH("Survive",A80)), "Survival", IF(ISNUMBER(SEARCH("Days",A80)),"Endurance","Other"))))))))</f>
        <v>Other</v>
      </c>
    </row>
    <row r="81" spans="1:15" x14ac:dyDescent="0.3">
      <c r="A81" t="s">
        <v>94</v>
      </c>
      <c r="B81" s="1">
        <v>41626</v>
      </c>
      <c r="C81" s="2">
        <v>84501</v>
      </c>
      <c r="D81" s="3">
        <v>2160</v>
      </c>
      <c r="E81" s="3">
        <v>364</v>
      </c>
      <c r="F81">
        <f>YEAR(B81)</f>
        <v>2013</v>
      </c>
      <c r="G81" t="str">
        <f>TEXT(B81,"MMMM")</f>
        <v>December</v>
      </c>
      <c r="H81" t="str">
        <f>TEXT(B81, "DDDD")</f>
        <v>Wednesday</v>
      </c>
      <c r="I81">
        <f>((D81+E81)/C81)*100</f>
        <v>2.9869469000366857</v>
      </c>
      <c r="J81">
        <f>(D81/C81)*1000</f>
        <v>25.561827670678454</v>
      </c>
      <c r="K81">
        <f>(E81/C81)*1000</f>
        <v>4.3076413296884057</v>
      </c>
      <c r="L81">
        <f>CORREL(C81:C579, D81:D579)</f>
        <v>0.96006798629268564</v>
      </c>
      <c r="M81">
        <f>CORREL(C81:C579,E81:E579)</f>
        <v>0.76803402100149776</v>
      </c>
      <c r="N81">
        <f>LEN(A81)</f>
        <v>31</v>
      </c>
      <c r="O81" t="str">
        <f>IF(ISNUMBER(SEARCH("$",A81)), "Money", IF(ISNUMBER(SEARCH("Win",A81)), "Challenge",IF(ISNUMBER(SEARCH("Challenge",A81)), "Challenge",IF(ISNUMBER(SEARCH("Last To Leave",A81)),"Challenge",IF(ISNUMBER(SEARCH("Giving Away", A81)),"Giveaway",IF(ISNUMBER(SEARCH("Stranded",A81)),"Survival", IF(ISNUMBER(SEARCH("Survive",A81)), "Survival", IF(ISNUMBER(SEARCH("Days",A81)),"Endurance","Other"))))))))</f>
        <v>Other</v>
      </c>
    </row>
    <row r="82" spans="1:15" x14ac:dyDescent="0.3">
      <c r="A82" t="s">
        <v>95</v>
      </c>
      <c r="B82" s="1">
        <v>41637</v>
      </c>
      <c r="C82" s="2">
        <v>84474</v>
      </c>
      <c r="D82" s="3">
        <v>2082</v>
      </c>
      <c r="E82" s="3">
        <v>335</v>
      </c>
      <c r="F82">
        <f>YEAR(B82)</f>
        <v>2013</v>
      </c>
      <c r="G82" t="str">
        <f>TEXT(B82,"MMMM")</f>
        <v>December</v>
      </c>
      <c r="H82" t="str">
        <f>TEXT(B82, "DDDD")</f>
        <v>Sunday</v>
      </c>
      <c r="I82">
        <f>((D82+E82)/C82)*100</f>
        <v>2.8612354097118637</v>
      </c>
      <c r="J82">
        <f>(D82/C82)*1000</f>
        <v>24.646636835002486</v>
      </c>
      <c r="K82">
        <f>(E82/C82)*1000</f>
        <v>3.9657172621161538</v>
      </c>
      <c r="L82">
        <f>CORREL(C82:C580, D82:D580)</f>
        <v>0.96067136182057844</v>
      </c>
      <c r="M82">
        <f>CORREL(C82:C580,E82:E580)</f>
        <v>0.77760676073995527</v>
      </c>
      <c r="N82">
        <f>LEN(A82)</f>
        <v>39</v>
      </c>
      <c r="O82" t="str">
        <f>IF(ISNUMBER(SEARCH("$",A82)), "Money", IF(ISNUMBER(SEARCH("Win",A82)), "Challenge",IF(ISNUMBER(SEARCH("Challenge",A82)), "Challenge",IF(ISNUMBER(SEARCH("Last To Leave",A82)),"Challenge",IF(ISNUMBER(SEARCH("Giving Away", A82)),"Giveaway",IF(ISNUMBER(SEARCH("Stranded",A82)),"Survival", IF(ISNUMBER(SEARCH("Survive",A82)), "Survival", IF(ISNUMBER(SEARCH("Days",A82)),"Endurance","Other"))))))))</f>
        <v>Other</v>
      </c>
    </row>
    <row r="83" spans="1:15" x14ac:dyDescent="0.3">
      <c r="A83" t="s">
        <v>96</v>
      </c>
      <c r="B83" s="1">
        <v>41622</v>
      </c>
      <c r="C83" s="2">
        <v>83948</v>
      </c>
      <c r="D83" s="3">
        <v>2201</v>
      </c>
      <c r="E83" s="3">
        <v>335</v>
      </c>
      <c r="F83">
        <f>YEAR(B83)</f>
        <v>2013</v>
      </c>
      <c r="G83" t="str">
        <f>TEXT(B83,"MMMM")</f>
        <v>December</v>
      </c>
      <c r="H83" t="str">
        <f>TEXT(B83, "DDDD")</f>
        <v>Saturday</v>
      </c>
      <c r="I83">
        <f>((D83+E83)/C83)*100</f>
        <v>3.0209177109639302</v>
      </c>
      <c r="J83">
        <f>(D83/C83)*1000</f>
        <v>26.218611521418019</v>
      </c>
      <c r="K83">
        <f>(E83/C83)*1000</f>
        <v>3.9905655882212794</v>
      </c>
      <c r="L83">
        <f>CORREL(C83:C581, D83:D581)</f>
        <v>0.96213473272264971</v>
      </c>
      <c r="M83">
        <f>CORREL(C83:C581,E83:E581)</f>
        <v>0.77929677801976704</v>
      </c>
      <c r="N83">
        <f>LEN(A83)</f>
        <v>46</v>
      </c>
      <c r="O83" t="str">
        <f>IF(ISNUMBER(SEARCH("$",A83)), "Money", IF(ISNUMBER(SEARCH("Win",A83)), "Challenge",IF(ISNUMBER(SEARCH("Challenge",A83)), "Challenge",IF(ISNUMBER(SEARCH("Last To Leave",A83)),"Challenge",IF(ISNUMBER(SEARCH("Giving Away", A83)),"Giveaway",IF(ISNUMBER(SEARCH("Stranded",A83)),"Survival", IF(ISNUMBER(SEARCH("Survive",A83)), "Survival", IF(ISNUMBER(SEARCH("Days",A83)),"Endurance","Other"))))))))</f>
        <v>Other</v>
      </c>
    </row>
    <row r="84" spans="1:15" x14ac:dyDescent="0.3">
      <c r="A84" t="s">
        <v>97</v>
      </c>
      <c r="B84" s="1">
        <v>41637</v>
      </c>
      <c r="C84" s="2">
        <v>71314</v>
      </c>
      <c r="D84" s="3">
        <v>2160</v>
      </c>
      <c r="E84" s="3">
        <v>460</v>
      </c>
      <c r="F84">
        <f>YEAR(B84)</f>
        <v>2013</v>
      </c>
      <c r="G84" t="str">
        <f>TEXT(B84,"MMMM")</f>
        <v>December</v>
      </c>
      <c r="H84" t="str">
        <f>TEXT(B84, "DDDD")</f>
        <v>Sunday</v>
      </c>
      <c r="I84">
        <f>((D84+E84)/C84)*100</f>
        <v>3.6738929242504978</v>
      </c>
      <c r="J84">
        <f>(D84/C84)*1000</f>
        <v>30.288582886950671</v>
      </c>
      <c r="K84">
        <f>(E84/C84)*1000</f>
        <v>6.4503463555543092</v>
      </c>
      <c r="L84">
        <f>CORREL(C84:C582, D84:D582)</f>
        <v>0.96357047513710126</v>
      </c>
      <c r="M84">
        <f>CORREL(C84:C582,E84:E582)</f>
        <v>0.78444383079854318</v>
      </c>
      <c r="N84">
        <f>LEN(A84)</f>
        <v>44</v>
      </c>
      <c r="O84" t="str">
        <f>IF(ISNUMBER(SEARCH("$",A84)), "Money", IF(ISNUMBER(SEARCH("Win",A84)), "Challenge",IF(ISNUMBER(SEARCH("Challenge",A84)), "Challenge",IF(ISNUMBER(SEARCH("Last To Leave",A84)),"Challenge",IF(ISNUMBER(SEARCH("Giving Away", A84)),"Giveaway",IF(ISNUMBER(SEARCH("Stranded",A84)),"Survival", IF(ISNUMBER(SEARCH("Survive",A84)), "Survival", IF(ISNUMBER(SEARCH("Days",A84)),"Endurance","Other"))))))))</f>
        <v>Other</v>
      </c>
    </row>
    <row r="85" spans="1:15" x14ac:dyDescent="0.3">
      <c r="A85" t="s">
        <v>98</v>
      </c>
      <c r="B85" s="1">
        <v>41637</v>
      </c>
      <c r="C85" s="2">
        <v>67956</v>
      </c>
      <c r="D85" s="3">
        <v>2434</v>
      </c>
      <c r="E85" s="3">
        <v>764</v>
      </c>
      <c r="F85">
        <f>YEAR(B85)</f>
        <v>2013</v>
      </c>
      <c r="G85" t="str">
        <f>TEXT(B85,"MMMM")</f>
        <v>December</v>
      </c>
      <c r="H85" t="str">
        <f>TEXT(B85, "DDDD")</f>
        <v>Sunday</v>
      </c>
      <c r="I85">
        <f>((D85+E85)/C85)*100</f>
        <v>4.7059862263817767</v>
      </c>
      <c r="J85">
        <f>(D85/C85)*1000</f>
        <v>35.817293542880684</v>
      </c>
      <c r="K85">
        <f>(E85/C85)*1000</f>
        <v>11.242568720937077</v>
      </c>
      <c r="L85">
        <f>CORREL(C85:C583, D85:D583)</f>
        <v>0.9641128286715932</v>
      </c>
      <c r="M85">
        <f>CORREL(C85:C583,E85:E583)</f>
        <v>0.78421912533540128</v>
      </c>
      <c r="N85">
        <f>LEN(A85)</f>
        <v>33</v>
      </c>
      <c r="O85" t="str">
        <f>IF(ISNUMBER(SEARCH("$",A85)), "Money", IF(ISNUMBER(SEARCH("Win",A85)), "Challenge",IF(ISNUMBER(SEARCH("Challenge",A85)), "Challenge",IF(ISNUMBER(SEARCH("Last To Leave",A85)),"Challenge",IF(ISNUMBER(SEARCH("Giving Away", A85)),"Giveaway",IF(ISNUMBER(SEARCH("Stranded",A85)),"Survival", IF(ISNUMBER(SEARCH("Survive",A85)), "Survival", IF(ISNUMBER(SEARCH("Days",A85)),"Endurance","Other"))))))))</f>
        <v>Other</v>
      </c>
    </row>
    <row r="86" spans="1:15" x14ac:dyDescent="0.3">
      <c r="A86" t="s">
        <v>99</v>
      </c>
      <c r="B86" s="1">
        <v>41637</v>
      </c>
      <c r="C86" s="2">
        <v>67800</v>
      </c>
      <c r="D86" s="3">
        <v>2399</v>
      </c>
      <c r="E86" s="3">
        <v>726</v>
      </c>
      <c r="F86">
        <f>YEAR(B86)</f>
        <v>2013</v>
      </c>
      <c r="G86" t="str">
        <f>TEXT(B86,"MMMM")</f>
        <v>December</v>
      </c>
      <c r="H86" t="str">
        <f>TEXT(B86, "DDDD")</f>
        <v>Sunday</v>
      </c>
      <c r="I86">
        <f>((D86+E86)/C86)*100</f>
        <v>4.609144542772861</v>
      </c>
      <c r="J86">
        <f>(D86/C86)*1000</f>
        <v>35.383480825958699</v>
      </c>
      <c r="K86">
        <f>(E86/C86)*1000</f>
        <v>10.707964601769913</v>
      </c>
      <c r="L86">
        <f>CORREL(C86:C584, D86:D584)</f>
        <v>0.96522220060240582</v>
      </c>
      <c r="M86">
        <f>CORREL(C86:C584,E86:E584)</f>
        <v>0.78869648910989043</v>
      </c>
      <c r="N86">
        <f>LEN(A86)</f>
        <v>48</v>
      </c>
      <c r="O86" t="str">
        <f>IF(ISNUMBER(SEARCH("$",A86)), "Money", IF(ISNUMBER(SEARCH("Win",A86)), "Challenge",IF(ISNUMBER(SEARCH("Challenge",A86)), "Challenge",IF(ISNUMBER(SEARCH("Last To Leave",A86)),"Challenge",IF(ISNUMBER(SEARCH("Giving Away", A86)),"Giveaway",IF(ISNUMBER(SEARCH("Stranded",A86)),"Survival", IF(ISNUMBER(SEARCH("Survive",A86)), "Survival", IF(ISNUMBER(SEARCH("Days",A86)),"Endurance","Other"))))))))</f>
        <v>Other</v>
      </c>
    </row>
    <row r="87" spans="1:15" x14ac:dyDescent="0.3">
      <c r="A87" t="s">
        <v>100</v>
      </c>
      <c r="B87" s="1">
        <v>41637</v>
      </c>
      <c r="C87" s="2">
        <v>67793</v>
      </c>
      <c r="D87" s="3">
        <v>2116</v>
      </c>
      <c r="E87" s="3">
        <v>568</v>
      </c>
      <c r="F87">
        <f>YEAR(B87)</f>
        <v>2013</v>
      </c>
      <c r="G87" t="str">
        <f>TEXT(B87,"MMMM")</f>
        <v>December</v>
      </c>
      <c r="H87" t="str">
        <f>TEXT(B87, "DDDD")</f>
        <v>Sunday</v>
      </c>
      <c r="I87">
        <f>((D87+E87)/C87)*100</f>
        <v>3.9591108226513065</v>
      </c>
      <c r="J87">
        <f>(D87/C87)*1000</f>
        <v>31.212662074255455</v>
      </c>
      <c r="K87">
        <f>(E87/C87)*1000</f>
        <v>8.3784461522576077</v>
      </c>
      <c r="L87">
        <f>CORREL(C87:C585, D87:D585)</f>
        <v>0.96576691146619864</v>
      </c>
      <c r="M87">
        <f>CORREL(C87:C585,E87:E585)</f>
        <v>0.78879219502504549</v>
      </c>
      <c r="N87">
        <f>LEN(A87)</f>
        <v>42</v>
      </c>
      <c r="O87" t="str">
        <f>IF(ISNUMBER(SEARCH("$",A87)), "Money", IF(ISNUMBER(SEARCH("Win",A87)), "Challenge",IF(ISNUMBER(SEARCH("Challenge",A87)), "Challenge",IF(ISNUMBER(SEARCH("Last To Leave",A87)),"Challenge",IF(ISNUMBER(SEARCH("Giving Away", A87)),"Giveaway",IF(ISNUMBER(SEARCH("Stranded",A87)),"Survival", IF(ISNUMBER(SEARCH("Survive",A87)), "Survival", IF(ISNUMBER(SEARCH("Days",A87)),"Endurance","Other"))))))))</f>
        <v>Other</v>
      </c>
    </row>
    <row r="88" spans="1:15" x14ac:dyDescent="0.3">
      <c r="A88" t="s">
        <v>101</v>
      </c>
      <c r="B88" s="1">
        <v>41742</v>
      </c>
      <c r="C88" s="2">
        <v>17653957</v>
      </c>
      <c r="D88" s="3">
        <v>1273800</v>
      </c>
      <c r="E88" s="3">
        <v>88780</v>
      </c>
      <c r="F88">
        <f>YEAR(B88)</f>
        <v>2014</v>
      </c>
      <c r="G88" t="str">
        <f>TEXT(B88,"MMMM")</f>
        <v>April</v>
      </c>
      <c r="H88" t="str">
        <f>TEXT(B88, "DDDD")</f>
        <v>Sunday</v>
      </c>
      <c r="I88">
        <f>((D88+E88)/C88)*100</f>
        <v>7.7182696207994619</v>
      </c>
      <c r="J88">
        <f>(D88/C88)*1000</f>
        <v>72.153795321921322</v>
      </c>
      <c r="K88">
        <f>(E88/C88)*1000</f>
        <v>5.0289008860733038</v>
      </c>
      <c r="L88">
        <f>CORREL(C88:C586, D88:D586)</f>
        <v>0.96670754614204923</v>
      </c>
      <c r="M88">
        <f>CORREL(C88:C586,E88:E586)</f>
        <v>0.79118449456687567</v>
      </c>
      <c r="N88">
        <f>LEN(A88)</f>
        <v>7</v>
      </c>
      <c r="O88" t="str">
        <f>IF(ISNUMBER(SEARCH("$",A88)), "Money", IF(ISNUMBER(SEARCH("Win",A88)), "Challenge",IF(ISNUMBER(SEARCH("Challenge",A88)), "Challenge",IF(ISNUMBER(SEARCH("Last To Leave",A88)),"Challenge",IF(ISNUMBER(SEARCH("Giving Away", A88)),"Giveaway",IF(ISNUMBER(SEARCH("Stranded",A88)),"Survival", IF(ISNUMBER(SEARCH("Survive",A88)), "Survival", IF(ISNUMBER(SEARCH("Days",A88)),"Endurance","Other"))))))))</f>
        <v>Other</v>
      </c>
    </row>
    <row r="89" spans="1:15" x14ac:dyDescent="0.3">
      <c r="A89" t="s">
        <v>102</v>
      </c>
      <c r="B89" s="1">
        <v>41671</v>
      </c>
      <c r="C89" s="2">
        <v>3073055</v>
      </c>
      <c r="D89" s="3">
        <v>224337</v>
      </c>
      <c r="E89" s="3">
        <v>14478</v>
      </c>
      <c r="F89">
        <f>YEAR(B89)</f>
        <v>2014</v>
      </c>
      <c r="G89" t="str">
        <f>TEXT(B89,"MMMM")</f>
        <v>February</v>
      </c>
      <c r="H89" t="str">
        <f>TEXT(B89, "DDDD")</f>
        <v>Saturday</v>
      </c>
      <c r="I89">
        <f>((D89+E89)/C89)*100</f>
        <v>7.7712569413824362</v>
      </c>
      <c r="J89">
        <f>(D89/C89)*1000</f>
        <v>73.001296755183347</v>
      </c>
      <c r="K89">
        <f>(E89/C89)*1000</f>
        <v>4.7112726586409943</v>
      </c>
      <c r="L89">
        <f>CORREL(C89:C587, D89:D587)</f>
        <v>0.96711186439179209</v>
      </c>
      <c r="M89">
        <f>CORREL(C89:C587,E89:E587)</f>
        <v>0.80015330129104922</v>
      </c>
      <c r="N89">
        <f>LEN(A89)</f>
        <v>21</v>
      </c>
      <c r="O89" t="str">
        <f>IF(ISNUMBER(SEARCH("$",A89)), "Money", IF(ISNUMBER(SEARCH("Win",A89)), "Challenge",IF(ISNUMBER(SEARCH("Challenge",A89)), "Challenge",IF(ISNUMBER(SEARCH("Last To Leave",A89)),"Challenge",IF(ISNUMBER(SEARCH("Giving Away", A89)),"Giveaway",IF(ISNUMBER(SEARCH("Stranded",A89)),"Survival", IF(ISNUMBER(SEARCH("Survive",A89)), "Survival", IF(ISNUMBER(SEARCH("Days",A89)),"Endurance","Other"))))))))</f>
        <v>Other</v>
      </c>
    </row>
    <row r="90" spans="1:15" x14ac:dyDescent="0.3">
      <c r="A90" t="s">
        <v>103</v>
      </c>
      <c r="B90" s="1">
        <v>41650</v>
      </c>
      <c r="C90" s="2">
        <v>2162473</v>
      </c>
      <c r="D90" s="3">
        <v>30670</v>
      </c>
      <c r="E90" s="3">
        <v>2196</v>
      </c>
      <c r="F90">
        <f>YEAR(B90)</f>
        <v>2014</v>
      </c>
      <c r="G90" t="str">
        <f>TEXT(B90,"MMMM")</f>
        <v>January</v>
      </c>
      <c r="H90" t="str">
        <f>TEXT(B90, "DDDD")</f>
        <v>Saturday</v>
      </c>
      <c r="I90">
        <f>((D90+E90)/C90)*100</f>
        <v>1.5198340048638757</v>
      </c>
      <c r="J90">
        <f>(D90/C90)*1000</f>
        <v>14.182836040033795</v>
      </c>
      <c r="K90">
        <f>(E90/C90)*1000</f>
        <v>1.0155040086049629</v>
      </c>
      <c r="L90">
        <f>CORREL(C90:C588, D90:D588)</f>
        <v>0.96768489142854541</v>
      </c>
      <c r="M90">
        <f>CORREL(C90:C588,E90:E588)</f>
        <v>0.80351806326252373</v>
      </c>
      <c r="N90">
        <f>LEN(A90)</f>
        <v>54</v>
      </c>
      <c r="O90" t="str">
        <f>IF(ISNUMBER(SEARCH("$",A90)), "Money", IF(ISNUMBER(SEARCH("Win",A90)), "Challenge",IF(ISNUMBER(SEARCH("Challenge",A90)), "Challenge",IF(ISNUMBER(SEARCH("Last To Leave",A90)),"Challenge",IF(ISNUMBER(SEARCH("Giving Away", A90)),"Giveaway",IF(ISNUMBER(SEARCH("Stranded",A90)),"Survival", IF(ISNUMBER(SEARCH("Survive",A90)), "Survival", IF(ISNUMBER(SEARCH("Days",A90)),"Endurance","Other"))))))))</f>
        <v>Other</v>
      </c>
    </row>
    <row r="91" spans="1:15" x14ac:dyDescent="0.3">
      <c r="A91" t="s">
        <v>104</v>
      </c>
      <c r="B91" s="1">
        <v>41733</v>
      </c>
      <c r="C91" s="2">
        <v>1000554</v>
      </c>
      <c r="D91" s="3">
        <v>19237</v>
      </c>
      <c r="E91" s="3">
        <v>1872</v>
      </c>
      <c r="F91">
        <f>YEAR(B91)</f>
        <v>2014</v>
      </c>
      <c r="G91" t="str">
        <f>TEXT(B91,"MMMM")</f>
        <v>April</v>
      </c>
      <c r="H91" t="str">
        <f>TEXT(B91, "DDDD")</f>
        <v>Friday</v>
      </c>
      <c r="I91">
        <f>((D91+E91)/C91)*100</f>
        <v>2.1097312089102638</v>
      </c>
      <c r="J91">
        <f>(D91/C91)*1000</f>
        <v>19.226348602874008</v>
      </c>
      <c r="K91">
        <f>(E91/C91)*1000</f>
        <v>1.8709634862286295</v>
      </c>
      <c r="L91">
        <f>CORREL(C91:C589, D91:D589)</f>
        <v>0.96840114593638738</v>
      </c>
      <c r="M91">
        <f>CORREL(C91:C589,E91:E589)</f>
        <v>0.8066572128798305</v>
      </c>
      <c r="N91">
        <f>LEN(A91)</f>
        <v>23</v>
      </c>
      <c r="O91" t="str">
        <f>IF(ISNUMBER(SEARCH("$",A91)), "Money", IF(ISNUMBER(SEARCH("Win",A91)), "Challenge",IF(ISNUMBER(SEARCH("Challenge",A91)), "Challenge",IF(ISNUMBER(SEARCH("Last To Leave",A91)),"Challenge",IF(ISNUMBER(SEARCH("Giving Away", A91)),"Giveaway",IF(ISNUMBER(SEARCH("Stranded",A91)),"Survival", IF(ISNUMBER(SEARCH("Survive",A91)), "Survival", IF(ISNUMBER(SEARCH("Days",A91)),"Endurance","Other"))))))))</f>
        <v>Other</v>
      </c>
    </row>
    <row r="92" spans="1:15" x14ac:dyDescent="0.3">
      <c r="A92" t="s">
        <v>105</v>
      </c>
      <c r="B92" s="1">
        <v>41774</v>
      </c>
      <c r="C92" s="2">
        <v>893951</v>
      </c>
      <c r="D92" s="3">
        <v>8155</v>
      </c>
      <c r="E92" s="3">
        <v>638</v>
      </c>
      <c r="F92">
        <f>YEAR(B92)</f>
        <v>2014</v>
      </c>
      <c r="G92" t="str">
        <f>TEXT(B92,"MMMM")</f>
        <v>May</v>
      </c>
      <c r="H92" t="str">
        <f>TEXT(B92, "DDDD")</f>
        <v>Thursday</v>
      </c>
      <c r="I92">
        <f>((D92+E92)/C92)*100</f>
        <v>0.98361095854247038</v>
      </c>
      <c r="J92">
        <f>(D92/C92)*1000</f>
        <v>9.122423935987543</v>
      </c>
      <c r="K92">
        <f>(E92/C92)*1000</f>
        <v>0.71368564943716151</v>
      </c>
      <c r="L92">
        <f>CORREL(C92:C590, D92:D590)</f>
        <v>0.96904143788186559</v>
      </c>
      <c r="M92">
        <f>CORREL(C92:C590,E92:E590)</f>
        <v>0.80475591589685369</v>
      </c>
      <c r="N92">
        <f>LEN(A92)</f>
        <v>50</v>
      </c>
      <c r="O92" t="str">
        <f>IF(ISNUMBER(SEARCH("$",A92)), "Money", IF(ISNUMBER(SEARCH("Win",A92)), "Challenge",IF(ISNUMBER(SEARCH("Challenge",A92)), "Challenge",IF(ISNUMBER(SEARCH("Last To Leave",A92)),"Challenge",IF(ISNUMBER(SEARCH("Giving Away", A92)),"Giveaway",IF(ISNUMBER(SEARCH("Stranded",A92)),"Survival", IF(ISNUMBER(SEARCH("Survive",A92)), "Survival", IF(ISNUMBER(SEARCH("Days",A92)),"Endurance","Other"))))))))</f>
        <v>Other</v>
      </c>
    </row>
    <row r="93" spans="1:15" x14ac:dyDescent="0.3">
      <c r="A93" t="s">
        <v>106</v>
      </c>
      <c r="B93" s="1">
        <v>41692</v>
      </c>
      <c r="C93" s="2">
        <v>638731</v>
      </c>
      <c r="D93" s="3">
        <v>19943</v>
      </c>
      <c r="E93" s="3">
        <v>2267</v>
      </c>
      <c r="F93">
        <f>YEAR(B93)</f>
        <v>2014</v>
      </c>
      <c r="G93" t="str">
        <f>TEXT(B93,"MMMM")</f>
        <v>February</v>
      </c>
      <c r="H93" t="str">
        <f>TEXT(B93, "DDDD")</f>
        <v>Saturday</v>
      </c>
      <c r="I93">
        <f>((D93+E93)/C93)*100</f>
        <v>3.4772071498017163</v>
      </c>
      <c r="J93">
        <f>(D93/C93)*1000</f>
        <v>31.222846550425768</v>
      </c>
      <c r="K93">
        <f>(E93/C93)*1000</f>
        <v>3.5492249475913962</v>
      </c>
      <c r="L93">
        <f>CORREL(C93:C591, D93:D591)</f>
        <v>0.96967043190570212</v>
      </c>
      <c r="M93">
        <f>CORREL(C93:C591,E93:E591)</f>
        <v>0.80380433762190961</v>
      </c>
      <c r="N93">
        <f>LEN(A93)</f>
        <v>27</v>
      </c>
      <c r="O93" t="str">
        <f>IF(ISNUMBER(SEARCH("$",A93)), "Money", IF(ISNUMBER(SEARCH("Win",A93)), "Challenge",IF(ISNUMBER(SEARCH("Challenge",A93)), "Challenge",IF(ISNUMBER(SEARCH("Last To Leave",A93)),"Challenge",IF(ISNUMBER(SEARCH("Giving Away", A93)),"Giveaway",IF(ISNUMBER(SEARCH("Stranded",A93)),"Survival", IF(ISNUMBER(SEARCH("Survive",A93)), "Survival", IF(ISNUMBER(SEARCH("Days",A93)),"Endurance","Other"))))))))</f>
        <v>Other</v>
      </c>
    </row>
    <row r="94" spans="1:15" x14ac:dyDescent="0.3">
      <c r="A94" t="s">
        <v>107</v>
      </c>
      <c r="B94" s="1">
        <v>41749</v>
      </c>
      <c r="C94" s="2">
        <v>602225</v>
      </c>
      <c r="D94" s="3">
        <v>10794</v>
      </c>
      <c r="E94" s="3">
        <v>455</v>
      </c>
      <c r="F94">
        <f>YEAR(B94)</f>
        <v>2014</v>
      </c>
      <c r="G94" t="str">
        <f>TEXT(B94,"MMMM")</f>
        <v>April</v>
      </c>
      <c r="H94" t="str">
        <f>TEXT(B94, "DDDD")</f>
        <v>Sunday</v>
      </c>
      <c r="I94">
        <f>((D94+E94)/C94)*100</f>
        <v>1.8679065133463406</v>
      </c>
      <c r="J94">
        <f>(D94/C94)*1000</f>
        <v>17.923533563037072</v>
      </c>
      <c r="K94">
        <f>(E94/C94)*1000</f>
        <v>0.75553157042633567</v>
      </c>
      <c r="L94">
        <f>CORREL(C94:C592, D94:D592)</f>
        <v>0.9702294901481846</v>
      </c>
      <c r="M94">
        <f>CORREL(C94:C592,E94:E592)</f>
        <v>0.8042539149594472</v>
      </c>
      <c r="N94">
        <f>LEN(A94)</f>
        <v>11</v>
      </c>
      <c r="O94" t="str">
        <f>IF(ISNUMBER(SEARCH("$",A94)), "Money", IF(ISNUMBER(SEARCH("Win",A94)), "Challenge",IF(ISNUMBER(SEARCH("Challenge",A94)), "Challenge",IF(ISNUMBER(SEARCH("Last To Leave",A94)),"Challenge",IF(ISNUMBER(SEARCH("Giving Away", A94)),"Giveaway",IF(ISNUMBER(SEARCH("Stranded",A94)),"Survival", IF(ISNUMBER(SEARCH("Survive",A94)), "Survival", IF(ISNUMBER(SEARCH("Days",A94)),"Endurance","Other"))))))))</f>
        <v>Other</v>
      </c>
    </row>
    <row r="95" spans="1:15" x14ac:dyDescent="0.3">
      <c r="A95" t="s">
        <v>108</v>
      </c>
      <c r="B95" s="1">
        <v>41696</v>
      </c>
      <c r="C95" s="2">
        <v>557797</v>
      </c>
      <c r="D95" s="3">
        <v>9496</v>
      </c>
      <c r="E95" s="3">
        <v>1901</v>
      </c>
      <c r="F95">
        <f>YEAR(B95)</f>
        <v>2014</v>
      </c>
      <c r="G95" t="str">
        <f>TEXT(B95,"MMMM")</f>
        <v>February</v>
      </c>
      <c r="H95" t="str">
        <f>TEXT(B95, "DDDD")</f>
        <v>Wednesday</v>
      </c>
      <c r="I95">
        <f>((D95+E95)/C95)*100</f>
        <v>2.0432164389553904</v>
      </c>
      <c r="J95">
        <f>(D95/C95)*1000</f>
        <v>17.024114507607607</v>
      </c>
      <c r="K95">
        <f>(E95/C95)*1000</f>
        <v>3.4080498819462997</v>
      </c>
      <c r="L95">
        <f>CORREL(C95:C593, D95:D593)</f>
        <v>0.97012453990591618</v>
      </c>
      <c r="M95">
        <f>CORREL(C95:C593,E95:E593)</f>
        <v>0.80690224036924973</v>
      </c>
      <c r="N95">
        <f>LEN(A95)</f>
        <v>40</v>
      </c>
      <c r="O95" t="str">
        <f>IF(ISNUMBER(SEARCH("$",A95)), "Money", IF(ISNUMBER(SEARCH("Win",A95)), "Challenge",IF(ISNUMBER(SEARCH("Challenge",A95)), "Challenge",IF(ISNUMBER(SEARCH("Last To Leave",A95)),"Challenge",IF(ISNUMBER(SEARCH("Giving Away", A95)),"Giveaway",IF(ISNUMBER(SEARCH("Stranded",A95)),"Survival", IF(ISNUMBER(SEARCH("Survive",A95)), "Survival", IF(ISNUMBER(SEARCH("Days",A95)),"Endurance","Other"))))))))</f>
        <v>Other</v>
      </c>
    </row>
    <row r="96" spans="1:15" x14ac:dyDescent="0.3">
      <c r="A96" t="s">
        <v>109</v>
      </c>
      <c r="B96" s="1">
        <v>41729</v>
      </c>
      <c r="C96" s="2">
        <v>528482</v>
      </c>
      <c r="D96" s="3">
        <v>10573</v>
      </c>
      <c r="E96" s="3">
        <v>1079</v>
      </c>
      <c r="F96">
        <f>YEAR(B96)</f>
        <v>2014</v>
      </c>
      <c r="G96" t="str">
        <f>TEXT(B96,"MMMM")</f>
        <v>March</v>
      </c>
      <c r="H96" t="str">
        <f>TEXT(B96, "DDDD")</f>
        <v>Monday</v>
      </c>
      <c r="I96">
        <f>((D96+E96)/C96)*100</f>
        <v>2.2048054616808139</v>
      </c>
      <c r="J96">
        <f>(D96/C96)*1000</f>
        <v>20.00635783243327</v>
      </c>
      <c r="K96">
        <f>(E96/C96)*1000</f>
        <v>2.0416967843748699</v>
      </c>
      <c r="L96">
        <f>CORREL(C96:C594, D96:D594)</f>
        <v>0.96880542690771676</v>
      </c>
      <c r="M96">
        <f>CORREL(C96:C594,E96:E594)</f>
        <v>0.81033292705383619</v>
      </c>
      <c r="N96">
        <f>LEN(A96)</f>
        <v>21</v>
      </c>
      <c r="O96" t="str">
        <f>IF(ISNUMBER(SEARCH("$",A96)), "Money", IF(ISNUMBER(SEARCH("Win",A96)), "Challenge",IF(ISNUMBER(SEARCH("Challenge",A96)), "Challenge",IF(ISNUMBER(SEARCH("Last To Leave",A96)),"Challenge",IF(ISNUMBER(SEARCH("Giving Away", A96)),"Giveaway",IF(ISNUMBER(SEARCH("Stranded",A96)),"Survival", IF(ISNUMBER(SEARCH("Survive",A96)), "Survival", IF(ISNUMBER(SEARCH("Days",A96)),"Endurance","Other"))))))))</f>
        <v>Other</v>
      </c>
    </row>
    <row r="97" spans="1:15" x14ac:dyDescent="0.3">
      <c r="A97" t="s">
        <v>110</v>
      </c>
      <c r="B97" s="1">
        <v>41659</v>
      </c>
      <c r="C97" s="2">
        <v>524301</v>
      </c>
      <c r="D97" s="3">
        <v>7785</v>
      </c>
      <c r="E97" s="3">
        <v>792</v>
      </c>
      <c r="F97">
        <f>YEAR(B97)</f>
        <v>2014</v>
      </c>
      <c r="G97" t="str">
        <f>TEXT(B97,"MMMM")</f>
        <v>January</v>
      </c>
      <c r="H97" t="str">
        <f>TEXT(B97, "DDDD")</f>
        <v>Monday</v>
      </c>
      <c r="I97">
        <f>((D97+E97)/C97)*100</f>
        <v>1.6358923595415611</v>
      </c>
      <c r="J97">
        <f>(D97/C97)*1000</f>
        <v>14.848340933929174</v>
      </c>
      <c r="K97">
        <f>(E97/C97)*1000</f>
        <v>1.5105826614864362</v>
      </c>
      <c r="L97">
        <f>CORREL(C97:C595, D97:D595)</f>
        <v>0.96909609469815794</v>
      </c>
      <c r="M97">
        <f>CORREL(C97:C595,E97:E595)</f>
        <v>0.81358674173043621</v>
      </c>
      <c r="N97">
        <f>LEN(A97)</f>
        <v>19</v>
      </c>
      <c r="O97" t="str">
        <f>IF(ISNUMBER(SEARCH("$",A97)), "Money", IF(ISNUMBER(SEARCH("Win",A97)), "Challenge",IF(ISNUMBER(SEARCH("Challenge",A97)), "Challenge",IF(ISNUMBER(SEARCH("Last To Leave",A97)),"Challenge",IF(ISNUMBER(SEARCH("Giving Away", A97)),"Giveaway",IF(ISNUMBER(SEARCH("Stranded",A97)),"Survival", IF(ISNUMBER(SEARCH("Survive",A97)), "Survival", IF(ISNUMBER(SEARCH("Days",A97)),"Endurance","Other"))))))))</f>
        <v>Other</v>
      </c>
    </row>
    <row r="98" spans="1:15" x14ac:dyDescent="0.3">
      <c r="A98" t="s">
        <v>111</v>
      </c>
      <c r="B98" s="1">
        <v>41659</v>
      </c>
      <c r="C98" s="2">
        <v>504047</v>
      </c>
      <c r="D98" s="3">
        <v>15202</v>
      </c>
      <c r="E98" s="3">
        <v>1739</v>
      </c>
      <c r="F98">
        <f>YEAR(B98)</f>
        <v>2014</v>
      </c>
      <c r="G98" t="str">
        <f>TEXT(B98,"MMMM")</f>
        <v>January</v>
      </c>
      <c r="H98" t="str">
        <f>TEXT(B98, "DDDD")</f>
        <v>Monday</v>
      </c>
      <c r="I98">
        <f>((D98+E98)/C98)*100</f>
        <v>3.3609960975861379</v>
      </c>
      <c r="J98">
        <f>(D98/C98)*1000</f>
        <v>30.159885883657676</v>
      </c>
      <c r="K98">
        <f>(E98/C98)*1000</f>
        <v>3.4500750922037033</v>
      </c>
      <c r="L98">
        <f>CORREL(C98:C596, D98:D596)</f>
        <v>0.96956373626340131</v>
      </c>
      <c r="M98">
        <f>CORREL(C98:C596,E98:E596)</f>
        <v>0.81645269303699697</v>
      </c>
      <c r="N98">
        <f>LEN(A98)</f>
        <v>20</v>
      </c>
      <c r="O98" t="str">
        <f>IF(ISNUMBER(SEARCH("$",A98)), "Money", IF(ISNUMBER(SEARCH("Win",A98)), "Challenge",IF(ISNUMBER(SEARCH("Challenge",A98)), "Challenge",IF(ISNUMBER(SEARCH("Last To Leave",A98)),"Challenge",IF(ISNUMBER(SEARCH("Giving Away", A98)),"Giveaway",IF(ISNUMBER(SEARCH("Stranded",A98)),"Survival", IF(ISNUMBER(SEARCH("Survive",A98)), "Survival", IF(ISNUMBER(SEARCH("Days",A98)),"Endurance","Other"))))))))</f>
        <v>Other</v>
      </c>
    </row>
    <row r="99" spans="1:15" x14ac:dyDescent="0.3">
      <c r="A99" t="s">
        <v>112</v>
      </c>
      <c r="B99" s="1">
        <v>41783</v>
      </c>
      <c r="C99" s="2">
        <v>470661</v>
      </c>
      <c r="D99" s="3">
        <v>6226</v>
      </c>
      <c r="E99" s="3">
        <v>480</v>
      </c>
      <c r="F99">
        <f>YEAR(B99)</f>
        <v>2014</v>
      </c>
      <c r="G99" t="str">
        <f>TEXT(B99,"MMMM")</f>
        <v>May</v>
      </c>
      <c r="H99" t="str">
        <f>TEXT(B99, "DDDD")</f>
        <v>Saturday</v>
      </c>
      <c r="I99">
        <f>((D99+E99)/C99)*100</f>
        <v>1.4248046895748745</v>
      </c>
      <c r="J99">
        <f>(D99/C99)*1000</f>
        <v>13.228204588865447</v>
      </c>
      <c r="K99">
        <f>(E99/C99)*1000</f>
        <v>1.0198423068832982</v>
      </c>
      <c r="L99">
        <f>CORREL(C99:C597, D99:D597)</f>
        <v>0.64955394096784258</v>
      </c>
      <c r="M99">
        <f>CORREL(C99:C597,E99:E597)</f>
        <v>0.79374897742601835</v>
      </c>
      <c r="N99">
        <f>LEN(A99)</f>
        <v>38</v>
      </c>
      <c r="O99" t="str">
        <f>IF(ISNUMBER(SEARCH("$",A99)), "Money", IF(ISNUMBER(SEARCH("Win",A99)), "Challenge",IF(ISNUMBER(SEARCH("Challenge",A99)), "Challenge",IF(ISNUMBER(SEARCH("Last To Leave",A99)),"Challenge",IF(ISNUMBER(SEARCH("Giving Away", A99)),"Giveaway",IF(ISNUMBER(SEARCH("Stranded",A99)),"Survival", IF(ISNUMBER(SEARCH("Survive",A99)), "Survival", IF(ISNUMBER(SEARCH("Days",A99)),"Endurance","Other"))))))))</f>
        <v>Other</v>
      </c>
    </row>
    <row r="100" spans="1:15" x14ac:dyDescent="0.3">
      <c r="A100" t="s">
        <v>113</v>
      </c>
      <c r="B100" s="1">
        <v>41945</v>
      </c>
      <c r="C100" s="2">
        <v>386888</v>
      </c>
      <c r="D100" s="3">
        <v>5011</v>
      </c>
      <c r="E100" s="3">
        <v>302</v>
      </c>
      <c r="F100">
        <f>YEAR(B100)</f>
        <v>2014</v>
      </c>
      <c r="G100" t="str">
        <f>TEXT(B100,"MMMM")</f>
        <v>November</v>
      </c>
      <c r="H100" t="str">
        <f>TEXT(B100, "DDDD")</f>
        <v>Sunday</v>
      </c>
      <c r="I100">
        <f>((D100+E100)/C100)*100</f>
        <v>1.3732656479394554</v>
      </c>
      <c r="J100">
        <f>(D100/C100)*1000</f>
        <v>12.952068815781312</v>
      </c>
      <c r="K100">
        <f>(E100/C100)*1000</f>
        <v>0.78058766361324206</v>
      </c>
      <c r="L100">
        <f>CORREL(C100:C598, D100:D598)</f>
        <v>0.65243520458928317</v>
      </c>
      <c r="M100">
        <f>CORREL(C100:C598,E100:E598)</f>
        <v>0.78019047555687782</v>
      </c>
      <c r="N100">
        <f>LEN(A100)</f>
        <v>43</v>
      </c>
      <c r="O100" t="str">
        <f>IF(ISNUMBER(SEARCH("$",A100)), "Money", IF(ISNUMBER(SEARCH("Win",A100)), "Challenge",IF(ISNUMBER(SEARCH("Challenge",A100)), "Challenge",IF(ISNUMBER(SEARCH("Last To Leave",A100)),"Challenge",IF(ISNUMBER(SEARCH("Giving Away", A100)),"Giveaway",IF(ISNUMBER(SEARCH("Stranded",A100)),"Survival", IF(ISNUMBER(SEARCH("Survive",A100)), "Survival", IF(ISNUMBER(SEARCH("Days",A100)),"Endurance","Other"))))))))</f>
        <v>Other</v>
      </c>
    </row>
    <row r="101" spans="1:15" x14ac:dyDescent="0.3">
      <c r="A101" t="s">
        <v>114</v>
      </c>
      <c r="B101" s="1">
        <v>41831</v>
      </c>
      <c r="C101" s="2">
        <v>363851</v>
      </c>
      <c r="D101" s="3">
        <v>3128</v>
      </c>
      <c r="E101" s="3">
        <v>242</v>
      </c>
      <c r="F101">
        <f>YEAR(B101)</f>
        <v>2014</v>
      </c>
      <c r="G101" t="str">
        <f>TEXT(B101,"MMMM")</f>
        <v>July</v>
      </c>
      <c r="H101" t="str">
        <f>TEXT(B101, "DDDD")</f>
        <v>Friday</v>
      </c>
      <c r="I101">
        <f>((D101+E101)/C101)*100</f>
        <v>0.92620330849715948</v>
      </c>
      <c r="J101">
        <f>(D101/C101)*1000</f>
        <v>8.596925664626454</v>
      </c>
      <c r="K101">
        <f>(E101/C101)*1000</f>
        <v>0.66510742034514125</v>
      </c>
      <c r="L101">
        <f>CORREL(C101:C599, D101:D599)</f>
        <v>0.65318028692584795</v>
      </c>
      <c r="M101">
        <f>CORREL(C101:C599,E101:E599)</f>
        <v>0.78159143766433903</v>
      </c>
      <c r="N101">
        <f>LEN(A101)</f>
        <v>42</v>
      </c>
      <c r="O101" t="str">
        <f>IF(ISNUMBER(SEARCH("$",A101)), "Money", IF(ISNUMBER(SEARCH("Win",A101)), "Challenge",IF(ISNUMBER(SEARCH("Challenge",A101)), "Challenge",IF(ISNUMBER(SEARCH("Last To Leave",A101)),"Challenge",IF(ISNUMBER(SEARCH("Giving Away", A101)),"Giveaway",IF(ISNUMBER(SEARCH("Stranded",A101)),"Survival", IF(ISNUMBER(SEARCH("Survive",A101)), "Survival", IF(ISNUMBER(SEARCH("Days",A101)),"Endurance","Other"))))))))</f>
        <v>Other</v>
      </c>
    </row>
    <row r="102" spans="1:15" x14ac:dyDescent="0.3">
      <c r="A102">
        <v>1500</v>
      </c>
      <c r="B102" s="1">
        <v>41859</v>
      </c>
      <c r="C102" s="2">
        <v>351079</v>
      </c>
      <c r="D102" s="3">
        <v>9597</v>
      </c>
      <c r="E102" s="3">
        <v>1708</v>
      </c>
      <c r="F102">
        <f>YEAR(B102)</f>
        <v>2014</v>
      </c>
      <c r="G102" t="str">
        <f>TEXT(B102,"MMMM")</f>
        <v>August</v>
      </c>
      <c r="H102" t="str">
        <f>TEXT(B102, "DDDD")</f>
        <v>Friday</v>
      </c>
      <c r="I102">
        <f>((D102+E102)/C102)*100</f>
        <v>3.2200729750284123</v>
      </c>
      <c r="J102">
        <f>(D102/C102)*1000</f>
        <v>27.335727856123551</v>
      </c>
      <c r="K102">
        <f>(E102/C102)*1000</f>
        <v>4.8650018941605735</v>
      </c>
      <c r="L102">
        <f>CORREL(C102:C600, D102:D600)</f>
        <v>0.6546623081960381</v>
      </c>
      <c r="M102">
        <f>CORREL(C102:C600,E102:E600)</f>
        <v>0.78247826164798184</v>
      </c>
      <c r="N102">
        <f>LEN(A102)</f>
        <v>4</v>
      </c>
      <c r="O102" t="str">
        <f>IF(ISNUMBER(SEARCH("$",A102)), "Money", IF(ISNUMBER(SEARCH("Win",A102)), "Challenge",IF(ISNUMBER(SEARCH("Challenge",A102)), "Challenge",IF(ISNUMBER(SEARCH("Last To Leave",A102)),"Challenge",IF(ISNUMBER(SEARCH("Giving Away", A102)),"Giveaway",IF(ISNUMBER(SEARCH("Stranded",A102)),"Survival", IF(ISNUMBER(SEARCH("Survive",A102)), "Survival", IF(ISNUMBER(SEARCH("Days",A102)),"Endurance","Other"))))))))</f>
        <v>Other</v>
      </c>
    </row>
    <row r="103" spans="1:15" x14ac:dyDescent="0.3">
      <c r="A103" t="s">
        <v>115</v>
      </c>
      <c r="B103" s="1">
        <v>41966</v>
      </c>
      <c r="C103" s="2">
        <v>333226</v>
      </c>
      <c r="D103" s="3">
        <v>17096</v>
      </c>
      <c r="E103" s="3">
        <v>942</v>
      </c>
      <c r="F103">
        <f>YEAR(B103)</f>
        <v>2014</v>
      </c>
      <c r="G103" t="str">
        <f>TEXT(B103,"MMMM")</f>
        <v>November</v>
      </c>
      <c r="H103" t="str">
        <f>TEXT(B103, "DDDD")</f>
        <v>Sunday</v>
      </c>
      <c r="I103">
        <f>((D103+E103)/C103)*100</f>
        <v>5.4131430320563219</v>
      </c>
      <c r="J103">
        <f>(D103/C103)*1000</f>
        <v>51.304520055457857</v>
      </c>
      <c r="K103">
        <f>(E103/C103)*1000</f>
        <v>2.8269102651053641</v>
      </c>
      <c r="L103">
        <f>CORREL(C103:C601, D103:D601)</f>
        <v>0.65575591058259652</v>
      </c>
      <c r="M103">
        <f>CORREL(C103:C601,E103:E601)</f>
        <v>0.78314365364108873</v>
      </c>
      <c r="N103">
        <f>LEN(A103)</f>
        <v>35</v>
      </c>
      <c r="O103" t="str">
        <f>IF(ISNUMBER(SEARCH("$",A103)), "Money", IF(ISNUMBER(SEARCH("Win",A103)), "Challenge",IF(ISNUMBER(SEARCH("Challenge",A103)), "Challenge",IF(ISNUMBER(SEARCH("Last To Leave",A103)),"Challenge",IF(ISNUMBER(SEARCH("Giving Away", A103)),"Giveaway",IF(ISNUMBER(SEARCH("Stranded",A103)),"Survival", IF(ISNUMBER(SEARCH("Survive",A103)), "Survival", IF(ISNUMBER(SEARCH("Days",A103)),"Endurance","Other"))))))))</f>
        <v>Other</v>
      </c>
    </row>
    <row r="104" spans="1:15" x14ac:dyDescent="0.3">
      <c r="A104" t="s">
        <v>116</v>
      </c>
      <c r="B104" s="1">
        <v>41871</v>
      </c>
      <c r="C104" s="2">
        <v>330443</v>
      </c>
      <c r="D104" s="3">
        <v>5549</v>
      </c>
      <c r="E104" s="3">
        <v>436</v>
      </c>
      <c r="F104">
        <f>YEAR(B104)</f>
        <v>2014</v>
      </c>
      <c r="G104" t="str">
        <f>TEXT(B104,"MMMM")</f>
        <v>August</v>
      </c>
      <c r="H104" t="str">
        <f>TEXT(B104, "DDDD")</f>
        <v>Wednesday</v>
      </c>
      <c r="I104">
        <f>((D104+E104)/C104)*100</f>
        <v>1.8112049581924872</v>
      </c>
      <c r="J104">
        <f>(D104/C104)*1000</f>
        <v>16.792608710125496</v>
      </c>
      <c r="K104">
        <f>(E104/C104)*1000</f>
        <v>1.3194408717993724</v>
      </c>
      <c r="L104">
        <f>CORREL(C104:C602, D104:D602)</f>
        <v>0.65622669541871581</v>
      </c>
      <c r="M104">
        <f>CORREL(C104:C602,E104:E602)</f>
        <v>0.78302849050034884</v>
      </c>
      <c r="N104">
        <f>LEN(A104)</f>
        <v>14</v>
      </c>
      <c r="O104" t="str">
        <f>IF(ISNUMBER(SEARCH("$",A104)), "Money", IF(ISNUMBER(SEARCH("Win",A104)), "Challenge",IF(ISNUMBER(SEARCH("Challenge",A104)), "Challenge",IF(ISNUMBER(SEARCH("Last To Leave",A104)),"Challenge",IF(ISNUMBER(SEARCH("Giving Away", A104)),"Giveaway",IF(ISNUMBER(SEARCH("Stranded",A104)),"Survival", IF(ISNUMBER(SEARCH("Survive",A104)), "Survival", IF(ISNUMBER(SEARCH("Days",A104)),"Endurance","Other"))))))))</f>
        <v>Other</v>
      </c>
    </row>
    <row r="105" spans="1:15" x14ac:dyDescent="0.3">
      <c r="A105" t="s">
        <v>117</v>
      </c>
      <c r="B105" s="1">
        <v>41734</v>
      </c>
      <c r="C105" s="2">
        <v>314832</v>
      </c>
      <c r="D105" s="3">
        <v>5636</v>
      </c>
      <c r="E105" s="3">
        <v>582</v>
      </c>
      <c r="F105">
        <f>YEAR(B105)</f>
        <v>2014</v>
      </c>
      <c r="G105" t="str">
        <f>TEXT(B105,"MMMM")</f>
        <v>April</v>
      </c>
      <c r="H105" t="str">
        <f>TEXT(B105, "DDDD")</f>
        <v>Saturday</v>
      </c>
      <c r="I105">
        <f>((D105+E105)/C105)*100</f>
        <v>1.9750215988209585</v>
      </c>
      <c r="J105">
        <f>(D105/C105)*1000</f>
        <v>17.901611017939729</v>
      </c>
      <c r="K105">
        <f>(E105/C105)*1000</f>
        <v>1.8486049702698581</v>
      </c>
      <c r="L105">
        <f>CORREL(C105:C603, D105:D603)</f>
        <v>0.65683316442427642</v>
      </c>
      <c r="M105">
        <f>CORREL(C105:C603,E105:E603)</f>
        <v>0.78206208428184332</v>
      </c>
      <c r="N105">
        <f>LEN(A105)</f>
        <v>30</v>
      </c>
      <c r="O105" t="str">
        <f>IF(ISNUMBER(SEARCH("$",A105)), "Money", IF(ISNUMBER(SEARCH("Win",A105)), "Challenge",IF(ISNUMBER(SEARCH("Challenge",A105)), "Challenge",IF(ISNUMBER(SEARCH("Last To Leave",A105)),"Challenge",IF(ISNUMBER(SEARCH("Giving Away", A105)),"Giveaway",IF(ISNUMBER(SEARCH("Stranded",A105)),"Survival", IF(ISNUMBER(SEARCH("Survive",A105)), "Survival", IF(ISNUMBER(SEARCH("Days",A105)),"Endurance","Other"))))))))</f>
        <v>Other</v>
      </c>
    </row>
    <row r="106" spans="1:15" x14ac:dyDescent="0.3">
      <c r="A106" t="s">
        <v>118</v>
      </c>
      <c r="B106" s="1">
        <v>41759</v>
      </c>
      <c r="C106" s="2">
        <v>297908</v>
      </c>
      <c r="D106" s="3">
        <v>8358</v>
      </c>
      <c r="E106" s="3">
        <v>959</v>
      </c>
      <c r="F106">
        <f>YEAR(B106)</f>
        <v>2014</v>
      </c>
      <c r="G106" t="str">
        <f>TEXT(B106,"MMMM")</f>
        <v>April</v>
      </c>
      <c r="H106" t="str">
        <f>TEXT(B106, "DDDD")</f>
        <v>Wednesday</v>
      </c>
      <c r="I106">
        <f>((D106+E106)/C106)*100</f>
        <v>3.1274755964928769</v>
      </c>
      <c r="J106">
        <f>(D106/C106)*1000</f>
        <v>28.055641338936855</v>
      </c>
      <c r="K106">
        <f>(E106/C106)*1000</f>
        <v>3.2191146259919172</v>
      </c>
      <c r="L106">
        <f>CORREL(C106:C604, D106:D604)</f>
        <v>0.65817909340918124</v>
      </c>
      <c r="M106">
        <f>CORREL(C106:C604,E106:E604)</f>
        <v>0.78145515240130403</v>
      </c>
      <c r="N106">
        <f>LEN(A106)</f>
        <v>5</v>
      </c>
      <c r="O106" t="str">
        <f>IF(ISNUMBER(SEARCH("$",A106)), "Money", IF(ISNUMBER(SEARCH("Win",A106)), "Challenge",IF(ISNUMBER(SEARCH("Challenge",A106)), "Challenge",IF(ISNUMBER(SEARCH("Last To Leave",A106)),"Challenge",IF(ISNUMBER(SEARCH("Giving Away", A106)),"Giveaway",IF(ISNUMBER(SEARCH("Stranded",A106)),"Survival", IF(ISNUMBER(SEARCH("Survive",A106)), "Survival", IF(ISNUMBER(SEARCH("Days",A106)),"Endurance","Other"))))))))</f>
        <v>Other</v>
      </c>
    </row>
    <row r="107" spans="1:15" x14ac:dyDescent="0.3">
      <c r="A107" t="s">
        <v>119</v>
      </c>
      <c r="B107" s="1">
        <v>41790</v>
      </c>
      <c r="C107" s="2">
        <v>257602</v>
      </c>
      <c r="D107" s="3">
        <v>6079</v>
      </c>
      <c r="E107" s="3">
        <v>946</v>
      </c>
      <c r="F107">
        <f>YEAR(B107)</f>
        <v>2014</v>
      </c>
      <c r="G107" t="str">
        <f>TEXT(B107,"MMMM")</f>
        <v>May</v>
      </c>
      <c r="H107" t="str">
        <f>TEXT(B107, "DDDD")</f>
        <v>Saturday</v>
      </c>
      <c r="I107">
        <f>((D107+E107)/C107)*100</f>
        <v>2.7270751003485998</v>
      </c>
      <c r="J107">
        <f>(D107/C107)*1000</f>
        <v>23.598419266931156</v>
      </c>
      <c r="K107">
        <f>(E107/C107)*1000</f>
        <v>3.6723317365548405</v>
      </c>
      <c r="L107">
        <f>CORREL(C107:C605, D107:D605)</f>
        <v>0.66009994786360959</v>
      </c>
      <c r="M107">
        <f>CORREL(C107:C605,E107:E605)</f>
        <v>0.78326459584949337</v>
      </c>
      <c r="N107">
        <f>LEN(A107)</f>
        <v>37</v>
      </c>
      <c r="O107" t="str">
        <f>IF(ISNUMBER(SEARCH("$",A107)), "Money", IF(ISNUMBER(SEARCH("Win",A107)), "Challenge",IF(ISNUMBER(SEARCH("Challenge",A107)), "Challenge",IF(ISNUMBER(SEARCH("Last To Leave",A107)),"Challenge",IF(ISNUMBER(SEARCH("Giving Away", A107)),"Giveaway",IF(ISNUMBER(SEARCH("Stranded",A107)),"Survival", IF(ISNUMBER(SEARCH("Survive",A107)), "Survival", IF(ISNUMBER(SEARCH("Days",A107)),"Endurance","Other"))))))))</f>
        <v>Other</v>
      </c>
    </row>
    <row r="108" spans="1:15" x14ac:dyDescent="0.3">
      <c r="A108" t="s">
        <v>120</v>
      </c>
      <c r="B108" s="1">
        <v>41880</v>
      </c>
      <c r="C108" s="2">
        <v>223723</v>
      </c>
      <c r="D108" s="3">
        <v>3837</v>
      </c>
      <c r="E108" s="3">
        <v>502</v>
      </c>
      <c r="F108">
        <f>YEAR(B108)</f>
        <v>2014</v>
      </c>
      <c r="G108" t="str">
        <f>TEXT(B108,"MMMM")</f>
        <v>August</v>
      </c>
      <c r="H108" t="str">
        <f>TEXT(B108, "DDDD")</f>
        <v>Friday</v>
      </c>
      <c r="I108">
        <f>((D108+E108)/C108)*100</f>
        <v>1.9394519115155797</v>
      </c>
      <c r="J108">
        <f>(D108/C108)*1000</f>
        <v>17.150672930364781</v>
      </c>
      <c r="K108">
        <f>(E108/C108)*1000</f>
        <v>2.2438461847910141</v>
      </c>
      <c r="L108">
        <f>CORREL(C108:C606, D108:D606)</f>
        <v>0.66052874829865593</v>
      </c>
      <c r="M108">
        <f>CORREL(C108:C606,E108:E606)</f>
        <v>0.78190430116363896</v>
      </c>
      <c r="N108">
        <f>LEN(A108)</f>
        <v>21</v>
      </c>
      <c r="O108" t="str">
        <f>IF(ISNUMBER(SEARCH("$",A108)), "Money", IF(ISNUMBER(SEARCH("Win",A108)), "Challenge",IF(ISNUMBER(SEARCH("Challenge",A108)), "Challenge",IF(ISNUMBER(SEARCH("Last To Leave",A108)),"Challenge",IF(ISNUMBER(SEARCH("Giving Away", A108)),"Giveaway",IF(ISNUMBER(SEARCH("Stranded",A108)),"Survival", IF(ISNUMBER(SEARCH("Survive",A108)), "Survival", IF(ISNUMBER(SEARCH("Days",A108)),"Endurance","Other"))))))))</f>
        <v>Other</v>
      </c>
    </row>
    <row r="109" spans="1:15" x14ac:dyDescent="0.3">
      <c r="A109" t="s">
        <v>121</v>
      </c>
      <c r="B109" s="1">
        <v>41933</v>
      </c>
      <c r="C109" s="2">
        <v>221572</v>
      </c>
      <c r="D109" s="3">
        <v>4384</v>
      </c>
      <c r="E109" s="3">
        <v>350</v>
      </c>
      <c r="F109">
        <f>YEAR(B109)</f>
        <v>2014</v>
      </c>
      <c r="G109" t="str">
        <f>TEXT(B109,"MMMM")</f>
        <v>October</v>
      </c>
      <c r="H109" t="str">
        <f>TEXT(B109, "DDDD")</f>
        <v>Tuesday</v>
      </c>
      <c r="I109">
        <f>((D109+E109)/C109)*100</f>
        <v>2.1365515498348167</v>
      </c>
      <c r="J109">
        <f>(D109/C109)*1000</f>
        <v>19.78589352445255</v>
      </c>
      <c r="K109">
        <f>(E109/C109)*1000</f>
        <v>1.5796219738956188</v>
      </c>
      <c r="L109">
        <f>CORREL(C109:C607, D109:D607)</f>
        <v>0.66150528516777118</v>
      </c>
      <c r="M109">
        <f>CORREL(C109:C607,E109:E607)</f>
        <v>0.78259241456880602</v>
      </c>
      <c r="N109">
        <f>LEN(A109)</f>
        <v>59</v>
      </c>
      <c r="O109" t="str">
        <f>IF(ISNUMBER(SEARCH("$",A109)), "Money", IF(ISNUMBER(SEARCH("Win",A109)), "Challenge",IF(ISNUMBER(SEARCH("Challenge",A109)), "Challenge",IF(ISNUMBER(SEARCH("Last To Leave",A109)),"Challenge",IF(ISNUMBER(SEARCH("Giving Away", A109)),"Giveaway",IF(ISNUMBER(SEARCH("Stranded",A109)),"Survival", IF(ISNUMBER(SEARCH("Survive",A109)), "Survival", IF(ISNUMBER(SEARCH("Days",A109)),"Endurance","Other"))))))))</f>
        <v>Other</v>
      </c>
    </row>
    <row r="110" spans="1:15" x14ac:dyDescent="0.3">
      <c r="A110" t="s">
        <v>122</v>
      </c>
      <c r="B110" s="1">
        <v>41728</v>
      </c>
      <c r="C110" s="2">
        <v>219123</v>
      </c>
      <c r="D110" s="3">
        <v>4133</v>
      </c>
      <c r="E110" s="3">
        <v>457</v>
      </c>
      <c r="F110">
        <f>YEAR(B110)</f>
        <v>2014</v>
      </c>
      <c r="G110" t="str">
        <f>TEXT(B110,"MMMM")</f>
        <v>March</v>
      </c>
      <c r="H110" t="str">
        <f>TEXT(B110, "DDDD")</f>
        <v>Sunday</v>
      </c>
      <c r="I110">
        <f>((D110+E110)/C110)*100</f>
        <v>2.0947139277939786</v>
      </c>
      <c r="J110">
        <f>(D110/C110)*1000</f>
        <v>18.861552643948833</v>
      </c>
      <c r="K110">
        <f>(E110/C110)*1000</f>
        <v>2.0855866339909546</v>
      </c>
      <c r="L110">
        <f>CORREL(C110:C608, D110:D608)</f>
        <v>0.66242030232700178</v>
      </c>
      <c r="M110">
        <f>CORREL(C110:C608,E110:E608)</f>
        <v>0.78399108237896897</v>
      </c>
      <c r="N110">
        <f>LEN(A110)</f>
        <v>49</v>
      </c>
      <c r="O110" t="str">
        <f>IF(ISNUMBER(SEARCH("$",A110)), "Money", IF(ISNUMBER(SEARCH("Win",A110)), "Challenge",IF(ISNUMBER(SEARCH("Challenge",A110)), "Challenge",IF(ISNUMBER(SEARCH("Last To Leave",A110)),"Challenge",IF(ISNUMBER(SEARCH("Giving Away", A110)),"Giveaway",IF(ISNUMBER(SEARCH("Stranded",A110)),"Survival", IF(ISNUMBER(SEARCH("Survive",A110)), "Survival", IF(ISNUMBER(SEARCH("Days",A110)),"Endurance","Other"))))))))</f>
        <v>Other</v>
      </c>
    </row>
    <row r="111" spans="1:15" x14ac:dyDescent="0.3">
      <c r="A111" t="s">
        <v>123</v>
      </c>
      <c r="B111" s="1">
        <v>41980</v>
      </c>
      <c r="C111" s="2">
        <v>174674</v>
      </c>
      <c r="D111" s="3">
        <v>3597</v>
      </c>
      <c r="E111" s="3">
        <v>408</v>
      </c>
      <c r="F111">
        <f>YEAR(B111)</f>
        <v>2014</v>
      </c>
      <c r="G111" t="str">
        <f>TEXT(B111,"MMMM")</f>
        <v>December</v>
      </c>
      <c r="H111" t="str">
        <f>TEXT(B111, "DDDD")</f>
        <v>Sunday</v>
      </c>
      <c r="I111">
        <f>((D111+E111)/C111)*100</f>
        <v>2.2928426669109312</v>
      </c>
      <c r="J111">
        <f>(D111/C111)*1000</f>
        <v>20.592646873604544</v>
      </c>
      <c r="K111">
        <f>(E111/C111)*1000</f>
        <v>2.3357797955047688</v>
      </c>
      <c r="L111">
        <f>CORREL(C111:C609, D111:D609)</f>
        <v>0.66294997537274081</v>
      </c>
      <c r="M111">
        <f>CORREL(C111:C609,E111:E609)</f>
        <v>0.78337695170336308</v>
      </c>
      <c r="N111">
        <f>LEN(A111)</f>
        <v>21</v>
      </c>
      <c r="O111" t="str">
        <f>IF(ISNUMBER(SEARCH("$",A111)), "Money", IF(ISNUMBER(SEARCH("Win",A111)), "Challenge",IF(ISNUMBER(SEARCH("Challenge",A111)), "Challenge",IF(ISNUMBER(SEARCH("Last To Leave",A111)),"Challenge",IF(ISNUMBER(SEARCH("Giving Away", A111)),"Giveaway",IF(ISNUMBER(SEARCH("Stranded",A111)),"Survival", IF(ISNUMBER(SEARCH("Survive",A111)), "Survival", IF(ISNUMBER(SEARCH("Days",A111)),"Endurance","Other"))))))))</f>
        <v>Other</v>
      </c>
    </row>
    <row r="112" spans="1:15" x14ac:dyDescent="0.3">
      <c r="A112" t="s">
        <v>124</v>
      </c>
      <c r="B112" s="1">
        <v>41714</v>
      </c>
      <c r="C112" s="2">
        <v>168312</v>
      </c>
      <c r="D112" s="3">
        <v>5124</v>
      </c>
      <c r="E112" s="3">
        <v>690</v>
      </c>
      <c r="F112">
        <f>YEAR(B112)</f>
        <v>2014</v>
      </c>
      <c r="G112" t="str">
        <f>TEXT(B112,"MMMM")</f>
        <v>March</v>
      </c>
      <c r="H112" t="str">
        <f>TEXT(B112, "DDDD")</f>
        <v>Sunday</v>
      </c>
      <c r="I112">
        <f>((D112+E112)/C112)*100</f>
        <v>3.4542991587052616</v>
      </c>
      <c r="J112">
        <f>(D112/C112)*1000</f>
        <v>30.443462141736777</v>
      </c>
      <c r="K112">
        <f>(E112/C112)*1000</f>
        <v>4.0995294453158415</v>
      </c>
      <c r="L112">
        <f>CORREL(C112:C610, D112:D610)</f>
        <v>0.66560508288502374</v>
      </c>
      <c r="M112">
        <f>CORREL(C112:C610,E112:E610)</f>
        <v>0.78322202578398292</v>
      </c>
      <c r="N112">
        <f>LEN(A112)</f>
        <v>29</v>
      </c>
      <c r="O112" t="str">
        <f>IF(ISNUMBER(SEARCH("$",A112)), "Money", IF(ISNUMBER(SEARCH("Win",A112)), "Challenge",IF(ISNUMBER(SEARCH("Challenge",A112)), "Challenge",IF(ISNUMBER(SEARCH("Last To Leave",A112)),"Challenge",IF(ISNUMBER(SEARCH("Giving Away", A112)),"Giveaway",IF(ISNUMBER(SEARCH("Stranded",A112)),"Survival", IF(ISNUMBER(SEARCH("Survive",A112)), "Survival", IF(ISNUMBER(SEARCH("Days",A112)),"Endurance","Other"))))))))</f>
        <v>Other</v>
      </c>
    </row>
    <row r="113" spans="1:15" x14ac:dyDescent="0.3">
      <c r="A113" t="s">
        <v>125</v>
      </c>
      <c r="B113" s="1">
        <v>41657</v>
      </c>
      <c r="C113" s="2">
        <v>153030</v>
      </c>
      <c r="D113" s="3">
        <v>3882</v>
      </c>
      <c r="E113" s="3">
        <v>423</v>
      </c>
      <c r="F113">
        <f>YEAR(B113)</f>
        <v>2014</v>
      </c>
      <c r="G113" t="str">
        <f>TEXT(B113,"MMMM")</f>
        <v>January</v>
      </c>
      <c r="H113" t="str">
        <f>TEXT(B113, "DDDD")</f>
        <v>Saturday</v>
      </c>
      <c r="I113">
        <f>((D113+E113)/C113)*100</f>
        <v>2.8131738874730443</v>
      </c>
      <c r="J113">
        <f>(D113/C113)*1000</f>
        <v>25.367574985297001</v>
      </c>
      <c r="K113">
        <f>(E113/C113)*1000</f>
        <v>2.7641638894334446</v>
      </c>
      <c r="L113">
        <f>CORREL(C113:C611, D113:D611)</f>
        <v>0.66558231858137751</v>
      </c>
      <c r="M113">
        <f>CORREL(C113:C611,E113:E611)</f>
        <v>0.78369474347653445</v>
      </c>
      <c r="N113">
        <f>LEN(A113)</f>
        <v>68</v>
      </c>
      <c r="O113" t="str">
        <f>IF(ISNUMBER(SEARCH("$",A113)), "Money", IF(ISNUMBER(SEARCH("Win",A113)), "Challenge",IF(ISNUMBER(SEARCH("Challenge",A113)), "Challenge",IF(ISNUMBER(SEARCH("Last To Leave",A113)),"Challenge",IF(ISNUMBER(SEARCH("Giving Away", A113)),"Giveaway",IF(ISNUMBER(SEARCH("Stranded",A113)),"Survival", IF(ISNUMBER(SEARCH("Survive",A113)), "Survival", IF(ISNUMBER(SEARCH("Days",A113)),"Endurance","Other"))))))))</f>
        <v>Other</v>
      </c>
    </row>
    <row r="114" spans="1:15" x14ac:dyDescent="0.3">
      <c r="A114" t="s">
        <v>126</v>
      </c>
      <c r="B114" s="1">
        <v>41687</v>
      </c>
      <c r="C114" s="2">
        <v>140048</v>
      </c>
      <c r="D114" s="3">
        <v>3648</v>
      </c>
      <c r="E114" s="3">
        <v>644</v>
      </c>
      <c r="F114">
        <f>YEAR(B114)</f>
        <v>2014</v>
      </c>
      <c r="G114" t="str">
        <f>TEXT(B114,"MMMM")</f>
        <v>February</v>
      </c>
      <c r="H114" t="str">
        <f>TEXT(B114, "DDDD")</f>
        <v>Monday</v>
      </c>
      <c r="I114">
        <f>((D114+E114)/C114)*100</f>
        <v>3.0646635439277965</v>
      </c>
      <c r="J114">
        <f>(D114/C114)*1000</f>
        <v>26.048212041585742</v>
      </c>
      <c r="K114">
        <f>(E114/C114)*1000</f>
        <v>4.59842339769222</v>
      </c>
      <c r="L114">
        <f>CORREL(C114:C612, D114:D612)</f>
        <v>0.66703278747834116</v>
      </c>
      <c r="M114">
        <f>CORREL(C114:C612,E114:E612)</f>
        <v>0.78413652338833728</v>
      </c>
      <c r="N114">
        <f>LEN(A114)</f>
        <v>32</v>
      </c>
      <c r="O114" t="str">
        <f>IF(ISNUMBER(SEARCH("$",A114)), "Money", IF(ISNUMBER(SEARCH("Win",A114)), "Challenge",IF(ISNUMBER(SEARCH("Challenge",A114)), "Challenge",IF(ISNUMBER(SEARCH("Last To Leave",A114)),"Challenge",IF(ISNUMBER(SEARCH("Giving Away", A114)),"Giveaway",IF(ISNUMBER(SEARCH("Stranded",A114)),"Survival", IF(ISNUMBER(SEARCH("Survive",A114)), "Survival", IF(ISNUMBER(SEARCH("Days",A114)),"Endurance","Other"))))))))</f>
        <v>Other</v>
      </c>
    </row>
    <row r="115" spans="1:15" x14ac:dyDescent="0.3">
      <c r="A115" t="s">
        <v>127</v>
      </c>
      <c r="B115" s="1">
        <v>41818</v>
      </c>
      <c r="C115" s="2">
        <v>135428</v>
      </c>
      <c r="D115" s="3">
        <v>3161</v>
      </c>
      <c r="E115" s="3">
        <v>236</v>
      </c>
      <c r="F115">
        <f>YEAR(B115)</f>
        <v>2014</v>
      </c>
      <c r="G115" t="str">
        <f>TEXT(B115,"MMMM")</f>
        <v>June</v>
      </c>
      <c r="H115" t="str">
        <f>TEXT(B115, "DDDD")</f>
        <v>Saturday</v>
      </c>
      <c r="I115">
        <f>((D115+E115)/C115)*100</f>
        <v>2.5083439170629411</v>
      </c>
      <c r="J115">
        <f>(D115/C115)*1000</f>
        <v>23.340815784032841</v>
      </c>
      <c r="K115">
        <f>(E115/C115)*1000</f>
        <v>1.7426233865965679</v>
      </c>
      <c r="L115">
        <f>CORREL(C115:C613, D115:D613)</f>
        <v>0.66900315125884813</v>
      </c>
      <c r="M115">
        <f>CORREL(C115:C613,E115:E613)</f>
        <v>0.78516092859444719</v>
      </c>
      <c r="N115">
        <f>LEN(A115)</f>
        <v>13</v>
      </c>
      <c r="O115" t="str">
        <f>IF(ISNUMBER(SEARCH("$",A115)), "Money", IF(ISNUMBER(SEARCH("Win",A115)), "Challenge",IF(ISNUMBER(SEARCH("Challenge",A115)), "Challenge",IF(ISNUMBER(SEARCH("Last To Leave",A115)),"Challenge",IF(ISNUMBER(SEARCH("Giving Away", A115)),"Giveaway",IF(ISNUMBER(SEARCH("Stranded",A115)),"Survival", IF(ISNUMBER(SEARCH("Survive",A115)), "Survival", IF(ISNUMBER(SEARCH("Days",A115)),"Endurance","Other"))))))))</f>
        <v>Other</v>
      </c>
    </row>
    <row r="116" spans="1:15" x14ac:dyDescent="0.3">
      <c r="A116" t="s">
        <v>128</v>
      </c>
      <c r="B116" s="1">
        <v>41693</v>
      </c>
      <c r="C116" s="2">
        <v>130827</v>
      </c>
      <c r="D116" s="3">
        <v>3408</v>
      </c>
      <c r="E116" s="3">
        <v>458</v>
      </c>
      <c r="F116">
        <f>YEAR(B116)</f>
        <v>2014</v>
      </c>
      <c r="G116" t="str">
        <f>TEXT(B116,"MMMM")</f>
        <v>February</v>
      </c>
      <c r="H116" t="str">
        <f>TEXT(B116, "DDDD")</f>
        <v>Sunday</v>
      </c>
      <c r="I116">
        <f>((D116+E116)/C116)*100</f>
        <v>2.9550475054843419</v>
      </c>
      <c r="J116">
        <f>(D116/C116)*1000</f>
        <v>26.049668646380333</v>
      </c>
      <c r="K116">
        <f>(E116/C116)*1000</f>
        <v>3.500806408463085</v>
      </c>
      <c r="L116">
        <f>CORREL(C116:C614, D116:D614)</f>
        <v>0.67009920752880714</v>
      </c>
      <c r="M116">
        <f>CORREL(C116:C614,E116:E614)</f>
        <v>0.78544897196830932</v>
      </c>
      <c r="N116">
        <f>LEN(A116)</f>
        <v>49</v>
      </c>
      <c r="O116" t="str">
        <f>IF(ISNUMBER(SEARCH("$",A116)), "Money", IF(ISNUMBER(SEARCH("Win",A116)), "Challenge",IF(ISNUMBER(SEARCH("Challenge",A116)), "Challenge",IF(ISNUMBER(SEARCH("Last To Leave",A116)),"Challenge",IF(ISNUMBER(SEARCH("Giving Away", A116)),"Giveaway",IF(ISNUMBER(SEARCH("Stranded",A116)),"Survival", IF(ISNUMBER(SEARCH("Survive",A116)), "Survival", IF(ISNUMBER(SEARCH("Days",A116)),"Endurance","Other"))))))))</f>
        <v>Other</v>
      </c>
    </row>
    <row r="117" spans="1:15" x14ac:dyDescent="0.3">
      <c r="A117" t="s">
        <v>129</v>
      </c>
      <c r="B117" s="1">
        <v>41686</v>
      </c>
      <c r="C117" s="2">
        <v>127801</v>
      </c>
      <c r="D117" s="3">
        <v>2859</v>
      </c>
      <c r="E117" s="3">
        <v>937</v>
      </c>
      <c r="F117">
        <f>YEAR(B117)</f>
        <v>2014</v>
      </c>
      <c r="G117" t="str">
        <f>TEXT(B117,"MMMM")</f>
        <v>February</v>
      </c>
      <c r="H117" t="str">
        <f>TEXT(B117, "DDDD")</f>
        <v>Sunday</v>
      </c>
      <c r="I117">
        <f>((D117+E117)/C117)*100</f>
        <v>2.9702427993521177</v>
      </c>
      <c r="J117">
        <f>(D117/C117)*1000</f>
        <v>22.370716974045585</v>
      </c>
      <c r="K117">
        <f>(E117/C117)*1000</f>
        <v>7.3317110194755903</v>
      </c>
      <c r="L117">
        <f>CORREL(C117:C615, D117:D615)</f>
        <v>0.67053359809486623</v>
      </c>
      <c r="M117">
        <f>CORREL(C117:C615,E117:E615)</f>
        <v>0.78542859204256166</v>
      </c>
      <c r="N117">
        <f>LEN(A117)</f>
        <v>34</v>
      </c>
      <c r="O117" t="str">
        <f>IF(ISNUMBER(SEARCH("$",A117)), "Money", IF(ISNUMBER(SEARCH("Win",A117)), "Challenge",IF(ISNUMBER(SEARCH("Challenge",A117)), "Challenge",IF(ISNUMBER(SEARCH("Last To Leave",A117)),"Challenge",IF(ISNUMBER(SEARCH("Giving Away", A117)),"Giveaway",IF(ISNUMBER(SEARCH("Stranded",A117)),"Survival", IF(ISNUMBER(SEARCH("Survive",A117)), "Survival", IF(ISNUMBER(SEARCH("Days",A117)),"Endurance","Other"))))))))</f>
        <v>Other</v>
      </c>
    </row>
    <row r="118" spans="1:15" x14ac:dyDescent="0.3">
      <c r="A118" t="s">
        <v>130</v>
      </c>
      <c r="B118" s="1">
        <v>41706</v>
      </c>
      <c r="C118" s="2">
        <v>124762</v>
      </c>
      <c r="D118" s="3">
        <v>3359</v>
      </c>
      <c r="E118" s="3">
        <v>1125</v>
      </c>
      <c r="F118">
        <f>YEAR(B118)</f>
        <v>2014</v>
      </c>
      <c r="G118" t="str">
        <f>TEXT(B118,"MMMM")</f>
        <v>March</v>
      </c>
      <c r="H118" t="str">
        <f>TEXT(B118, "DDDD")</f>
        <v>Saturday</v>
      </c>
      <c r="I118">
        <f>((D118+E118)/C118)*100</f>
        <v>3.5940430579823981</v>
      </c>
      <c r="J118">
        <f>(D118/C118)*1000</f>
        <v>26.923261890639779</v>
      </c>
      <c r="K118">
        <f>(E118/C118)*1000</f>
        <v>9.0171686891842064</v>
      </c>
      <c r="L118">
        <f>CORREL(C118:C616, D118:D616)</f>
        <v>0.67065809397424658</v>
      </c>
      <c r="M118">
        <f>CORREL(C118:C616,E118:E616)</f>
        <v>0.78522834942329489</v>
      </c>
      <c r="N118">
        <f>LEN(A118)</f>
        <v>12</v>
      </c>
      <c r="O118" t="str">
        <f>IF(ISNUMBER(SEARCH("$",A118)), "Money", IF(ISNUMBER(SEARCH("Win",A118)), "Challenge",IF(ISNUMBER(SEARCH("Challenge",A118)), "Challenge",IF(ISNUMBER(SEARCH("Last To Leave",A118)),"Challenge",IF(ISNUMBER(SEARCH("Giving Away", A118)),"Giveaway",IF(ISNUMBER(SEARCH("Stranded",A118)),"Survival", IF(ISNUMBER(SEARCH("Survive",A118)), "Survival", IF(ISNUMBER(SEARCH("Days",A118)),"Endurance","Other"))))))))</f>
        <v>Other</v>
      </c>
    </row>
    <row r="119" spans="1:15" x14ac:dyDescent="0.3">
      <c r="A119" t="s">
        <v>131</v>
      </c>
      <c r="B119" s="1">
        <v>41651</v>
      </c>
      <c r="C119" s="2">
        <v>124672</v>
      </c>
      <c r="D119" s="3">
        <v>2494</v>
      </c>
      <c r="E119" s="3">
        <v>300</v>
      </c>
      <c r="F119">
        <f>YEAR(B119)</f>
        <v>2014</v>
      </c>
      <c r="G119" t="str">
        <f>TEXT(B119,"MMMM")</f>
        <v>January</v>
      </c>
      <c r="H119" t="str">
        <f>TEXT(B119, "DDDD")</f>
        <v>Sunday</v>
      </c>
      <c r="I119">
        <f>((D119+E119)/C119)*100</f>
        <v>2.2410805954825461</v>
      </c>
      <c r="J119">
        <f>(D119/C119)*1000</f>
        <v>20.004491786447637</v>
      </c>
      <c r="K119">
        <f>(E119/C119)*1000</f>
        <v>2.4063141683778233</v>
      </c>
      <c r="L119">
        <f>CORREL(C119:C617, D119:D617)</f>
        <v>0.6709941064469529</v>
      </c>
      <c r="M119">
        <f>CORREL(C119:C617,E119:E617)</f>
        <v>0.78490731010411996</v>
      </c>
      <c r="N119">
        <f>LEN(A119)</f>
        <v>30</v>
      </c>
      <c r="O119" t="str">
        <f>IF(ISNUMBER(SEARCH("$",A119)), "Money", IF(ISNUMBER(SEARCH("Win",A119)), "Challenge",IF(ISNUMBER(SEARCH("Challenge",A119)), "Challenge",IF(ISNUMBER(SEARCH("Last To Leave",A119)),"Challenge",IF(ISNUMBER(SEARCH("Giving Away", A119)),"Giveaway",IF(ISNUMBER(SEARCH("Stranded",A119)),"Survival", IF(ISNUMBER(SEARCH("Survive",A119)), "Survival", IF(ISNUMBER(SEARCH("Days",A119)),"Endurance","Other"))))))))</f>
        <v>Other</v>
      </c>
    </row>
    <row r="120" spans="1:15" x14ac:dyDescent="0.3">
      <c r="A120" t="s">
        <v>132</v>
      </c>
      <c r="B120" s="1">
        <v>41792</v>
      </c>
      <c r="C120" s="2">
        <v>121901</v>
      </c>
      <c r="D120" s="3">
        <v>2527</v>
      </c>
      <c r="E120" s="3">
        <v>361</v>
      </c>
      <c r="F120">
        <f>YEAR(B120)</f>
        <v>2014</v>
      </c>
      <c r="G120" t="str">
        <f>TEXT(B120,"MMMM")</f>
        <v>June</v>
      </c>
      <c r="H120" t="str">
        <f>TEXT(B120, "DDDD")</f>
        <v>Monday</v>
      </c>
      <c r="I120">
        <f>((D120+E120)/C120)*100</f>
        <v>2.369135610044216</v>
      </c>
      <c r="J120">
        <f>(D120/C120)*1000</f>
        <v>20.729936587886893</v>
      </c>
      <c r="K120">
        <f>(E120/C120)*1000</f>
        <v>2.96141951255527</v>
      </c>
      <c r="L120">
        <f>CORREL(C120:C618, D120:D618)</f>
        <v>0.6718215207685263</v>
      </c>
      <c r="M120">
        <f>CORREL(C120:C618,E120:E618)</f>
        <v>0.78567101753792834</v>
      </c>
      <c r="N120">
        <f>LEN(A120)</f>
        <v>35</v>
      </c>
      <c r="O120" t="str">
        <f>IF(ISNUMBER(SEARCH("$",A120)), "Money", IF(ISNUMBER(SEARCH("Win",A120)), "Challenge",IF(ISNUMBER(SEARCH("Challenge",A120)), "Challenge",IF(ISNUMBER(SEARCH("Last To Leave",A120)),"Challenge",IF(ISNUMBER(SEARCH("Giving Away", A120)),"Giveaway",IF(ISNUMBER(SEARCH("Stranded",A120)),"Survival", IF(ISNUMBER(SEARCH("Survive",A120)), "Survival", IF(ISNUMBER(SEARCH("Days",A120)),"Endurance","Other"))))))))</f>
        <v>Other</v>
      </c>
    </row>
    <row r="121" spans="1:15" x14ac:dyDescent="0.3">
      <c r="A121" t="s">
        <v>133</v>
      </c>
      <c r="B121" s="1">
        <v>41969</v>
      </c>
      <c r="C121" s="2">
        <v>118316</v>
      </c>
      <c r="D121" s="3">
        <v>2130</v>
      </c>
      <c r="E121" s="3">
        <v>256</v>
      </c>
      <c r="F121">
        <f>YEAR(B121)</f>
        <v>2014</v>
      </c>
      <c r="G121" t="str">
        <f>TEXT(B121,"MMMM")</f>
        <v>November</v>
      </c>
      <c r="H121" t="str">
        <f>TEXT(B121, "DDDD")</f>
        <v>Wednesday</v>
      </c>
      <c r="I121">
        <f>((D121+E121)/C121)*100</f>
        <v>2.0166334223604583</v>
      </c>
      <c r="J121">
        <f>(D121/C121)*1000</f>
        <v>18.002637005983974</v>
      </c>
      <c r="K121">
        <f>(E121/C121)*1000</f>
        <v>2.1636972176206091</v>
      </c>
      <c r="L121">
        <f>CORREL(C121:C619, D121:D619)</f>
        <v>0.67212157209639734</v>
      </c>
      <c r="M121">
        <f>CORREL(C121:C619,E121:E619)</f>
        <v>0.78633493678007627</v>
      </c>
      <c r="N121">
        <f>LEN(A121)</f>
        <v>45</v>
      </c>
      <c r="O121" t="str">
        <f>IF(ISNUMBER(SEARCH("$",A121)), "Money", IF(ISNUMBER(SEARCH("Win",A121)), "Challenge",IF(ISNUMBER(SEARCH("Challenge",A121)), "Challenge",IF(ISNUMBER(SEARCH("Last To Leave",A121)),"Challenge",IF(ISNUMBER(SEARCH("Giving Away", A121)),"Giveaway",IF(ISNUMBER(SEARCH("Stranded",A121)),"Survival", IF(ISNUMBER(SEARCH("Survive",A121)), "Survival", IF(ISNUMBER(SEARCH("Days",A121)),"Endurance","Other"))))))))</f>
        <v>Other</v>
      </c>
    </row>
    <row r="122" spans="1:15" x14ac:dyDescent="0.3">
      <c r="A122" t="s">
        <v>134</v>
      </c>
      <c r="B122" s="1">
        <v>41974</v>
      </c>
      <c r="C122" s="2">
        <v>117193</v>
      </c>
      <c r="D122" s="3">
        <v>2275</v>
      </c>
      <c r="E122" s="3">
        <v>259</v>
      </c>
      <c r="F122">
        <f>YEAR(B122)</f>
        <v>2014</v>
      </c>
      <c r="G122" t="str">
        <f>TEXT(B122,"MMMM")</f>
        <v>December</v>
      </c>
      <c r="H122" t="str">
        <f>TEXT(B122, "DDDD")</f>
        <v>Monday</v>
      </c>
      <c r="I122">
        <f>((D122+E122)/C122)*100</f>
        <v>2.1622451852926368</v>
      </c>
      <c r="J122">
        <f>(D122/C122)*1000</f>
        <v>19.412422243649363</v>
      </c>
      <c r="K122">
        <f>(E122/C122)*1000</f>
        <v>2.2100296092770049</v>
      </c>
      <c r="L122">
        <f>CORREL(C122:C620, D122:D620)</f>
        <v>0.67233972558015143</v>
      </c>
      <c r="M122">
        <f>CORREL(C122:C620,E122:E620)</f>
        <v>0.78668633308714797</v>
      </c>
      <c r="N122">
        <f>LEN(A122)</f>
        <v>41</v>
      </c>
      <c r="O122" t="str">
        <f>IF(ISNUMBER(SEARCH("$",A122)), "Money", IF(ISNUMBER(SEARCH("Win",A122)), "Challenge",IF(ISNUMBER(SEARCH("Challenge",A122)), "Challenge",IF(ISNUMBER(SEARCH("Last To Leave",A122)),"Challenge",IF(ISNUMBER(SEARCH("Giving Away", A122)),"Giveaway",IF(ISNUMBER(SEARCH("Stranded",A122)),"Survival", IF(ISNUMBER(SEARCH("Survive",A122)), "Survival", IF(ISNUMBER(SEARCH("Days",A122)),"Endurance","Other"))))))))</f>
        <v>Other</v>
      </c>
    </row>
    <row r="123" spans="1:15" x14ac:dyDescent="0.3">
      <c r="A123" t="s">
        <v>135</v>
      </c>
      <c r="B123" s="1">
        <v>41700</v>
      </c>
      <c r="C123" s="2">
        <v>109741</v>
      </c>
      <c r="D123" s="3">
        <v>2108</v>
      </c>
      <c r="E123" s="3">
        <v>315</v>
      </c>
      <c r="F123">
        <f>YEAR(B123)</f>
        <v>2014</v>
      </c>
      <c r="G123" t="str">
        <f>TEXT(B123,"MMMM")</f>
        <v>March</v>
      </c>
      <c r="H123" t="str">
        <f>TEXT(B123, "DDDD")</f>
        <v>Sunday</v>
      </c>
      <c r="I123">
        <f>((D123+E123)/C123)*100</f>
        <v>2.2079259347007953</v>
      </c>
      <c r="J123">
        <f>(D123/C123)*1000</f>
        <v>19.208864508251246</v>
      </c>
      <c r="K123">
        <f>(E123/C123)*1000</f>
        <v>2.8703948387567091</v>
      </c>
      <c r="L123">
        <f>CORREL(C123:C621, D123:D621)</f>
        <v>0.67260814851890127</v>
      </c>
      <c r="M123">
        <f>CORREL(C123:C621,E123:E621)</f>
        <v>0.78619112318688755</v>
      </c>
      <c r="N123">
        <f>LEN(A123)</f>
        <v>49</v>
      </c>
      <c r="O123" t="str">
        <f>IF(ISNUMBER(SEARCH("$",A123)), "Money", IF(ISNUMBER(SEARCH("Win",A123)), "Challenge",IF(ISNUMBER(SEARCH("Challenge",A123)), "Challenge",IF(ISNUMBER(SEARCH("Last To Leave",A123)),"Challenge",IF(ISNUMBER(SEARCH("Giving Away", A123)),"Giveaway",IF(ISNUMBER(SEARCH("Stranded",A123)),"Survival", IF(ISNUMBER(SEARCH("Survive",A123)), "Survival", IF(ISNUMBER(SEARCH("Days",A123)),"Endurance","Other"))))))))</f>
        <v>Other</v>
      </c>
    </row>
    <row r="124" spans="1:15" x14ac:dyDescent="0.3">
      <c r="A124" t="s">
        <v>136</v>
      </c>
      <c r="B124" s="1">
        <v>41746</v>
      </c>
      <c r="C124" s="2">
        <v>106011</v>
      </c>
      <c r="D124" s="3">
        <v>3453</v>
      </c>
      <c r="E124" s="3">
        <v>292</v>
      </c>
      <c r="F124">
        <f>YEAR(B124)</f>
        <v>2014</v>
      </c>
      <c r="G124" t="str">
        <f>TEXT(B124,"MMMM")</f>
        <v>April</v>
      </c>
      <c r="H124" t="str">
        <f>TEXT(B124, "DDDD")</f>
        <v>Thursday</v>
      </c>
      <c r="I124">
        <f>((D124+E124)/C124)*100</f>
        <v>3.5326522719340447</v>
      </c>
      <c r="J124">
        <f>(D124/C124)*1000</f>
        <v>32.572091575402553</v>
      </c>
      <c r="K124">
        <f>(E124/C124)*1000</f>
        <v>2.754431143937893</v>
      </c>
      <c r="L124">
        <f>CORREL(C124:C622, D124:D622)</f>
        <v>0.67323317757716461</v>
      </c>
      <c r="M124">
        <f>CORREL(C124:C622,E124:E622)</f>
        <v>0.78611559397350583</v>
      </c>
      <c r="N124">
        <f>LEN(A124)</f>
        <v>10</v>
      </c>
      <c r="O124" t="str">
        <f>IF(ISNUMBER(SEARCH("$",A124)), "Money", IF(ISNUMBER(SEARCH("Win",A124)), "Challenge",IF(ISNUMBER(SEARCH("Challenge",A124)), "Challenge",IF(ISNUMBER(SEARCH("Last To Leave",A124)),"Challenge",IF(ISNUMBER(SEARCH("Giving Away", A124)),"Giveaway",IF(ISNUMBER(SEARCH("Stranded",A124)),"Survival", IF(ISNUMBER(SEARCH("Survive",A124)), "Survival", IF(ISNUMBER(SEARCH("Days",A124)),"Endurance","Other"))))))))</f>
        <v>Other</v>
      </c>
    </row>
    <row r="125" spans="1:15" x14ac:dyDescent="0.3">
      <c r="A125" t="s">
        <v>137</v>
      </c>
      <c r="B125" s="1">
        <v>41775</v>
      </c>
      <c r="C125" s="2">
        <v>105343</v>
      </c>
      <c r="D125" s="3">
        <v>3275</v>
      </c>
      <c r="E125" s="3">
        <v>371</v>
      </c>
      <c r="F125">
        <f>YEAR(B125)</f>
        <v>2014</v>
      </c>
      <c r="G125" t="str">
        <f>TEXT(B125,"MMMM")</f>
        <v>May</v>
      </c>
      <c r="H125" t="str">
        <f>TEXT(B125, "DDDD")</f>
        <v>Friday</v>
      </c>
      <c r="I125">
        <f>((D125+E125)/C125)*100</f>
        <v>3.4610747747833273</v>
      </c>
      <c r="J125">
        <f>(D125/C125)*1000</f>
        <v>31.088919054896859</v>
      </c>
      <c r="K125">
        <f>(E125/C125)*1000</f>
        <v>3.5218286929364075</v>
      </c>
      <c r="L125">
        <f>CORREL(C125:C623, D125:D623)</f>
        <v>0.67343856606986929</v>
      </c>
      <c r="M125">
        <f>CORREL(C125:C623,E125:E623)</f>
        <v>0.78655033505484051</v>
      </c>
      <c r="N125">
        <f>LEN(A125)</f>
        <v>44</v>
      </c>
      <c r="O125" t="str">
        <f>IF(ISNUMBER(SEARCH("$",A125)), "Money", IF(ISNUMBER(SEARCH("Win",A125)), "Challenge",IF(ISNUMBER(SEARCH("Challenge",A125)), "Challenge",IF(ISNUMBER(SEARCH("Last To Leave",A125)),"Challenge",IF(ISNUMBER(SEARCH("Giving Away", A125)),"Giveaway",IF(ISNUMBER(SEARCH("Stranded",A125)),"Survival", IF(ISNUMBER(SEARCH("Survive",A125)), "Survival", IF(ISNUMBER(SEARCH("Days",A125)),"Endurance","Other"))))))))</f>
        <v>Other</v>
      </c>
    </row>
    <row r="126" spans="1:15" x14ac:dyDescent="0.3">
      <c r="A126" t="s">
        <v>138</v>
      </c>
      <c r="B126" s="1">
        <v>41730</v>
      </c>
      <c r="C126" s="2">
        <v>101420</v>
      </c>
      <c r="D126" s="3">
        <v>1461</v>
      </c>
      <c r="E126" s="3">
        <v>199</v>
      </c>
      <c r="F126">
        <f>YEAR(B126)</f>
        <v>2014</v>
      </c>
      <c r="G126" t="str">
        <f>TEXT(B126,"MMMM")</f>
        <v>April</v>
      </c>
      <c r="H126" t="str">
        <f>TEXT(B126, "DDDD")</f>
        <v>Tuesday</v>
      </c>
      <c r="I126">
        <f>((D126+E126)/C126)*100</f>
        <v>1.6367580358903571</v>
      </c>
      <c r="J126">
        <f>(D126/C126)*1000</f>
        <v>14.405442713468743</v>
      </c>
      <c r="K126">
        <f>(E126/C126)*1000</f>
        <v>1.9621376454348254</v>
      </c>
      <c r="L126">
        <f>CORREL(C126:C624, D126:D624)</f>
        <v>0.67378674981121212</v>
      </c>
      <c r="M126">
        <f>CORREL(C126:C624,E126:E624)</f>
        <v>0.78671109160463826</v>
      </c>
      <c r="N126">
        <f>LEN(A126)</f>
        <v>59</v>
      </c>
      <c r="O126" t="str">
        <f>IF(ISNUMBER(SEARCH("$",A126)), "Money", IF(ISNUMBER(SEARCH("Win",A126)), "Challenge",IF(ISNUMBER(SEARCH("Challenge",A126)), "Challenge",IF(ISNUMBER(SEARCH("Last To Leave",A126)),"Challenge",IF(ISNUMBER(SEARCH("Giving Away", A126)),"Giveaway",IF(ISNUMBER(SEARCH("Stranded",A126)),"Survival", IF(ISNUMBER(SEARCH("Survive",A126)), "Survival", IF(ISNUMBER(SEARCH("Days",A126)),"Endurance","Other"))))))))</f>
        <v>Other</v>
      </c>
    </row>
    <row r="127" spans="1:15" x14ac:dyDescent="0.3">
      <c r="A127" t="s">
        <v>139</v>
      </c>
      <c r="B127" s="1">
        <v>41727</v>
      </c>
      <c r="C127" s="2">
        <v>100267</v>
      </c>
      <c r="D127" s="3">
        <v>2083</v>
      </c>
      <c r="E127" s="3">
        <v>313</v>
      </c>
      <c r="F127">
        <f>YEAR(B127)</f>
        <v>2014</v>
      </c>
      <c r="G127" t="str">
        <f>TEXT(B127,"MMMM")</f>
        <v>March</v>
      </c>
      <c r="H127" t="str">
        <f>TEXT(B127, "DDDD")</f>
        <v>Saturday</v>
      </c>
      <c r="I127">
        <f>((D127+E127)/C127)*100</f>
        <v>2.3896197153599887</v>
      </c>
      <c r="J127">
        <f>(D127/C127)*1000</f>
        <v>20.774531999561173</v>
      </c>
      <c r="K127">
        <f>(E127/C127)*1000</f>
        <v>3.1216651540387166</v>
      </c>
      <c r="L127">
        <f>CORREL(C127:C625, D127:D625)</f>
        <v>0.6745658649955496</v>
      </c>
      <c r="M127">
        <f>CORREL(C127:C625,E127:E625)</f>
        <v>0.78194390087181564</v>
      </c>
      <c r="N127">
        <f>LEN(A127)</f>
        <v>36</v>
      </c>
      <c r="O127" t="str">
        <f>IF(ISNUMBER(SEARCH("$",A127)), "Money", IF(ISNUMBER(SEARCH("Win",A127)), "Challenge",IF(ISNUMBER(SEARCH("Challenge",A127)), "Challenge",IF(ISNUMBER(SEARCH("Last To Leave",A127)),"Challenge",IF(ISNUMBER(SEARCH("Giving Away", A127)),"Giveaway",IF(ISNUMBER(SEARCH("Stranded",A127)),"Survival", IF(ISNUMBER(SEARCH("Survive",A127)), "Survival", IF(ISNUMBER(SEARCH("Days",A127)),"Endurance","Other"))))))))</f>
        <v>Other</v>
      </c>
    </row>
    <row r="128" spans="1:15" x14ac:dyDescent="0.3">
      <c r="A128" t="s">
        <v>140</v>
      </c>
      <c r="B128" s="1">
        <v>41749</v>
      </c>
      <c r="C128" s="2">
        <v>97062</v>
      </c>
      <c r="D128" s="3">
        <v>2883</v>
      </c>
      <c r="E128" s="3">
        <v>360</v>
      </c>
      <c r="F128">
        <f>YEAR(B128)</f>
        <v>2014</v>
      </c>
      <c r="G128" t="str">
        <f>TEXT(B128,"MMMM")</f>
        <v>April</v>
      </c>
      <c r="H128" t="str">
        <f>TEXT(B128, "DDDD")</f>
        <v>Sunday</v>
      </c>
      <c r="I128">
        <f>((D128+E128)/C128)*100</f>
        <v>3.34116338010756</v>
      </c>
      <c r="J128">
        <f>(D128/C128)*1000</f>
        <v>29.702664276441862</v>
      </c>
      <c r="K128">
        <f>(E128/C128)*1000</f>
        <v>3.7089695246337393</v>
      </c>
      <c r="L128">
        <f>CORREL(C128:C626, D128:D626)</f>
        <v>0.67473744122581192</v>
      </c>
      <c r="M128">
        <f>CORREL(C128:C626,E128:E626)</f>
        <v>0.78196006014213482</v>
      </c>
      <c r="N128">
        <f>LEN(A128)</f>
        <v>10</v>
      </c>
      <c r="O128" t="str">
        <f>IF(ISNUMBER(SEARCH("$",A128)), "Money", IF(ISNUMBER(SEARCH("Win",A128)), "Challenge",IF(ISNUMBER(SEARCH("Challenge",A128)), "Challenge",IF(ISNUMBER(SEARCH("Last To Leave",A128)),"Challenge",IF(ISNUMBER(SEARCH("Giving Away", A128)),"Giveaway",IF(ISNUMBER(SEARCH("Stranded",A128)),"Survival", IF(ISNUMBER(SEARCH("Survive",A128)), "Survival", IF(ISNUMBER(SEARCH("Days",A128)),"Endurance","Other"))))))))</f>
        <v>Other</v>
      </c>
    </row>
    <row r="129" spans="1:15" x14ac:dyDescent="0.3">
      <c r="A129" t="s">
        <v>141</v>
      </c>
      <c r="B129" s="1">
        <v>41693</v>
      </c>
      <c r="C129" s="2">
        <v>92837</v>
      </c>
      <c r="D129" s="3">
        <v>2341</v>
      </c>
      <c r="E129" s="3">
        <v>380</v>
      </c>
      <c r="F129">
        <f>YEAR(B129)</f>
        <v>2014</v>
      </c>
      <c r="G129" t="str">
        <f>TEXT(B129,"MMMM")</f>
        <v>February</v>
      </c>
      <c r="H129" t="str">
        <f>TEXT(B129, "DDDD")</f>
        <v>Sunday</v>
      </c>
      <c r="I129">
        <f>((D129+E129)/C129)*100</f>
        <v>2.9309434815860054</v>
      </c>
      <c r="J129">
        <f>(D129/C129)*1000</f>
        <v>25.216239214968169</v>
      </c>
      <c r="K129">
        <f>(E129/C129)*1000</f>
        <v>4.0931956008918853</v>
      </c>
      <c r="L129">
        <f>CORREL(C129:C627, D129:D627)</f>
        <v>0.67500409477064927</v>
      </c>
      <c r="M129">
        <f>CORREL(C129:C627,E129:E627)</f>
        <v>0.78191893269045443</v>
      </c>
      <c r="N129">
        <f>LEN(A129)</f>
        <v>28</v>
      </c>
      <c r="O129" t="str">
        <f>IF(ISNUMBER(SEARCH("$",A129)), "Money", IF(ISNUMBER(SEARCH("Win",A129)), "Challenge",IF(ISNUMBER(SEARCH("Challenge",A129)), "Challenge",IF(ISNUMBER(SEARCH("Last To Leave",A129)),"Challenge",IF(ISNUMBER(SEARCH("Giving Away", A129)),"Giveaway",IF(ISNUMBER(SEARCH("Stranded",A129)),"Survival", IF(ISNUMBER(SEARCH("Survive",A129)), "Survival", IF(ISNUMBER(SEARCH("Days",A129)),"Endurance","Other"))))))))</f>
        <v>Other</v>
      </c>
    </row>
    <row r="130" spans="1:15" x14ac:dyDescent="0.3">
      <c r="A130" t="s">
        <v>142</v>
      </c>
      <c r="B130" s="1">
        <v>41869</v>
      </c>
      <c r="C130" s="2">
        <v>92660</v>
      </c>
      <c r="D130" s="3">
        <v>2106</v>
      </c>
      <c r="E130" s="3">
        <v>197</v>
      </c>
      <c r="F130">
        <f>YEAR(B130)</f>
        <v>2014</v>
      </c>
      <c r="G130" t="str">
        <f>TEXT(B130,"MMMM")</f>
        <v>August</v>
      </c>
      <c r="H130" t="str">
        <f>TEXT(B130, "DDDD")</f>
        <v>Monday</v>
      </c>
      <c r="I130">
        <f>((D130+E130)/C130)*100</f>
        <v>2.4854306065184546</v>
      </c>
      <c r="J130">
        <f>(D130/C130)*1000</f>
        <v>22.728253831210878</v>
      </c>
      <c r="K130">
        <f>(E130/C130)*1000</f>
        <v>2.1260522339736672</v>
      </c>
      <c r="L130">
        <f>CORREL(C130:C628, D130:D628)</f>
        <v>0.67512085160431579</v>
      </c>
      <c r="M130">
        <f>CORREL(C130:C628,E130:E628)</f>
        <v>0.78157767842284498</v>
      </c>
      <c r="N130">
        <f>LEN(A130)</f>
        <v>22</v>
      </c>
      <c r="O130" t="str">
        <f>IF(ISNUMBER(SEARCH("$",A130)), "Money", IF(ISNUMBER(SEARCH("Win",A130)), "Challenge",IF(ISNUMBER(SEARCH("Challenge",A130)), "Challenge",IF(ISNUMBER(SEARCH("Last To Leave",A130)),"Challenge",IF(ISNUMBER(SEARCH("Giving Away", A130)),"Giveaway",IF(ISNUMBER(SEARCH("Stranded",A130)),"Survival", IF(ISNUMBER(SEARCH("Survive",A130)), "Survival", IF(ISNUMBER(SEARCH("Days",A130)),"Endurance","Other"))))))))</f>
        <v>Other</v>
      </c>
    </row>
    <row r="131" spans="1:15" x14ac:dyDescent="0.3">
      <c r="A131" t="s">
        <v>143</v>
      </c>
      <c r="B131" s="1">
        <v>41753</v>
      </c>
      <c r="C131" s="2">
        <v>91369</v>
      </c>
      <c r="D131" s="3">
        <v>1810</v>
      </c>
      <c r="E131" s="3">
        <v>272</v>
      </c>
      <c r="F131">
        <f>YEAR(B131)</f>
        <v>2014</v>
      </c>
      <c r="G131" t="str">
        <f>TEXT(B131,"MMMM")</f>
        <v>April</v>
      </c>
      <c r="H131" t="str">
        <f>TEXT(B131, "DDDD")</f>
        <v>Thursday</v>
      </c>
      <c r="I131">
        <f>((D131+E131)/C131)*100</f>
        <v>2.2786721973535884</v>
      </c>
      <c r="J131">
        <f>(D131/C131)*1000</f>
        <v>19.809782311287197</v>
      </c>
      <c r="K131">
        <f>(E131/C131)*1000</f>
        <v>2.9769396622486841</v>
      </c>
      <c r="L131">
        <f>CORREL(C131:C629, D131:D629)</f>
        <v>0.67538630022733614</v>
      </c>
      <c r="M131">
        <f>CORREL(C131:C629,E131:E629)</f>
        <v>0.78159980921537742</v>
      </c>
      <c r="N131">
        <f>LEN(A131)</f>
        <v>35</v>
      </c>
      <c r="O131" t="str">
        <f>IF(ISNUMBER(SEARCH("$",A131)), "Money", IF(ISNUMBER(SEARCH("Win",A131)), "Challenge",IF(ISNUMBER(SEARCH("Challenge",A131)), "Challenge",IF(ISNUMBER(SEARCH("Last To Leave",A131)),"Challenge",IF(ISNUMBER(SEARCH("Giving Away", A131)),"Giveaway",IF(ISNUMBER(SEARCH("Stranded",A131)),"Survival", IF(ISNUMBER(SEARCH("Survive",A131)), "Survival", IF(ISNUMBER(SEARCH("Days",A131)),"Endurance","Other"))))))))</f>
        <v>Challenge</v>
      </c>
    </row>
    <row r="132" spans="1:15" x14ac:dyDescent="0.3">
      <c r="A132" t="s">
        <v>144</v>
      </c>
      <c r="B132" s="1">
        <v>41792</v>
      </c>
      <c r="C132" s="2">
        <v>90960</v>
      </c>
      <c r="D132" s="3">
        <v>1793</v>
      </c>
      <c r="E132" s="3">
        <v>223</v>
      </c>
      <c r="F132">
        <f>YEAR(B132)</f>
        <v>2014</v>
      </c>
      <c r="G132" t="str">
        <f>TEXT(B132,"MMMM")</f>
        <v>June</v>
      </c>
      <c r="H132" t="str">
        <f>TEXT(B132, "DDDD")</f>
        <v>Monday</v>
      </c>
      <c r="I132">
        <f>((D132+E132)/C132)*100</f>
        <v>2.2163588390501321</v>
      </c>
      <c r="J132">
        <f>(D132/C132)*1000</f>
        <v>19.711961301671064</v>
      </c>
      <c r="K132">
        <f>(E132/C132)*1000</f>
        <v>2.4516270888302549</v>
      </c>
      <c r="L132">
        <f>CORREL(C132:C630, D132:D630)</f>
        <v>0.67555739691271888</v>
      </c>
      <c r="M132">
        <f>CORREL(C132:C630,E132:E630)</f>
        <v>0.78167674317128333</v>
      </c>
      <c r="N132">
        <f>LEN(A132)</f>
        <v>28</v>
      </c>
      <c r="O132" t="str">
        <f>IF(ISNUMBER(SEARCH("$",A132)), "Money", IF(ISNUMBER(SEARCH("Win",A132)), "Challenge",IF(ISNUMBER(SEARCH("Challenge",A132)), "Challenge",IF(ISNUMBER(SEARCH("Last To Leave",A132)),"Challenge",IF(ISNUMBER(SEARCH("Giving Away", A132)),"Giveaway",IF(ISNUMBER(SEARCH("Stranded",A132)),"Survival", IF(ISNUMBER(SEARCH("Survive",A132)), "Survival", IF(ISNUMBER(SEARCH("Days",A132)),"Endurance","Other"))))))))</f>
        <v>Other</v>
      </c>
    </row>
    <row r="133" spans="1:15" x14ac:dyDescent="0.3">
      <c r="A133" t="s">
        <v>145</v>
      </c>
      <c r="B133" s="1">
        <v>41767</v>
      </c>
      <c r="C133" s="2">
        <v>89087</v>
      </c>
      <c r="D133" s="3">
        <v>2409</v>
      </c>
      <c r="E133" s="3">
        <v>315</v>
      </c>
      <c r="F133">
        <f>YEAR(B133)</f>
        <v>2014</v>
      </c>
      <c r="G133" t="str">
        <f>TEXT(B133,"MMMM")</f>
        <v>May</v>
      </c>
      <c r="H133" t="str">
        <f>TEXT(B133, "DDDD")</f>
        <v>Thursday</v>
      </c>
      <c r="I133">
        <f>((D133+E133)/C133)*100</f>
        <v>3.0576851841458348</v>
      </c>
      <c r="J133">
        <f>(D133/C133)*1000</f>
        <v>27.040982410452706</v>
      </c>
      <c r="K133">
        <f>(E133/C133)*1000</f>
        <v>3.5358694310056462</v>
      </c>
      <c r="L133">
        <f>CORREL(C133:C631, D133:D631)</f>
        <v>0.67561982492180273</v>
      </c>
      <c r="M133">
        <f>CORREL(C133:C631,E133:E631)</f>
        <v>0.78150165459680665</v>
      </c>
      <c r="N133">
        <f>LEN(A133)</f>
        <v>15</v>
      </c>
      <c r="O133" t="str">
        <f>IF(ISNUMBER(SEARCH("$",A133)), "Money", IF(ISNUMBER(SEARCH("Win",A133)), "Challenge",IF(ISNUMBER(SEARCH("Challenge",A133)), "Challenge",IF(ISNUMBER(SEARCH("Last To Leave",A133)),"Challenge",IF(ISNUMBER(SEARCH("Giving Away", A133)),"Giveaway",IF(ISNUMBER(SEARCH("Stranded",A133)),"Survival", IF(ISNUMBER(SEARCH("Survive",A133)), "Survival", IF(ISNUMBER(SEARCH("Days",A133)),"Endurance","Other"))))))))</f>
        <v>Other</v>
      </c>
    </row>
    <row r="134" spans="1:15" x14ac:dyDescent="0.3">
      <c r="A134" t="s">
        <v>146</v>
      </c>
      <c r="B134" s="1">
        <v>41728</v>
      </c>
      <c r="C134" s="2">
        <v>87927</v>
      </c>
      <c r="D134" s="3">
        <v>1762</v>
      </c>
      <c r="E134" s="3">
        <v>399</v>
      </c>
      <c r="F134">
        <f>YEAR(B134)</f>
        <v>2014</v>
      </c>
      <c r="G134" t="str">
        <f>TEXT(B134,"MMMM")</f>
        <v>March</v>
      </c>
      <c r="H134" t="str">
        <f>TEXT(B134, "DDDD")</f>
        <v>Sunday</v>
      </c>
      <c r="I134">
        <f>((D134+E134)/C134)*100</f>
        <v>2.4577206091416741</v>
      </c>
      <c r="J134">
        <f>(D134/C134)*1000</f>
        <v>20.039350825116287</v>
      </c>
      <c r="K134">
        <f>(E134/C134)*1000</f>
        <v>4.5378552663004532</v>
      </c>
      <c r="L134">
        <f>CORREL(C134:C632, D134:D632)</f>
        <v>0.67573325391937133</v>
      </c>
      <c r="M134">
        <f>CORREL(C134:C632,E134:E632)</f>
        <v>0.77712482779229697</v>
      </c>
      <c r="N134">
        <f>LEN(A134)</f>
        <v>47</v>
      </c>
      <c r="O134" t="str">
        <f>IF(ISNUMBER(SEARCH("$",A134)), "Money", IF(ISNUMBER(SEARCH("Win",A134)), "Challenge",IF(ISNUMBER(SEARCH("Challenge",A134)), "Challenge",IF(ISNUMBER(SEARCH("Last To Leave",A134)),"Challenge",IF(ISNUMBER(SEARCH("Giving Away", A134)),"Giveaway",IF(ISNUMBER(SEARCH("Stranded",A134)),"Survival", IF(ISNUMBER(SEARCH("Survive",A134)), "Survival", IF(ISNUMBER(SEARCH("Days",A134)),"Endurance","Other"))))))))</f>
        <v>Other</v>
      </c>
    </row>
    <row r="135" spans="1:15" x14ac:dyDescent="0.3">
      <c r="A135" t="s">
        <v>147</v>
      </c>
      <c r="B135" s="1">
        <v>41828</v>
      </c>
      <c r="C135" s="2">
        <v>86689</v>
      </c>
      <c r="D135" s="3">
        <v>2448</v>
      </c>
      <c r="E135" s="3">
        <v>632</v>
      </c>
      <c r="F135">
        <f>YEAR(B135)</f>
        <v>2014</v>
      </c>
      <c r="G135" t="str">
        <f>TEXT(B135,"MMMM")</f>
        <v>July</v>
      </c>
      <c r="H135" t="str">
        <f>TEXT(B135, "DDDD")</f>
        <v>Tuesday</v>
      </c>
      <c r="I135">
        <f>((D135+E135)/C135)*100</f>
        <v>3.5529305909630979</v>
      </c>
      <c r="J135">
        <f>(D135/C135)*1000</f>
        <v>28.23887690479761</v>
      </c>
      <c r="K135">
        <f>(E135/C135)*1000</f>
        <v>7.2904290048333698</v>
      </c>
      <c r="L135">
        <f>CORREL(C135:C633, D135:D633)</f>
        <v>0.67569661578640428</v>
      </c>
      <c r="M135">
        <f>CORREL(C135:C633,E135:E633)</f>
        <v>0.77672925074993615</v>
      </c>
      <c r="N135">
        <f>LEN(A135)</f>
        <v>13</v>
      </c>
      <c r="O135" t="str">
        <f>IF(ISNUMBER(SEARCH("$",A135)), "Money", IF(ISNUMBER(SEARCH("Win",A135)), "Challenge",IF(ISNUMBER(SEARCH("Challenge",A135)), "Challenge",IF(ISNUMBER(SEARCH("Last To Leave",A135)),"Challenge",IF(ISNUMBER(SEARCH("Giving Away", A135)),"Giveaway",IF(ISNUMBER(SEARCH("Stranded",A135)),"Survival", IF(ISNUMBER(SEARCH("Survive",A135)), "Survival", IF(ISNUMBER(SEARCH("Days",A135)),"Endurance","Other"))))))))</f>
        <v>Other</v>
      </c>
    </row>
    <row r="136" spans="1:15" x14ac:dyDescent="0.3">
      <c r="A136" t="s">
        <v>148</v>
      </c>
      <c r="B136" s="1">
        <v>41872</v>
      </c>
      <c r="C136" s="2">
        <v>85543</v>
      </c>
      <c r="D136" s="3">
        <v>1391</v>
      </c>
      <c r="E136" s="3">
        <v>195</v>
      </c>
      <c r="F136">
        <f>YEAR(B136)</f>
        <v>2014</v>
      </c>
      <c r="G136" t="str">
        <f>TEXT(B136,"MMMM")</f>
        <v>August</v>
      </c>
      <c r="H136" t="str">
        <f>TEXT(B136, "DDDD")</f>
        <v>Thursday</v>
      </c>
      <c r="I136">
        <f>((D136+E136)/C136)*100</f>
        <v>1.8540383199092854</v>
      </c>
      <c r="J136">
        <f>(D136/C136)*1000</f>
        <v>16.260827887728979</v>
      </c>
      <c r="K136">
        <f>(E136/C136)*1000</f>
        <v>2.2795553113638758</v>
      </c>
      <c r="L136">
        <f>CORREL(C136:C634, D136:D634)</f>
        <v>0.6756332609748501</v>
      </c>
      <c r="M136">
        <f>CORREL(C136:C634,E136:E634)</f>
        <v>0.77553600527472277</v>
      </c>
      <c r="N136">
        <f>LEN(A136)</f>
        <v>44</v>
      </c>
      <c r="O136" t="str">
        <f>IF(ISNUMBER(SEARCH("$",A136)), "Money", IF(ISNUMBER(SEARCH("Win",A136)), "Challenge",IF(ISNUMBER(SEARCH("Challenge",A136)), "Challenge",IF(ISNUMBER(SEARCH("Last To Leave",A136)),"Challenge",IF(ISNUMBER(SEARCH("Giving Away", A136)),"Giveaway",IF(ISNUMBER(SEARCH("Stranded",A136)),"Survival", IF(ISNUMBER(SEARCH("Survive",A136)), "Survival", IF(ISNUMBER(SEARCH("Days",A136)),"Endurance","Other"))))))))</f>
        <v>Other</v>
      </c>
    </row>
    <row r="137" spans="1:15" x14ac:dyDescent="0.3">
      <c r="A137" t="s">
        <v>149</v>
      </c>
      <c r="B137" s="1">
        <v>41973</v>
      </c>
      <c r="C137" s="2">
        <v>83768</v>
      </c>
      <c r="D137" s="3">
        <v>1857</v>
      </c>
      <c r="E137" s="3">
        <v>290</v>
      </c>
      <c r="F137">
        <f>YEAR(B137)</f>
        <v>2014</v>
      </c>
      <c r="G137" t="str">
        <f>TEXT(B137,"MMMM")</f>
        <v>November</v>
      </c>
      <c r="H137" t="str">
        <f>TEXT(B137, "DDDD")</f>
        <v>Sunday</v>
      </c>
      <c r="I137">
        <f>((D137+E137)/C137)*100</f>
        <v>2.5630312291089674</v>
      </c>
      <c r="J137">
        <f>(D137/C137)*1000</f>
        <v>22.168369783210775</v>
      </c>
      <c r="K137">
        <f>(E137/C137)*1000</f>
        <v>3.4619425078789039</v>
      </c>
      <c r="L137">
        <f>CORREL(C137:C635, D137:D635)</f>
        <v>0.67556298403955684</v>
      </c>
      <c r="M137">
        <f>CORREL(C137:C635,E137:E635)</f>
        <v>0.77543876791535737</v>
      </c>
      <c r="N137">
        <f>LEN(A137)</f>
        <v>35</v>
      </c>
      <c r="O137" t="str">
        <f>IF(ISNUMBER(SEARCH("$",A137)), "Money", IF(ISNUMBER(SEARCH("Win",A137)), "Challenge",IF(ISNUMBER(SEARCH("Challenge",A137)), "Challenge",IF(ISNUMBER(SEARCH("Last To Leave",A137)),"Challenge",IF(ISNUMBER(SEARCH("Giving Away", A137)),"Giveaway",IF(ISNUMBER(SEARCH("Stranded",A137)),"Survival", IF(ISNUMBER(SEARCH("Survive",A137)), "Survival", IF(ISNUMBER(SEARCH("Days",A137)),"Endurance","Other"))))))))</f>
        <v>Other</v>
      </c>
    </row>
    <row r="138" spans="1:15" x14ac:dyDescent="0.3">
      <c r="A138" t="s">
        <v>150</v>
      </c>
      <c r="B138" s="1">
        <v>41773</v>
      </c>
      <c r="C138" s="2">
        <v>83391</v>
      </c>
      <c r="D138" s="3">
        <v>1582</v>
      </c>
      <c r="E138" s="3">
        <v>244</v>
      </c>
      <c r="F138">
        <f>YEAR(B138)</f>
        <v>2014</v>
      </c>
      <c r="G138" t="str">
        <f>TEXT(B138,"MMMM")</f>
        <v>May</v>
      </c>
      <c r="H138" t="str">
        <f>TEXT(B138, "DDDD")</f>
        <v>Wednesday</v>
      </c>
      <c r="I138">
        <f>((D138+E138)/C138)*100</f>
        <v>2.1896847381611924</v>
      </c>
      <c r="J138">
        <f>(D138/C138)*1000</f>
        <v>18.970872156467724</v>
      </c>
      <c r="K138">
        <f>(E138/C138)*1000</f>
        <v>2.9259752251441999</v>
      </c>
      <c r="L138">
        <f>CORREL(C138:C636, D138:D636)</f>
        <v>0.67513323454152507</v>
      </c>
      <c r="M138">
        <f>CORREL(C138:C636,E138:E636)</f>
        <v>0.77119402218747946</v>
      </c>
      <c r="N138">
        <f>LEN(A138)</f>
        <v>38</v>
      </c>
      <c r="O138" t="str">
        <f>IF(ISNUMBER(SEARCH("$",A138)), "Money", IF(ISNUMBER(SEARCH("Win",A138)), "Challenge",IF(ISNUMBER(SEARCH("Challenge",A138)), "Challenge",IF(ISNUMBER(SEARCH("Last To Leave",A138)),"Challenge",IF(ISNUMBER(SEARCH("Giving Away", A138)),"Giveaway",IF(ISNUMBER(SEARCH("Stranded",A138)),"Survival", IF(ISNUMBER(SEARCH("Survive",A138)), "Survival", IF(ISNUMBER(SEARCH("Days",A138)),"Endurance","Other"))))))))</f>
        <v>Other</v>
      </c>
    </row>
    <row r="139" spans="1:15" x14ac:dyDescent="0.3">
      <c r="A139" t="s">
        <v>151</v>
      </c>
      <c r="B139" s="1">
        <v>41799</v>
      </c>
      <c r="C139" s="2">
        <v>82632</v>
      </c>
      <c r="D139" s="3">
        <v>2120</v>
      </c>
      <c r="E139" s="3">
        <v>229</v>
      </c>
      <c r="F139">
        <f>YEAR(B139)</f>
        <v>2014</v>
      </c>
      <c r="G139" t="str">
        <f>TEXT(B139,"MMMM")</f>
        <v>June</v>
      </c>
      <c r="H139" t="str">
        <f>TEXT(B139, "DDDD")</f>
        <v>Monday</v>
      </c>
      <c r="I139">
        <f>((D139+E139)/C139)*100</f>
        <v>2.842724368283474</v>
      </c>
      <c r="J139">
        <f>(D139/C139)*1000</f>
        <v>25.655920224610323</v>
      </c>
      <c r="K139">
        <f>(E139/C139)*1000</f>
        <v>2.7713234582244168</v>
      </c>
      <c r="L139">
        <f>CORREL(C139:C637, D139:D637)</f>
        <v>0.67504419049245024</v>
      </c>
      <c r="M139">
        <f>CORREL(C139:C637,E139:E637)</f>
        <v>0.77108119393676611</v>
      </c>
      <c r="N139">
        <f>LEN(A139)</f>
        <v>28</v>
      </c>
      <c r="O139" t="str">
        <f>IF(ISNUMBER(SEARCH("$",A139)), "Money", IF(ISNUMBER(SEARCH("Win",A139)), "Challenge",IF(ISNUMBER(SEARCH("Challenge",A139)), "Challenge",IF(ISNUMBER(SEARCH("Last To Leave",A139)),"Challenge",IF(ISNUMBER(SEARCH("Giving Away", A139)),"Giveaway",IF(ISNUMBER(SEARCH("Stranded",A139)),"Survival", IF(ISNUMBER(SEARCH("Survive",A139)), "Survival", IF(ISNUMBER(SEARCH("Days",A139)),"Endurance","Other"))))))))</f>
        <v>Other</v>
      </c>
    </row>
    <row r="140" spans="1:15" x14ac:dyDescent="0.3">
      <c r="A140" t="s">
        <v>152</v>
      </c>
      <c r="B140" s="1">
        <v>41711</v>
      </c>
      <c r="C140" s="2">
        <v>79170</v>
      </c>
      <c r="D140" s="3">
        <v>2068</v>
      </c>
      <c r="E140" s="3">
        <v>374</v>
      </c>
      <c r="F140">
        <f>YEAR(B140)</f>
        <v>2014</v>
      </c>
      <c r="G140" t="str">
        <f>TEXT(B140,"MMMM")</f>
        <v>March</v>
      </c>
      <c r="H140" t="str">
        <f>TEXT(B140, "DDDD")</f>
        <v>Thursday</v>
      </c>
      <c r="I140">
        <f>((D140+E140)/C140)*100</f>
        <v>3.0845017051913604</v>
      </c>
      <c r="J140">
        <f>(D140/C140)*1000</f>
        <v>26.121005431350259</v>
      </c>
      <c r="K140">
        <f>(E140/C140)*1000</f>
        <v>4.7240116205633447</v>
      </c>
      <c r="L140">
        <f>CORREL(C140:C638, D140:D638)</f>
        <v>0.67493149243765604</v>
      </c>
      <c r="M140">
        <f>CORREL(C140:C638,E140:E638)</f>
        <v>0.77094030889982734</v>
      </c>
      <c r="N140">
        <f>LEN(A140)</f>
        <v>6</v>
      </c>
      <c r="O140" t="str">
        <f>IF(ISNUMBER(SEARCH("$",A140)), "Money", IF(ISNUMBER(SEARCH("Win",A140)), "Challenge",IF(ISNUMBER(SEARCH("Challenge",A140)), "Challenge",IF(ISNUMBER(SEARCH("Last To Leave",A140)),"Challenge",IF(ISNUMBER(SEARCH("Giving Away", A140)),"Giveaway",IF(ISNUMBER(SEARCH("Stranded",A140)),"Survival", IF(ISNUMBER(SEARCH("Survive",A140)), "Survival", IF(ISNUMBER(SEARCH("Days",A140)),"Endurance","Other"))))))))</f>
        <v>Other</v>
      </c>
    </row>
    <row r="141" spans="1:15" x14ac:dyDescent="0.3">
      <c r="A141" t="s">
        <v>153</v>
      </c>
      <c r="B141" s="1">
        <v>41726</v>
      </c>
      <c r="C141" s="2">
        <v>77386</v>
      </c>
      <c r="D141" s="3">
        <v>1950</v>
      </c>
      <c r="E141" s="3">
        <v>240</v>
      </c>
      <c r="F141">
        <f>YEAR(B141)</f>
        <v>2014</v>
      </c>
      <c r="G141" t="str">
        <f>TEXT(B141,"MMMM")</f>
        <v>March</v>
      </c>
      <c r="H141" t="str">
        <f>TEXT(B141, "DDDD")</f>
        <v>Friday</v>
      </c>
      <c r="I141">
        <f>((D141+E141)/C141)*100</f>
        <v>2.82996924508309</v>
      </c>
      <c r="J141">
        <f>(D141/C141)*1000</f>
        <v>25.198356291835733</v>
      </c>
      <c r="K141">
        <f>(E141/C141)*1000</f>
        <v>3.1013361589951671</v>
      </c>
      <c r="L141">
        <f>CORREL(C141:C639, D141:D639)</f>
        <v>0.67481920826778063</v>
      </c>
      <c r="M141">
        <f>CORREL(C141:C639,E141:E639)</f>
        <v>0.77078526298728811</v>
      </c>
      <c r="N141">
        <f>LEN(A141)</f>
        <v>23</v>
      </c>
      <c r="O141" t="str">
        <f>IF(ISNUMBER(SEARCH("$",A141)), "Money", IF(ISNUMBER(SEARCH("Win",A141)), "Challenge",IF(ISNUMBER(SEARCH("Challenge",A141)), "Challenge",IF(ISNUMBER(SEARCH("Last To Leave",A141)),"Challenge",IF(ISNUMBER(SEARCH("Giving Away", A141)),"Giveaway",IF(ISNUMBER(SEARCH("Stranded",A141)),"Survival", IF(ISNUMBER(SEARCH("Survive",A141)), "Survival", IF(ISNUMBER(SEARCH("Days",A141)),"Endurance","Other"))))))))</f>
        <v>Other</v>
      </c>
    </row>
    <row r="142" spans="1:15" x14ac:dyDescent="0.3">
      <c r="A142" t="s">
        <v>154</v>
      </c>
      <c r="B142" s="1">
        <v>41808</v>
      </c>
      <c r="C142" s="2">
        <v>77096</v>
      </c>
      <c r="D142" s="3">
        <v>1529</v>
      </c>
      <c r="E142" s="3">
        <v>180</v>
      </c>
      <c r="F142">
        <f>YEAR(B142)</f>
        <v>2014</v>
      </c>
      <c r="G142" t="str">
        <f>TEXT(B142,"MMMM")</f>
        <v>June</v>
      </c>
      <c r="H142" t="str">
        <f>TEXT(B142, "DDDD")</f>
        <v>Wednesday</v>
      </c>
      <c r="I142">
        <f>((D142+E142)/C142)*100</f>
        <v>2.2167168205873198</v>
      </c>
      <c r="J142">
        <f>(D142/C142)*1000</f>
        <v>19.832416727197259</v>
      </c>
      <c r="K142">
        <f>(E142/C142)*1000</f>
        <v>2.3347514786759365</v>
      </c>
      <c r="L142">
        <f>CORREL(C142:C640, D142:D640)</f>
        <v>0.67571879752633934</v>
      </c>
      <c r="M142">
        <f>CORREL(C142:C640,E142:E640)</f>
        <v>0.76133031066496881</v>
      </c>
      <c r="N142">
        <f>LEN(A142)</f>
        <v>39</v>
      </c>
      <c r="O142" t="str">
        <f>IF(ISNUMBER(SEARCH("$",A142)), "Money", IF(ISNUMBER(SEARCH("Win",A142)), "Challenge",IF(ISNUMBER(SEARCH("Challenge",A142)), "Challenge",IF(ISNUMBER(SEARCH("Last To Leave",A142)),"Challenge",IF(ISNUMBER(SEARCH("Giving Away", A142)),"Giveaway",IF(ISNUMBER(SEARCH("Stranded",A142)),"Survival", IF(ISNUMBER(SEARCH("Survive",A142)), "Survival", IF(ISNUMBER(SEARCH("Days",A142)),"Endurance","Other"))))))))</f>
        <v>Other</v>
      </c>
    </row>
    <row r="143" spans="1:15" x14ac:dyDescent="0.3">
      <c r="A143" t="s">
        <v>155</v>
      </c>
      <c r="B143" s="1">
        <v>41724</v>
      </c>
      <c r="C143" s="2">
        <v>70675</v>
      </c>
      <c r="D143" s="3">
        <v>1868</v>
      </c>
      <c r="E143" s="3">
        <v>255</v>
      </c>
      <c r="F143">
        <f>YEAR(B143)</f>
        <v>2014</v>
      </c>
      <c r="G143" t="str">
        <f>TEXT(B143,"MMMM")</f>
        <v>March</v>
      </c>
      <c r="H143" t="str">
        <f>TEXT(B143, "DDDD")</f>
        <v>Wednesday</v>
      </c>
      <c r="I143">
        <f>((D143+E143)/C143)*100</f>
        <v>3.0038910505836576</v>
      </c>
      <c r="J143">
        <f>(D143/C143)*1000</f>
        <v>26.430845419172268</v>
      </c>
      <c r="K143">
        <f>(E143/C143)*1000</f>
        <v>3.6080650866643085</v>
      </c>
      <c r="L143">
        <f>CORREL(C143:C641, D143:D641)</f>
        <v>0.67918205086560479</v>
      </c>
      <c r="M143">
        <f>CORREL(C143:C641,E143:E641)</f>
        <v>0.75991174387555127</v>
      </c>
      <c r="N143">
        <f>LEN(A143)</f>
        <v>41</v>
      </c>
      <c r="O143" t="str">
        <f>IF(ISNUMBER(SEARCH("$",A143)), "Money", IF(ISNUMBER(SEARCH("Win",A143)), "Challenge",IF(ISNUMBER(SEARCH("Challenge",A143)), "Challenge",IF(ISNUMBER(SEARCH("Last To Leave",A143)),"Challenge",IF(ISNUMBER(SEARCH("Giving Away", A143)),"Giveaway",IF(ISNUMBER(SEARCH("Stranded",A143)),"Survival", IF(ISNUMBER(SEARCH("Survive",A143)), "Survival", IF(ISNUMBER(SEARCH("Days",A143)),"Endurance","Other"))))))))</f>
        <v>Other</v>
      </c>
    </row>
    <row r="144" spans="1:15" x14ac:dyDescent="0.3">
      <c r="A144" t="s">
        <v>156</v>
      </c>
      <c r="B144" s="1">
        <v>41725</v>
      </c>
      <c r="C144" s="2">
        <v>68293</v>
      </c>
      <c r="D144" s="3">
        <v>2043</v>
      </c>
      <c r="E144" s="3">
        <v>501</v>
      </c>
      <c r="F144">
        <f>YEAR(B144)</f>
        <v>2014</v>
      </c>
      <c r="G144" t="str">
        <f>TEXT(B144,"MMMM")</f>
        <v>March</v>
      </c>
      <c r="H144" t="str">
        <f>TEXT(B144, "DDDD")</f>
        <v>Thursday</v>
      </c>
      <c r="I144">
        <f>((D144+E144)/C144)*100</f>
        <v>3.7251255619170336</v>
      </c>
      <c r="J144">
        <f>(D144/C144)*1000</f>
        <v>29.915218250772405</v>
      </c>
      <c r="K144">
        <f>(E144/C144)*1000</f>
        <v>7.3360373683979319</v>
      </c>
      <c r="L144">
        <f>CORREL(C144:C642, D144:D642)</f>
        <v>0.68374655553522046</v>
      </c>
      <c r="M144">
        <f>CORREL(C144:C642,E144:E642)</f>
        <v>0.75859829330218198</v>
      </c>
      <c r="N144">
        <f>LEN(A144)</f>
        <v>43</v>
      </c>
      <c r="O144" t="str">
        <f>IF(ISNUMBER(SEARCH("$",A144)), "Money", IF(ISNUMBER(SEARCH("Win",A144)), "Challenge",IF(ISNUMBER(SEARCH("Challenge",A144)), "Challenge",IF(ISNUMBER(SEARCH("Last To Leave",A144)),"Challenge",IF(ISNUMBER(SEARCH("Giving Away", A144)),"Giveaway",IF(ISNUMBER(SEARCH("Stranded",A144)),"Survival", IF(ISNUMBER(SEARCH("Survive",A144)), "Survival", IF(ISNUMBER(SEARCH("Days",A144)),"Endurance","Other"))))))))</f>
        <v>Other</v>
      </c>
    </row>
    <row r="145" spans="1:15" x14ac:dyDescent="0.3">
      <c r="A145" t="s">
        <v>157</v>
      </c>
      <c r="B145" s="1">
        <v>41783</v>
      </c>
      <c r="C145" s="2">
        <v>66455</v>
      </c>
      <c r="D145" s="3">
        <v>1911</v>
      </c>
      <c r="E145" s="3">
        <v>393</v>
      </c>
      <c r="F145">
        <f>YEAR(B145)</f>
        <v>2014</v>
      </c>
      <c r="G145" t="str">
        <f>TEXT(B145,"MMMM")</f>
        <v>May</v>
      </c>
      <c r="H145" t="str">
        <f>TEXT(B145, "DDDD")</f>
        <v>Saturday</v>
      </c>
      <c r="I145">
        <f>((D145+E145)/C145)*100</f>
        <v>3.467007749604996</v>
      </c>
      <c r="J145">
        <f>(D145/C145)*1000</f>
        <v>28.756301256489351</v>
      </c>
      <c r="K145">
        <f>(E145/C145)*1000</f>
        <v>5.9137762395606046</v>
      </c>
      <c r="L145">
        <f>CORREL(C145:C643, D145:D643)</f>
        <v>0.68692941048864475</v>
      </c>
      <c r="M145">
        <f>CORREL(C145:C643,E145:E643)</f>
        <v>0.76169462155165057</v>
      </c>
      <c r="N145">
        <f>LEN(A145)</f>
        <v>36</v>
      </c>
      <c r="O145" t="str">
        <f>IF(ISNUMBER(SEARCH("$",A145)), "Money", IF(ISNUMBER(SEARCH("Win",A145)), "Challenge",IF(ISNUMBER(SEARCH("Challenge",A145)), "Challenge",IF(ISNUMBER(SEARCH("Last To Leave",A145)),"Challenge",IF(ISNUMBER(SEARCH("Giving Away", A145)),"Giveaway",IF(ISNUMBER(SEARCH("Stranded",A145)),"Survival", IF(ISNUMBER(SEARCH("Survive",A145)), "Survival", IF(ISNUMBER(SEARCH("Days",A145)),"Endurance","Other"))))))))</f>
        <v>Other</v>
      </c>
    </row>
    <row r="146" spans="1:15" x14ac:dyDescent="0.3">
      <c r="A146" t="s">
        <v>158</v>
      </c>
      <c r="B146" s="1">
        <v>41825</v>
      </c>
      <c r="C146" s="2">
        <v>66224</v>
      </c>
      <c r="D146" s="3">
        <v>1815</v>
      </c>
      <c r="E146" s="3">
        <v>216</v>
      </c>
      <c r="F146">
        <f>YEAR(B146)</f>
        <v>2014</v>
      </c>
      <c r="G146" t="str">
        <f>TEXT(B146,"MMMM")</f>
        <v>July</v>
      </c>
      <c r="H146" t="str">
        <f>TEXT(B146, "DDDD")</f>
        <v>Saturday</v>
      </c>
      <c r="I146">
        <f>((D146+E146)/C146)*100</f>
        <v>3.0668639768059918</v>
      </c>
      <c r="J146">
        <f>(D146/C146)*1000</f>
        <v>27.406982362889586</v>
      </c>
      <c r="K146">
        <f>(E146/C146)*1000</f>
        <v>3.2616574051703311</v>
      </c>
      <c r="L146">
        <f>CORREL(C146:C644, D146:D644)</f>
        <v>0.69362644045930166</v>
      </c>
      <c r="M146">
        <f>CORREL(C146:C644,E146:E644)</f>
        <v>0.77120832371807868</v>
      </c>
      <c r="N146">
        <f>LEN(A146)</f>
        <v>41</v>
      </c>
      <c r="O146" t="str">
        <f>IF(ISNUMBER(SEARCH("$",A146)), "Money", IF(ISNUMBER(SEARCH("Win",A146)), "Challenge",IF(ISNUMBER(SEARCH("Challenge",A146)), "Challenge",IF(ISNUMBER(SEARCH("Last To Leave",A146)),"Challenge",IF(ISNUMBER(SEARCH("Giving Away", A146)),"Giveaway",IF(ISNUMBER(SEARCH("Stranded",A146)),"Survival", IF(ISNUMBER(SEARCH("Survive",A146)), "Survival", IF(ISNUMBER(SEARCH("Days",A146)),"Endurance","Other"))))))))</f>
        <v>Other</v>
      </c>
    </row>
    <row r="147" spans="1:15" x14ac:dyDescent="0.3">
      <c r="A147" t="s">
        <v>159</v>
      </c>
      <c r="B147" s="1">
        <v>41833</v>
      </c>
      <c r="C147" s="2">
        <v>65729</v>
      </c>
      <c r="D147" s="3">
        <v>1194</v>
      </c>
      <c r="E147" s="3">
        <v>184</v>
      </c>
      <c r="F147">
        <f>YEAR(B147)</f>
        <v>2014</v>
      </c>
      <c r="G147" t="str">
        <f>TEXT(B147,"MMMM")</f>
        <v>July</v>
      </c>
      <c r="H147" t="str">
        <f>TEXT(B147, "DDDD")</f>
        <v>Sunday</v>
      </c>
      <c r="I147">
        <f>((D147+E147)/C147)*100</f>
        <v>2.0964870909339863</v>
      </c>
      <c r="J147">
        <f>(D147/C147)*1000</f>
        <v>18.165497725509287</v>
      </c>
      <c r="K147">
        <f>(E147/C147)*1000</f>
        <v>2.7993731838305771</v>
      </c>
      <c r="L147">
        <f>CORREL(C147:C645, D147:D645)</f>
        <v>0.69564140839434996</v>
      </c>
      <c r="M147">
        <f>CORREL(C147:C645,E147:E645)</f>
        <v>0.77306646360040321</v>
      </c>
      <c r="N147">
        <f>LEN(A147)</f>
        <v>43</v>
      </c>
      <c r="O147" t="str">
        <f>IF(ISNUMBER(SEARCH("$",A147)), "Money", IF(ISNUMBER(SEARCH("Win",A147)), "Challenge",IF(ISNUMBER(SEARCH("Challenge",A147)), "Challenge",IF(ISNUMBER(SEARCH("Last To Leave",A147)),"Challenge",IF(ISNUMBER(SEARCH("Giving Away", A147)),"Giveaway",IF(ISNUMBER(SEARCH("Stranded",A147)),"Survival", IF(ISNUMBER(SEARCH("Survive",A147)), "Survival", IF(ISNUMBER(SEARCH("Days",A147)),"Endurance","Other"))))))))</f>
        <v>Other</v>
      </c>
    </row>
    <row r="148" spans="1:15" x14ac:dyDescent="0.3">
      <c r="A148" t="s">
        <v>160</v>
      </c>
      <c r="B148" s="1">
        <v>41960</v>
      </c>
      <c r="C148" s="2">
        <v>65288</v>
      </c>
      <c r="D148" s="3">
        <v>1416</v>
      </c>
      <c r="E148" s="3">
        <v>236</v>
      </c>
      <c r="F148">
        <f>YEAR(B148)</f>
        <v>2014</v>
      </c>
      <c r="G148" t="str">
        <f>TEXT(B148,"MMMM")</f>
        <v>November</v>
      </c>
      <c r="H148" t="str">
        <f>TEXT(B148, "DDDD")</f>
        <v>Monday</v>
      </c>
      <c r="I148">
        <f>((D148+E148)/C148)*100</f>
        <v>2.5303271657885062</v>
      </c>
      <c r="J148">
        <f>(D148/C148)*1000</f>
        <v>21.688518563901482</v>
      </c>
      <c r="K148">
        <f>(E148/C148)*1000</f>
        <v>3.6147530939835804</v>
      </c>
      <c r="L148">
        <f>CORREL(C148:C646, D148:D646)</f>
        <v>0.69826317160556117</v>
      </c>
      <c r="M148">
        <f>CORREL(C148:C646,E148:E646)</f>
        <v>0.77381577036814475</v>
      </c>
      <c r="N148">
        <f>LEN(A148)</f>
        <v>41</v>
      </c>
      <c r="O148" t="str">
        <f>IF(ISNUMBER(SEARCH("$",A148)), "Money", IF(ISNUMBER(SEARCH("Win",A148)), "Challenge",IF(ISNUMBER(SEARCH("Challenge",A148)), "Challenge",IF(ISNUMBER(SEARCH("Last To Leave",A148)),"Challenge",IF(ISNUMBER(SEARCH("Giving Away", A148)),"Giveaway",IF(ISNUMBER(SEARCH("Stranded",A148)),"Survival", IF(ISNUMBER(SEARCH("Survive",A148)), "Survival", IF(ISNUMBER(SEARCH("Days",A148)),"Endurance","Other"))))))))</f>
        <v>Other</v>
      </c>
    </row>
    <row r="149" spans="1:15" x14ac:dyDescent="0.3">
      <c r="A149" t="s">
        <v>161</v>
      </c>
      <c r="B149" s="1">
        <v>41871</v>
      </c>
      <c r="C149" s="2">
        <v>65276</v>
      </c>
      <c r="D149" s="3">
        <v>1701</v>
      </c>
      <c r="E149" s="3">
        <v>391</v>
      </c>
      <c r="F149">
        <f>YEAR(B149)</f>
        <v>2014</v>
      </c>
      <c r="G149" t="str">
        <f>TEXT(B149,"MMMM")</f>
        <v>August</v>
      </c>
      <c r="H149" t="str">
        <f>TEXT(B149, "DDDD")</f>
        <v>Wednesday</v>
      </c>
      <c r="I149">
        <f>((D149+E149)/C149)*100</f>
        <v>3.2048532385562845</v>
      </c>
      <c r="J149">
        <f>(D149/C149)*1000</f>
        <v>26.058582020957168</v>
      </c>
      <c r="K149">
        <f>(E149/C149)*1000</f>
        <v>5.9899503646056749</v>
      </c>
      <c r="L149">
        <f>CORREL(C149:C647, D149:D647)</f>
        <v>0.70230772032617195</v>
      </c>
      <c r="M149">
        <f>CORREL(C149:C647,E149:E647)</f>
        <v>0.78097705319431021</v>
      </c>
      <c r="N149">
        <f>LEN(A149)</f>
        <v>41</v>
      </c>
      <c r="O149" t="str">
        <f>IF(ISNUMBER(SEARCH("$",A149)), "Money", IF(ISNUMBER(SEARCH("Win",A149)), "Challenge",IF(ISNUMBER(SEARCH("Challenge",A149)), "Challenge",IF(ISNUMBER(SEARCH("Last To Leave",A149)),"Challenge",IF(ISNUMBER(SEARCH("Giving Away", A149)),"Giveaway",IF(ISNUMBER(SEARCH("Stranded",A149)),"Survival", IF(ISNUMBER(SEARCH("Survive",A149)), "Survival", IF(ISNUMBER(SEARCH("Days",A149)),"Endurance","Other"))))))))</f>
        <v>Other</v>
      </c>
    </row>
    <row r="150" spans="1:15" x14ac:dyDescent="0.3">
      <c r="A150" t="s">
        <v>162</v>
      </c>
      <c r="B150" s="1">
        <v>41830</v>
      </c>
      <c r="C150" s="2">
        <v>65100</v>
      </c>
      <c r="D150" s="3">
        <v>1681</v>
      </c>
      <c r="E150" s="3">
        <v>267</v>
      </c>
      <c r="F150">
        <f>YEAR(B150)</f>
        <v>2014</v>
      </c>
      <c r="G150" t="str">
        <f>TEXT(B150,"MMMM")</f>
        <v>July</v>
      </c>
      <c r="H150" t="str">
        <f>TEXT(B150, "DDDD")</f>
        <v>Thursday</v>
      </c>
      <c r="I150">
        <f>((D150+E150)/C150)*100</f>
        <v>2.9923195084485408</v>
      </c>
      <c r="J150">
        <f>(D150/C150)*1000</f>
        <v>25.821812596006144</v>
      </c>
      <c r="K150">
        <f>(E150/C150)*1000</f>
        <v>4.1013824884792625</v>
      </c>
      <c r="L150">
        <f>CORREL(C150:C648, D150:D648)</f>
        <v>0.7073994047480191</v>
      </c>
      <c r="M150">
        <f>CORREL(C150:C648,E150:E648)</f>
        <v>0.78653088104451629</v>
      </c>
      <c r="N150">
        <f>LEN(A150)</f>
        <v>42</v>
      </c>
      <c r="O150" t="str">
        <f>IF(ISNUMBER(SEARCH("$",A150)), "Money", IF(ISNUMBER(SEARCH("Win",A150)), "Challenge",IF(ISNUMBER(SEARCH("Challenge",A150)), "Challenge",IF(ISNUMBER(SEARCH("Last To Leave",A150)),"Challenge",IF(ISNUMBER(SEARCH("Giving Away", A150)),"Giveaway",IF(ISNUMBER(SEARCH("Stranded",A150)),"Survival", IF(ISNUMBER(SEARCH("Survive",A150)), "Survival", IF(ISNUMBER(SEARCH("Days",A150)),"Endurance","Other"))))))))</f>
        <v>Other</v>
      </c>
    </row>
    <row r="151" spans="1:15" x14ac:dyDescent="0.3">
      <c r="A151" t="s">
        <v>163</v>
      </c>
      <c r="B151" s="1">
        <v>41829</v>
      </c>
      <c r="C151" s="2">
        <v>65076</v>
      </c>
      <c r="D151" s="3">
        <v>2099</v>
      </c>
      <c r="E151" s="3">
        <v>386</v>
      </c>
      <c r="F151">
        <f>YEAR(B151)</f>
        <v>2014</v>
      </c>
      <c r="G151" t="str">
        <f>TEXT(B151,"MMMM")</f>
        <v>July</v>
      </c>
      <c r="H151" t="str">
        <f>TEXT(B151, "DDDD")</f>
        <v>Wednesday</v>
      </c>
      <c r="I151">
        <f>((D151+E151)/C151)*100</f>
        <v>3.8186120843321651</v>
      </c>
      <c r="J151">
        <f>(D151/C151)*1000</f>
        <v>32.254594627819777</v>
      </c>
      <c r="K151">
        <f>(E151/C151)*1000</f>
        <v>5.9315262155018749</v>
      </c>
      <c r="L151">
        <f>CORREL(C151:C649, D151:D649)</f>
        <v>0.70942806603789621</v>
      </c>
      <c r="M151">
        <f>CORREL(C151:C649,E151:E649)</f>
        <v>0.78807962093563066</v>
      </c>
      <c r="N151">
        <f>LEN(A151)</f>
        <v>23</v>
      </c>
      <c r="O151" t="str">
        <f>IF(ISNUMBER(SEARCH("$",A151)), "Money", IF(ISNUMBER(SEARCH("Win",A151)), "Challenge",IF(ISNUMBER(SEARCH("Challenge",A151)), "Challenge",IF(ISNUMBER(SEARCH("Last To Leave",A151)),"Challenge",IF(ISNUMBER(SEARCH("Giving Away", A151)),"Giveaway",IF(ISNUMBER(SEARCH("Stranded",A151)),"Survival", IF(ISNUMBER(SEARCH("Survive",A151)), "Survival", IF(ISNUMBER(SEARCH("Days",A151)),"Endurance","Other"))))))))</f>
        <v>Other</v>
      </c>
    </row>
    <row r="152" spans="1:15" x14ac:dyDescent="0.3">
      <c r="A152" t="s">
        <v>164</v>
      </c>
      <c r="B152" s="1">
        <v>41811</v>
      </c>
      <c r="C152" s="2">
        <v>65046</v>
      </c>
      <c r="D152" s="3">
        <v>1900</v>
      </c>
      <c r="E152" s="3">
        <v>406</v>
      </c>
      <c r="F152">
        <f>YEAR(B152)</f>
        <v>2014</v>
      </c>
      <c r="G152" t="str">
        <f>TEXT(B152,"MMMM")</f>
        <v>June</v>
      </c>
      <c r="H152" t="str">
        <f>TEXT(B152, "DDDD")</f>
        <v>Saturday</v>
      </c>
      <c r="I152">
        <f>((D152+E152)/C152)*100</f>
        <v>3.545183408664637</v>
      </c>
      <c r="J152">
        <f>(D152/C152)*1000</f>
        <v>29.210097469483134</v>
      </c>
      <c r="K152">
        <f>(E152/C152)*1000</f>
        <v>6.2417366171632382</v>
      </c>
      <c r="L152">
        <f>CORREL(C152:C650, D152:D650)</f>
        <v>0.71553068125763319</v>
      </c>
      <c r="M152">
        <f>CORREL(C152:C650,E152:E650)</f>
        <v>0.79254236879123985</v>
      </c>
      <c r="N152">
        <f>LEN(A152)</f>
        <v>36</v>
      </c>
      <c r="O152" t="str">
        <f>IF(ISNUMBER(SEARCH("$",A152)), "Money", IF(ISNUMBER(SEARCH("Win",A152)), "Challenge",IF(ISNUMBER(SEARCH("Challenge",A152)), "Challenge",IF(ISNUMBER(SEARCH("Last To Leave",A152)),"Challenge",IF(ISNUMBER(SEARCH("Giving Away", A152)),"Giveaway",IF(ISNUMBER(SEARCH("Stranded",A152)),"Survival", IF(ISNUMBER(SEARCH("Survive",A152)), "Survival", IF(ISNUMBER(SEARCH("Days",A152)),"Endurance","Other"))))))))</f>
        <v>Other</v>
      </c>
    </row>
    <row r="153" spans="1:15" x14ac:dyDescent="0.3">
      <c r="A153" t="s">
        <v>165</v>
      </c>
      <c r="B153" s="1">
        <v>41812</v>
      </c>
      <c r="C153" s="2">
        <v>65046</v>
      </c>
      <c r="D153" s="3">
        <v>1842</v>
      </c>
      <c r="E153" s="3">
        <v>428</v>
      </c>
      <c r="F153">
        <f>YEAR(B153)</f>
        <v>2014</v>
      </c>
      <c r="G153" t="str">
        <f>TEXT(B153,"MMMM")</f>
        <v>June</v>
      </c>
      <c r="H153" t="str">
        <f>TEXT(B153, "DDDD")</f>
        <v>Sunday</v>
      </c>
      <c r="I153">
        <f>((D153+E153)/C153)*100</f>
        <v>3.4898379608277219</v>
      </c>
      <c r="J153">
        <f>(D153/C153)*1000</f>
        <v>28.318420809888387</v>
      </c>
      <c r="K153">
        <f>(E153/C153)*1000</f>
        <v>6.5799587983888328</v>
      </c>
      <c r="L153">
        <f>CORREL(C153:C651, D153:D651)</f>
        <v>0.71773648669898216</v>
      </c>
      <c r="M153">
        <f>CORREL(C153:C651,E153:E651)</f>
        <v>0.79585618220127818</v>
      </c>
      <c r="N153">
        <f>LEN(A153)</f>
        <v>40</v>
      </c>
      <c r="O153" t="str">
        <f>IF(ISNUMBER(SEARCH("$",A153)), "Money", IF(ISNUMBER(SEARCH("Win",A153)), "Challenge",IF(ISNUMBER(SEARCH("Challenge",A153)), "Challenge",IF(ISNUMBER(SEARCH("Last To Leave",A153)),"Challenge",IF(ISNUMBER(SEARCH("Giving Away", A153)),"Giveaway",IF(ISNUMBER(SEARCH("Stranded",A153)),"Survival", IF(ISNUMBER(SEARCH("Survive",A153)), "Survival", IF(ISNUMBER(SEARCH("Days",A153)),"Endurance","Other"))))))))</f>
        <v>Other</v>
      </c>
    </row>
    <row r="154" spans="1:15" x14ac:dyDescent="0.3">
      <c r="A154" t="s">
        <v>166</v>
      </c>
      <c r="B154" s="1">
        <v>41800</v>
      </c>
      <c r="C154" s="2">
        <v>65045</v>
      </c>
      <c r="D154" s="3">
        <v>1965</v>
      </c>
      <c r="E154" s="3">
        <v>477</v>
      </c>
      <c r="F154">
        <f>YEAR(B154)</f>
        <v>2014</v>
      </c>
      <c r="G154" t="str">
        <f>TEXT(B154,"MMMM")</f>
        <v>June</v>
      </c>
      <c r="H154" t="str">
        <f>TEXT(B154, "DDDD")</f>
        <v>Tuesday</v>
      </c>
      <c r="I154">
        <f>((D154+E154)/C154)*100</f>
        <v>3.7543239295872088</v>
      </c>
      <c r="J154">
        <f>(D154/C154)*1000</f>
        <v>30.209854715965871</v>
      </c>
      <c r="K154">
        <f>(E154/C154)*1000</f>
        <v>7.3333845799062187</v>
      </c>
      <c r="L154">
        <f>CORREL(C154:C652, D154:D652)</f>
        <v>0.71904574073519578</v>
      </c>
      <c r="M154">
        <f>CORREL(C154:C652,E154:E652)</f>
        <v>0.7959564410738349</v>
      </c>
      <c r="N154">
        <f>LEN(A154)</f>
        <v>34</v>
      </c>
      <c r="O154" t="str">
        <f>IF(ISNUMBER(SEARCH("$",A154)), "Money", IF(ISNUMBER(SEARCH("Win",A154)), "Challenge",IF(ISNUMBER(SEARCH("Challenge",A154)), "Challenge",IF(ISNUMBER(SEARCH("Last To Leave",A154)),"Challenge",IF(ISNUMBER(SEARCH("Giving Away", A154)),"Giveaway",IF(ISNUMBER(SEARCH("Stranded",A154)),"Survival", IF(ISNUMBER(SEARCH("Survive",A154)), "Survival", IF(ISNUMBER(SEARCH("Days",A154)),"Endurance","Other"))))))))</f>
        <v>Other</v>
      </c>
    </row>
    <row r="155" spans="1:15" x14ac:dyDescent="0.3">
      <c r="A155" t="s">
        <v>167</v>
      </c>
      <c r="B155" s="1">
        <v>41806</v>
      </c>
      <c r="C155" s="2">
        <v>65044</v>
      </c>
      <c r="D155" s="3">
        <v>1991</v>
      </c>
      <c r="E155" s="3">
        <v>474</v>
      </c>
      <c r="F155">
        <f>YEAR(B155)</f>
        <v>2014</v>
      </c>
      <c r="G155" t="str">
        <f>TEXT(B155,"MMMM")</f>
        <v>June</v>
      </c>
      <c r="H155" t="str">
        <f>TEXT(B155, "DDDD")</f>
        <v>Monday</v>
      </c>
      <c r="I155">
        <f>((D155+E155)/C155)*100</f>
        <v>3.7897423282700937</v>
      </c>
      <c r="J155">
        <f>(D155/C155)*1000</f>
        <v>30.610048582498003</v>
      </c>
      <c r="K155">
        <f>(E155/C155)*1000</f>
        <v>7.287374700202939</v>
      </c>
      <c r="L155">
        <f>CORREL(C155:C653, D155:D653)</f>
        <v>0.72415812004819813</v>
      </c>
      <c r="M155">
        <f>CORREL(C155:C653,E155:E653)</f>
        <v>0.7993766728624383</v>
      </c>
      <c r="N155">
        <f>LEN(A155)</f>
        <v>7</v>
      </c>
      <c r="O155" t="str">
        <f>IF(ISNUMBER(SEARCH("$",A155)), "Money", IF(ISNUMBER(SEARCH("Win",A155)), "Challenge",IF(ISNUMBER(SEARCH("Challenge",A155)), "Challenge",IF(ISNUMBER(SEARCH("Last To Leave",A155)),"Challenge",IF(ISNUMBER(SEARCH("Giving Away", A155)),"Giveaway",IF(ISNUMBER(SEARCH("Stranded",A155)),"Survival", IF(ISNUMBER(SEARCH("Survive",A155)), "Survival", IF(ISNUMBER(SEARCH("Days",A155)),"Endurance","Other"))))))))</f>
        <v>Other</v>
      </c>
    </row>
    <row r="156" spans="1:15" x14ac:dyDescent="0.3">
      <c r="A156" t="s">
        <v>168</v>
      </c>
      <c r="B156" s="1">
        <v>41803</v>
      </c>
      <c r="C156" s="2">
        <v>65041</v>
      </c>
      <c r="D156" s="3">
        <v>1901</v>
      </c>
      <c r="E156" s="3">
        <v>433</v>
      </c>
      <c r="F156">
        <f>YEAR(B156)</f>
        <v>2014</v>
      </c>
      <c r="G156" t="str">
        <f>TEXT(B156,"MMMM")</f>
        <v>June</v>
      </c>
      <c r="H156" t="str">
        <f>TEXT(B156, "DDDD")</f>
        <v>Friday</v>
      </c>
      <c r="I156">
        <f>((D156+E156)/C156)*100</f>
        <v>3.5885057117817989</v>
      </c>
      <c r="J156">
        <f>(D156/C156)*1000</f>
        <v>29.227717901016284</v>
      </c>
      <c r="K156">
        <f>(E156/C156)*1000</f>
        <v>6.6573392168017094</v>
      </c>
      <c r="L156">
        <f>CORREL(C156:C654, D156:D654)</f>
        <v>0.72487201514907584</v>
      </c>
      <c r="M156">
        <f>CORREL(C156:C654,E156:E654)</f>
        <v>0.79847638610735872</v>
      </c>
      <c r="N156">
        <f>LEN(A156)</f>
        <v>33</v>
      </c>
      <c r="O156" t="str">
        <f>IF(ISNUMBER(SEARCH("$",A156)), "Money", IF(ISNUMBER(SEARCH("Win",A156)), "Challenge",IF(ISNUMBER(SEARCH("Challenge",A156)), "Challenge",IF(ISNUMBER(SEARCH("Last To Leave",A156)),"Challenge",IF(ISNUMBER(SEARCH("Giving Away", A156)),"Giveaway",IF(ISNUMBER(SEARCH("Stranded",A156)),"Survival", IF(ISNUMBER(SEARCH("Survive",A156)), "Survival", IF(ISNUMBER(SEARCH("Days",A156)),"Endurance","Other"))))))))</f>
        <v>Other</v>
      </c>
    </row>
    <row r="157" spans="1:15" x14ac:dyDescent="0.3">
      <c r="A157" t="s">
        <v>169</v>
      </c>
      <c r="B157" s="1">
        <v>41829</v>
      </c>
      <c r="C157" s="2">
        <v>65039</v>
      </c>
      <c r="D157" s="3">
        <v>1798</v>
      </c>
      <c r="E157" s="3">
        <v>330</v>
      </c>
      <c r="F157">
        <f>YEAR(B157)</f>
        <v>2014</v>
      </c>
      <c r="G157" t="str">
        <f>TEXT(B157,"MMMM")</f>
        <v>July</v>
      </c>
      <c r="H157" t="str">
        <f>TEXT(B157, "DDDD")</f>
        <v>Wednesday</v>
      </c>
      <c r="I157">
        <f>((D157+E157)/C157)*100</f>
        <v>3.2718830240317347</v>
      </c>
      <c r="J157">
        <f>(D157/C157)*1000</f>
        <v>27.644951490644075</v>
      </c>
      <c r="K157">
        <f>(E157/C157)*1000</f>
        <v>5.0738787496732725</v>
      </c>
      <c r="L157">
        <f>CORREL(C157:C655, D157:D655)</f>
        <v>0.72609842835551131</v>
      </c>
      <c r="M157">
        <f>CORREL(C157:C655,E157:E655)</f>
        <v>0.79767601933406995</v>
      </c>
      <c r="N157">
        <f>LEN(A157)</f>
        <v>34</v>
      </c>
      <c r="O157" t="str">
        <f>IF(ISNUMBER(SEARCH("$",A157)), "Money", IF(ISNUMBER(SEARCH("Win",A157)), "Challenge",IF(ISNUMBER(SEARCH("Challenge",A157)), "Challenge",IF(ISNUMBER(SEARCH("Last To Leave",A157)),"Challenge",IF(ISNUMBER(SEARCH("Giving Away", A157)),"Giveaway",IF(ISNUMBER(SEARCH("Stranded",A157)),"Survival", IF(ISNUMBER(SEARCH("Survive",A157)), "Survival", IF(ISNUMBER(SEARCH("Days",A157)),"Endurance","Other"))))))))</f>
        <v>Other</v>
      </c>
    </row>
    <row r="158" spans="1:15" x14ac:dyDescent="0.3">
      <c r="A158" t="s">
        <v>170</v>
      </c>
      <c r="B158" s="1">
        <v>42327</v>
      </c>
      <c r="C158" s="2">
        <v>14247886</v>
      </c>
      <c r="D158" s="3">
        <v>532307</v>
      </c>
      <c r="E158" s="3">
        <v>34725</v>
      </c>
      <c r="F158">
        <f>YEAR(B158)</f>
        <v>2015</v>
      </c>
      <c r="G158" t="str">
        <f>TEXT(B158,"MMMM")</f>
        <v>November</v>
      </c>
      <c r="H158" t="str">
        <f>TEXT(B158, "DDDD")</f>
        <v>Thursday</v>
      </c>
      <c r="I158">
        <f>((D158+E158)/C158)*100</f>
        <v>3.9797623310573931</v>
      </c>
      <c r="J158">
        <f>(D158/C158)*1000</f>
        <v>37.360419644008942</v>
      </c>
      <c r="K158">
        <f>(E158/C158)*1000</f>
        <v>2.437203666564991</v>
      </c>
      <c r="L158">
        <f>CORREL(C158:C656, D158:D656)</f>
        <v>0.72893095278619591</v>
      </c>
      <c r="M158">
        <f>CORREL(C158:C656,E158:E656)</f>
        <v>0.80034971863322812</v>
      </c>
      <c r="N158">
        <f>LEN(A158)</f>
        <v>38</v>
      </c>
      <c r="O158" t="str">
        <f>IF(ISNUMBER(SEARCH("$",A158)), "Money", IF(ISNUMBER(SEARCH("Win",A158)), "Challenge",IF(ISNUMBER(SEARCH("Challenge",A158)), "Challenge",IF(ISNUMBER(SEARCH("Last To Leave",A158)),"Challenge",IF(ISNUMBER(SEARCH("Giving Away", A158)),"Giveaway",IF(ISNUMBER(SEARCH("Stranded",A158)),"Survival", IF(ISNUMBER(SEARCH("Survive",A158)), "Survival", IF(ISNUMBER(SEARCH("Days",A158)),"Endurance","Other"))))))))</f>
        <v>Other</v>
      </c>
    </row>
    <row r="159" spans="1:15" x14ac:dyDescent="0.3">
      <c r="A159" t="s">
        <v>171</v>
      </c>
      <c r="B159" s="1">
        <v>42252</v>
      </c>
      <c r="C159" s="2">
        <v>8838373</v>
      </c>
      <c r="D159" s="3">
        <v>391462</v>
      </c>
      <c r="E159" s="3">
        <v>18779</v>
      </c>
      <c r="F159">
        <f>YEAR(B159)</f>
        <v>2015</v>
      </c>
      <c r="G159" t="str">
        <f>TEXT(B159,"MMMM")</f>
        <v>September</v>
      </c>
      <c r="H159" t="str">
        <f>TEXT(B159, "DDDD")</f>
        <v>Saturday</v>
      </c>
      <c r="I159">
        <f>((D159+E159)/C159)*100</f>
        <v>4.6415895776292766</v>
      </c>
      <c r="J159">
        <f>(D159/C159)*1000</f>
        <v>44.291183456502687</v>
      </c>
      <c r="K159">
        <f>(E159/C159)*1000</f>
        <v>2.124712319790079</v>
      </c>
      <c r="L159">
        <f>CORREL(C159:C657, D159:D657)</f>
        <v>0.73073799680783447</v>
      </c>
      <c r="M159">
        <f>CORREL(C159:C657,E159:E657)</f>
        <v>0.80290209132083923</v>
      </c>
      <c r="N159">
        <f>LEN(A159)</f>
        <v>22</v>
      </c>
      <c r="O159" t="str">
        <f>IF(ISNUMBER(SEARCH("$",A159)), "Money", IF(ISNUMBER(SEARCH("Win",A159)), "Challenge",IF(ISNUMBER(SEARCH("Challenge",A159)), "Challenge",IF(ISNUMBER(SEARCH("Last To Leave",A159)),"Challenge",IF(ISNUMBER(SEARCH("Giving Away", A159)),"Giveaway",IF(ISNUMBER(SEARCH("Stranded",A159)),"Survival", IF(ISNUMBER(SEARCH("Survive",A159)), "Survival", IF(ISNUMBER(SEARCH("Days",A159)),"Endurance","Other"))))))))</f>
        <v>Other</v>
      </c>
    </row>
    <row r="160" spans="1:15" x14ac:dyDescent="0.3">
      <c r="A160" t="s">
        <v>172</v>
      </c>
      <c r="B160" s="1">
        <v>42337</v>
      </c>
      <c r="C160" s="2">
        <v>7620693</v>
      </c>
      <c r="D160" s="3">
        <v>347607</v>
      </c>
      <c r="E160" s="3">
        <v>24365</v>
      </c>
      <c r="F160">
        <f>YEAR(B160)</f>
        <v>2015</v>
      </c>
      <c r="G160" t="str">
        <f>TEXT(B160,"MMMM")</f>
        <v>November</v>
      </c>
      <c r="H160" t="str">
        <f>TEXT(B160, "DDDD")</f>
        <v>Sunday</v>
      </c>
      <c r="I160">
        <f>((D160+E160)/C160)*100</f>
        <v>4.8810784006126475</v>
      </c>
      <c r="J160">
        <f>(D160/C160)*1000</f>
        <v>45.6135682148592</v>
      </c>
      <c r="K160">
        <f>(E160/C160)*1000</f>
        <v>3.1972157912672774</v>
      </c>
      <c r="L160">
        <f>CORREL(C160:C658, D160:D658)</f>
        <v>0.73122859600448453</v>
      </c>
      <c r="M160">
        <f>CORREL(C160:C658,E160:E658)</f>
        <v>0.80211883970639986</v>
      </c>
      <c r="N160">
        <f>LEN(A160)</f>
        <v>38</v>
      </c>
      <c r="O160" t="str">
        <f>IF(ISNUMBER(SEARCH("$",A160)), "Money", IF(ISNUMBER(SEARCH("Win",A160)), "Challenge",IF(ISNUMBER(SEARCH("Challenge",A160)), "Challenge",IF(ISNUMBER(SEARCH("Last To Leave",A160)),"Challenge",IF(ISNUMBER(SEARCH("Giving Away", A160)),"Giveaway",IF(ISNUMBER(SEARCH("Stranded",A160)),"Survival", IF(ISNUMBER(SEARCH("Survive",A160)), "Survival", IF(ISNUMBER(SEARCH("Days",A160)),"Endurance","Other"))))))))</f>
        <v>Money</v>
      </c>
    </row>
    <row r="161" spans="1:15" x14ac:dyDescent="0.3">
      <c r="A161" t="s">
        <v>173</v>
      </c>
      <c r="B161" s="1">
        <v>42210</v>
      </c>
      <c r="C161" s="2">
        <v>1830962</v>
      </c>
      <c r="D161" s="3">
        <v>18621</v>
      </c>
      <c r="E161" s="3">
        <v>2758</v>
      </c>
      <c r="F161">
        <f>YEAR(B161)</f>
        <v>2015</v>
      </c>
      <c r="G161" t="str">
        <f>TEXT(B161,"MMMM")</f>
        <v>July</v>
      </c>
      <c r="H161" t="str">
        <f>TEXT(B161, "DDDD")</f>
        <v>Saturday</v>
      </c>
      <c r="I161">
        <f>((D161+E161)/C161)*100</f>
        <v>1.1676375588351915</v>
      </c>
      <c r="J161">
        <f>(D161/C161)*1000</f>
        <v>10.170063605907714</v>
      </c>
      <c r="K161">
        <f>(E161/C161)*1000</f>
        <v>1.5063119824442015</v>
      </c>
      <c r="L161">
        <f>CORREL(C161:C659, D161:D659)</f>
        <v>0.7341118273621885</v>
      </c>
      <c r="M161">
        <f>CORREL(C161:C659,E161:E659)</f>
        <v>0.71911050148105682</v>
      </c>
      <c r="N161">
        <f>LEN(A161)</f>
        <v>48</v>
      </c>
      <c r="O161" t="str">
        <f>IF(ISNUMBER(SEARCH("$",A161)), "Money", IF(ISNUMBER(SEARCH("Win",A161)), "Challenge",IF(ISNUMBER(SEARCH("Challenge",A161)), "Challenge",IF(ISNUMBER(SEARCH("Last To Leave",A161)),"Challenge",IF(ISNUMBER(SEARCH("Giving Away", A161)),"Giveaway",IF(ISNUMBER(SEARCH("Stranded",A161)),"Survival", IF(ISNUMBER(SEARCH("Survive",A161)), "Survival", IF(ISNUMBER(SEARCH("Days",A161)),"Endurance","Other"))))))))</f>
        <v>Other</v>
      </c>
    </row>
    <row r="162" spans="1:15" x14ac:dyDescent="0.3">
      <c r="A162" t="s">
        <v>174</v>
      </c>
      <c r="B162" s="1">
        <v>42285</v>
      </c>
      <c r="C162" s="2">
        <v>1797257</v>
      </c>
      <c r="D162" s="3">
        <v>133141</v>
      </c>
      <c r="E162" s="3">
        <v>13072</v>
      </c>
      <c r="F162">
        <f>YEAR(B162)</f>
        <v>2015</v>
      </c>
      <c r="G162" t="str">
        <f>TEXT(B162,"MMMM")</f>
        <v>October</v>
      </c>
      <c r="H162" t="str">
        <f>TEXT(B162, "DDDD")</f>
        <v>Thursday</v>
      </c>
      <c r="I162">
        <f>((D162+E162)/C162)*100</f>
        <v>8.1353418014229462</v>
      </c>
      <c r="J162">
        <f>(D162/C162)*1000</f>
        <v>74.080112081911494</v>
      </c>
      <c r="K162">
        <f>(E162/C162)*1000</f>
        <v>7.273305932317971</v>
      </c>
      <c r="L162">
        <f>CORREL(C162:C660, D162:D660)</f>
        <v>0.73590004047122093</v>
      </c>
      <c r="M162">
        <f>CORREL(C162:C660,E162:E660)</f>
        <v>0.71973904710347414</v>
      </c>
      <c r="N162">
        <f>LEN(A162)</f>
        <v>29</v>
      </c>
      <c r="O162" t="str">
        <f>IF(ISNUMBER(SEARCH("$",A162)), "Money", IF(ISNUMBER(SEARCH("Win",A162)), "Challenge",IF(ISNUMBER(SEARCH("Challenge",A162)), "Challenge",IF(ISNUMBER(SEARCH("Last To Leave",A162)),"Challenge",IF(ISNUMBER(SEARCH("Giving Away", A162)),"Giveaway",IF(ISNUMBER(SEARCH("Stranded",A162)),"Survival", IF(ISNUMBER(SEARCH("Survive",A162)), "Survival", IF(ISNUMBER(SEARCH("Days",A162)),"Endurance","Other"))))))))</f>
        <v>Other</v>
      </c>
    </row>
    <row r="163" spans="1:15" x14ac:dyDescent="0.3">
      <c r="A163" t="s">
        <v>175</v>
      </c>
      <c r="B163" s="1">
        <v>42260</v>
      </c>
      <c r="C163" s="2">
        <v>1767687</v>
      </c>
      <c r="D163" s="3">
        <v>33698</v>
      </c>
      <c r="E163" s="3">
        <v>2766</v>
      </c>
      <c r="F163">
        <f>YEAR(B163)</f>
        <v>2015</v>
      </c>
      <c r="G163" t="str">
        <f>TEXT(B163,"MMMM")</f>
        <v>September</v>
      </c>
      <c r="H163" t="str">
        <f>TEXT(B163, "DDDD")</f>
        <v>Sunday</v>
      </c>
      <c r="I163">
        <f>((D163+E163)/C163)*100</f>
        <v>2.062808630713469</v>
      </c>
      <c r="J163">
        <f>(D163/C163)*1000</f>
        <v>19.063329650554653</v>
      </c>
      <c r="K163">
        <f>(E163/C163)*1000</f>
        <v>1.5647566565800393</v>
      </c>
      <c r="L163">
        <f>CORREL(C163:C661, D163:D661)</f>
        <v>0.73705085101503154</v>
      </c>
      <c r="M163">
        <f>CORREL(C163:C661,E163:E661)</f>
        <v>0.71924413902821427</v>
      </c>
      <c r="N163">
        <f>LEN(A163)</f>
        <v>37</v>
      </c>
      <c r="O163" t="str">
        <f>IF(ISNUMBER(SEARCH("$",A163)), "Money", IF(ISNUMBER(SEARCH("Win",A163)), "Challenge",IF(ISNUMBER(SEARCH("Challenge",A163)), "Challenge",IF(ISNUMBER(SEARCH("Last To Leave",A163)),"Challenge",IF(ISNUMBER(SEARCH("Giving Away", A163)),"Giveaway",IF(ISNUMBER(SEARCH("Stranded",A163)),"Survival", IF(ISNUMBER(SEARCH("Survive",A163)), "Survival", IF(ISNUMBER(SEARCH("Days",A163)),"Endurance","Other"))))))))</f>
        <v>Other</v>
      </c>
    </row>
    <row r="164" spans="1:15" x14ac:dyDescent="0.3">
      <c r="A164" t="s">
        <v>176</v>
      </c>
      <c r="B164" s="1">
        <v>42185</v>
      </c>
      <c r="C164" s="2">
        <v>1697863</v>
      </c>
      <c r="D164" s="3">
        <v>115899</v>
      </c>
      <c r="E164" s="3">
        <v>12957</v>
      </c>
      <c r="F164">
        <f>YEAR(B164)</f>
        <v>2015</v>
      </c>
      <c r="G164" t="str">
        <f>TEXT(B164,"MMMM")</f>
        <v>June</v>
      </c>
      <c r="H164" t="str">
        <f>TEXT(B164, "DDDD")</f>
        <v>Tuesday</v>
      </c>
      <c r="I164">
        <f>((D164+E164)/C164)*100</f>
        <v>7.5893049085821414</v>
      </c>
      <c r="J164">
        <f>(D164/C164)*1000</f>
        <v>68.261691314316877</v>
      </c>
      <c r="K164">
        <f>(E164/C164)*1000</f>
        <v>7.6313577715045326</v>
      </c>
      <c r="L164">
        <f>CORREL(C164:C662, D164:D662)</f>
        <v>0.73860612533362124</v>
      </c>
      <c r="M164">
        <f>CORREL(C164:C662,E164:E662)</f>
        <v>0.7210226087115934</v>
      </c>
      <c r="N164">
        <f>LEN(A164)</f>
        <v>24</v>
      </c>
      <c r="O164" t="str">
        <f>IF(ISNUMBER(SEARCH("$",A164)), "Money", IF(ISNUMBER(SEARCH("Win",A164)), "Challenge",IF(ISNUMBER(SEARCH("Challenge",A164)), "Challenge",IF(ISNUMBER(SEARCH("Last To Leave",A164)),"Challenge",IF(ISNUMBER(SEARCH("Giving Away", A164)),"Giveaway",IF(ISNUMBER(SEARCH("Stranded",A164)),"Survival", IF(ISNUMBER(SEARCH("Survive",A164)), "Survival", IF(ISNUMBER(SEARCH("Days",A164)),"Endurance","Other"))))))))</f>
        <v>Other</v>
      </c>
    </row>
    <row r="165" spans="1:15" x14ac:dyDescent="0.3">
      <c r="A165" t="s">
        <v>177</v>
      </c>
      <c r="B165" s="1">
        <v>42234</v>
      </c>
      <c r="C165" s="2">
        <v>1591915</v>
      </c>
      <c r="D165" s="3">
        <v>38785</v>
      </c>
      <c r="E165" s="3">
        <v>2773</v>
      </c>
      <c r="F165">
        <f>YEAR(B165)</f>
        <v>2015</v>
      </c>
      <c r="G165" t="str">
        <f>TEXT(B165,"MMMM")</f>
        <v>August</v>
      </c>
      <c r="H165" t="str">
        <f>TEXT(B165, "DDDD")</f>
        <v>Tuesday</v>
      </c>
      <c r="I165">
        <f>((D165+E165)/C165)*100</f>
        <v>2.6105665189410239</v>
      </c>
      <c r="J165">
        <f>(D165/C165)*1000</f>
        <v>24.363738013650227</v>
      </c>
      <c r="K165">
        <f>(E165/C165)*1000</f>
        <v>1.7419271757600123</v>
      </c>
      <c r="L165">
        <f>CORREL(C165:C663, D165:D663)</f>
        <v>0.74033256181494045</v>
      </c>
      <c r="M165">
        <f>CORREL(C165:C663,E165:E663)</f>
        <v>0.72354343371904495</v>
      </c>
      <c r="N165">
        <f>LEN(A165)</f>
        <v>3</v>
      </c>
      <c r="O165" t="str">
        <f>IF(ISNUMBER(SEARCH("$",A165)), "Money", IF(ISNUMBER(SEARCH("Win",A165)), "Challenge",IF(ISNUMBER(SEARCH("Challenge",A165)), "Challenge",IF(ISNUMBER(SEARCH("Last To Leave",A165)),"Challenge",IF(ISNUMBER(SEARCH("Giving Away", A165)),"Giveaway",IF(ISNUMBER(SEARCH("Stranded",A165)),"Survival", IF(ISNUMBER(SEARCH("Survive",A165)), "Survival", IF(ISNUMBER(SEARCH("Days",A165)),"Endurance","Other"))))))))</f>
        <v>Other</v>
      </c>
    </row>
    <row r="166" spans="1:15" x14ac:dyDescent="0.3">
      <c r="A166" t="s">
        <v>178</v>
      </c>
      <c r="B166" s="1">
        <v>42272</v>
      </c>
      <c r="C166" s="2">
        <v>1382226</v>
      </c>
      <c r="D166" s="3">
        <v>72034</v>
      </c>
      <c r="E166" s="3">
        <v>3992</v>
      </c>
      <c r="F166">
        <f>YEAR(B166)</f>
        <v>2015</v>
      </c>
      <c r="G166" t="str">
        <f>TEXT(B166,"MMMM")</f>
        <v>September</v>
      </c>
      <c r="H166" t="str">
        <f>TEXT(B166, "DDDD")</f>
        <v>Friday</v>
      </c>
      <c r="I166">
        <f>((D166+E166)/C166)*100</f>
        <v>5.5002582790368582</v>
      </c>
      <c r="J166">
        <f>(D166/C166)*1000</f>
        <v>52.114487789985141</v>
      </c>
      <c r="K166">
        <f>(E166/C166)*1000</f>
        <v>2.8880950003834398</v>
      </c>
      <c r="L166">
        <f>CORREL(C166:C664, D166:D664)</f>
        <v>0.74085069199022169</v>
      </c>
      <c r="M166">
        <f>CORREL(C166:C664,E166:E664)</f>
        <v>0.72204470019532863</v>
      </c>
      <c r="N166">
        <f>LEN(A166)</f>
        <v>37</v>
      </c>
      <c r="O166" t="str">
        <f>IF(ISNUMBER(SEARCH("$",A166)), "Money", IF(ISNUMBER(SEARCH("Win",A166)), "Challenge",IF(ISNUMBER(SEARCH("Challenge",A166)), "Challenge",IF(ISNUMBER(SEARCH("Last To Leave",A166)),"Challenge",IF(ISNUMBER(SEARCH("Giving Away", A166)),"Giveaway",IF(ISNUMBER(SEARCH("Stranded",A166)),"Survival", IF(ISNUMBER(SEARCH("Survive",A166)), "Survival", IF(ISNUMBER(SEARCH("Days",A166)),"Endurance","Other"))))))))</f>
        <v>Other</v>
      </c>
    </row>
    <row r="167" spans="1:15" x14ac:dyDescent="0.3">
      <c r="A167" t="s">
        <v>179</v>
      </c>
      <c r="B167" s="1">
        <v>42218</v>
      </c>
      <c r="C167" s="2">
        <v>1264136</v>
      </c>
      <c r="D167" s="3">
        <v>14927</v>
      </c>
      <c r="E167" s="3">
        <v>729</v>
      </c>
      <c r="F167">
        <f>YEAR(B167)</f>
        <v>2015</v>
      </c>
      <c r="G167" t="str">
        <f>TEXT(B167,"MMMM")</f>
        <v>August</v>
      </c>
      <c r="H167" t="str">
        <f>TEXT(B167, "DDDD")</f>
        <v>Sunday</v>
      </c>
      <c r="I167">
        <f>((D167+E167)/C167)*100</f>
        <v>1.2384743413683337</v>
      </c>
      <c r="J167">
        <f>(D167/C167)*1000</f>
        <v>11.808064955036484</v>
      </c>
      <c r="K167">
        <f>(E167/C167)*1000</f>
        <v>0.57667845864685452</v>
      </c>
      <c r="L167">
        <f>CORREL(C167:C665, D167:D665)</f>
        <v>0.74235524797134944</v>
      </c>
      <c r="M167">
        <f>CORREL(C167:C665,E167:E665)</f>
        <v>0.72147684888572794</v>
      </c>
      <c r="N167">
        <f>LEN(A167)</f>
        <v>23</v>
      </c>
      <c r="O167" t="str">
        <f>IF(ISNUMBER(SEARCH("$",A167)), "Money", IF(ISNUMBER(SEARCH("Win",A167)), "Challenge",IF(ISNUMBER(SEARCH("Challenge",A167)), "Challenge",IF(ISNUMBER(SEARCH("Last To Leave",A167)),"Challenge",IF(ISNUMBER(SEARCH("Giving Away", A167)),"Giveaway",IF(ISNUMBER(SEARCH("Stranded",A167)),"Survival", IF(ISNUMBER(SEARCH("Survive",A167)), "Survival", IF(ISNUMBER(SEARCH("Days",A167)),"Endurance","Other"))))))))</f>
        <v>Other</v>
      </c>
    </row>
    <row r="168" spans="1:15" x14ac:dyDescent="0.3">
      <c r="A168" t="s">
        <v>180</v>
      </c>
      <c r="B168" s="1">
        <v>42295</v>
      </c>
      <c r="C168" s="2">
        <v>1219128</v>
      </c>
      <c r="D168" s="3">
        <v>35938</v>
      </c>
      <c r="E168" s="3">
        <v>2622</v>
      </c>
      <c r="F168">
        <f>YEAR(B168)</f>
        <v>2015</v>
      </c>
      <c r="G168" t="str">
        <f>TEXT(B168,"MMMM")</f>
        <v>October</v>
      </c>
      <c r="H168" t="str">
        <f>TEXT(B168, "DDDD")</f>
        <v>Sunday</v>
      </c>
      <c r="I168">
        <f>((D168+E168)/C168)*100</f>
        <v>3.162916445196895</v>
      </c>
      <c r="J168">
        <f>(D168/C168)*1000</f>
        <v>29.478446889908199</v>
      </c>
      <c r="K168">
        <f>(E168/C168)*1000</f>
        <v>2.1507175620607515</v>
      </c>
      <c r="L168">
        <f>CORREL(C168:C666, D168:D666)</f>
        <v>0.74277960270185739</v>
      </c>
      <c r="M168">
        <f>CORREL(C168:C666,E168:E666)</f>
        <v>0.72118046145529013</v>
      </c>
      <c r="N168">
        <f>LEN(A168)</f>
        <v>18</v>
      </c>
      <c r="O168" t="str">
        <f>IF(ISNUMBER(SEARCH("$",A168)), "Money", IF(ISNUMBER(SEARCH("Win",A168)), "Challenge",IF(ISNUMBER(SEARCH("Challenge",A168)), "Challenge",IF(ISNUMBER(SEARCH("Last To Leave",A168)),"Challenge",IF(ISNUMBER(SEARCH("Giving Away", A168)),"Giveaway",IF(ISNUMBER(SEARCH("Stranded",A168)),"Survival", IF(ISNUMBER(SEARCH("Survive",A168)), "Survival", IF(ISNUMBER(SEARCH("Days",A168)),"Endurance","Other"))))))))</f>
        <v>Other</v>
      </c>
    </row>
    <row r="169" spans="1:15" x14ac:dyDescent="0.3">
      <c r="A169" t="s">
        <v>181</v>
      </c>
      <c r="B169" s="1">
        <v>42361</v>
      </c>
      <c r="C169" s="2">
        <v>1025874</v>
      </c>
      <c r="D169" s="3">
        <v>31276</v>
      </c>
      <c r="E169" s="3">
        <v>1803</v>
      </c>
      <c r="F169">
        <f>YEAR(B169)</f>
        <v>2015</v>
      </c>
      <c r="G169" t="str">
        <f>TEXT(B169,"MMMM")</f>
        <v>December</v>
      </c>
      <c r="H169" t="str">
        <f>TEXT(B169, "DDDD")</f>
        <v>Wednesday</v>
      </c>
      <c r="I169">
        <f>((D169+E169)/C169)*100</f>
        <v>3.2244700616255022</v>
      </c>
      <c r="J169">
        <f>(D169/C169)*1000</f>
        <v>30.487174838235493</v>
      </c>
      <c r="K169">
        <f>(E169/C169)*1000</f>
        <v>1.757525778019523</v>
      </c>
      <c r="L169">
        <f>CORREL(C169:C667, D169:D667)</f>
        <v>0.74401315313546434</v>
      </c>
      <c r="M169">
        <f>CORREL(C169:C667,E169:E667)</f>
        <v>0.72164468866965958</v>
      </c>
      <c r="N169">
        <f>LEN(A169)</f>
        <v>14</v>
      </c>
      <c r="O169" t="str">
        <f>IF(ISNUMBER(SEARCH("$",A169)), "Money", IF(ISNUMBER(SEARCH("Win",A169)), "Challenge",IF(ISNUMBER(SEARCH("Challenge",A169)), "Challenge",IF(ISNUMBER(SEARCH("Last To Leave",A169)),"Challenge",IF(ISNUMBER(SEARCH("Giving Away", A169)),"Giveaway",IF(ISNUMBER(SEARCH("Stranded",A169)),"Survival", IF(ISNUMBER(SEARCH("Survive",A169)), "Survival", IF(ISNUMBER(SEARCH("Days",A169)),"Endurance","Other"))))))))</f>
        <v>Other</v>
      </c>
    </row>
    <row r="170" spans="1:15" x14ac:dyDescent="0.3">
      <c r="A170" t="s">
        <v>182</v>
      </c>
      <c r="B170" s="1">
        <v>42239</v>
      </c>
      <c r="C170" s="2">
        <v>966099</v>
      </c>
      <c r="D170" s="3">
        <v>59129</v>
      </c>
      <c r="E170" s="3">
        <v>5262</v>
      </c>
      <c r="F170">
        <f>YEAR(B170)</f>
        <v>2015</v>
      </c>
      <c r="G170" t="str">
        <f>TEXT(B170,"MMMM")</f>
        <v>August</v>
      </c>
      <c r="H170" t="str">
        <f>TEXT(B170, "DDDD")</f>
        <v>Sunday</v>
      </c>
      <c r="I170">
        <f>((D170+E170)/C170)*100</f>
        <v>6.6650519253202827</v>
      </c>
      <c r="J170">
        <f>(D170/C170)*1000</f>
        <v>61.203872480977623</v>
      </c>
      <c r="K170">
        <f>(E170/C170)*1000</f>
        <v>5.4466467722252068</v>
      </c>
      <c r="L170">
        <f>CORREL(C170:C668, D170:D668)</f>
        <v>0.74487597641988168</v>
      </c>
      <c r="M170">
        <f>CORREL(C170:C668,E170:E668)</f>
        <v>0.72208919447385145</v>
      </c>
      <c r="N170">
        <f>LEN(A170)</f>
        <v>15</v>
      </c>
      <c r="O170" t="str">
        <f>IF(ISNUMBER(SEARCH("$",A170)), "Money", IF(ISNUMBER(SEARCH("Win",A170)), "Challenge",IF(ISNUMBER(SEARCH("Challenge",A170)), "Challenge",IF(ISNUMBER(SEARCH("Last To Leave",A170)),"Challenge",IF(ISNUMBER(SEARCH("Giving Away", A170)),"Giveaway",IF(ISNUMBER(SEARCH("Stranded",A170)),"Survival", IF(ISNUMBER(SEARCH("Survive",A170)), "Survival", IF(ISNUMBER(SEARCH("Days",A170)),"Endurance","Other"))))))))</f>
        <v>Other</v>
      </c>
    </row>
    <row r="171" spans="1:15" x14ac:dyDescent="0.3">
      <c r="A171" t="s">
        <v>183</v>
      </c>
      <c r="B171" s="1">
        <v>42360</v>
      </c>
      <c r="C171" s="2">
        <v>953558</v>
      </c>
      <c r="D171" s="3">
        <v>20558</v>
      </c>
      <c r="E171" s="3">
        <v>1947</v>
      </c>
      <c r="F171">
        <f>YEAR(B171)</f>
        <v>2015</v>
      </c>
      <c r="G171" t="str">
        <f>TEXT(B171,"MMMM")</f>
        <v>December</v>
      </c>
      <c r="H171" t="str">
        <f>TEXT(B171, "DDDD")</f>
        <v>Tuesday</v>
      </c>
      <c r="I171">
        <f>((D171+E171)/C171)*100</f>
        <v>2.3601081423468737</v>
      </c>
      <c r="J171">
        <f>(D171/C171)*1000</f>
        <v>21.559254916848268</v>
      </c>
      <c r="K171">
        <f>(E171/C171)*1000</f>
        <v>2.0418265066204677</v>
      </c>
      <c r="L171">
        <f>CORREL(C171:C669, D171:D669)</f>
        <v>0.74528293927489142</v>
      </c>
      <c r="M171">
        <f>CORREL(C171:C669,E171:E669)</f>
        <v>0.72147408037458405</v>
      </c>
      <c r="N171">
        <f>LEN(A171)</f>
        <v>61</v>
      </c>
      <c r="O171" t="str">
        <f>IF(ISNUMBER(SEARCH("$",A171)), "Money", IF(ISNUMBER(SEARCH("Win",A171)), "Challenge",IF(ISNUMBER(SEARCH("Challenge",A171)), "Challenge",IF(ISNUMBER(SEARCH("Last To Leave",A171)),"Challenge",IF(ISNUMBER(SEARCH("Giving Away", A171)),"Giveaway",IF(ISNUMBER(SEARCH("Stranded",A171)),"Survival", IF(ISNUMBER(SEARCH("Survive",A171)), "Survival", IF(ISNUMBER(SEARCH("Days",A171)),"Endurance","Other"))))))))</f>
        <v>Other</v>
      </c>
    </row>
    <row r="172" spans="1:15" x14ac:dyDescent="0.3">
      <c r="A172" t="s">
        <v>184</v>
      </c>
      <c r="B172" s="1">
        <v>42290</v>
      </c>
      <c r="C172" s="2">
        <v>871578</v>
      </c>
      <c r="D172" s="3">
        <v>24015</v>
      </c>
      <c r="E172" s="3">
        <v>1175</v>
      </c>
      <c r="F172">
        <f>YEAR(B172)</f>
        <v>2015</v>
      </c>
      <c r="G172" t="str">
        <f>TEXT(B172,"MMMM")</f>
        <v>October</v>
      </c>
      <c r="H172" t="str">
        <f>TEXT(B172, "DDDD")</f>
        <v>Tuesday</v>
      </c>
      <c r="I172">
        <f>((D172+E172)/C172)*100</f>
        <v>2.8901601463093378</v>
      </c>
      <c r="J172">
        <f>(D172/C172)*1000</f>
        <v>27.553471978411569</v>
      </c>
      <c r="K172">
        <f>(E172/C172)*1000</f>
        <v>1.348129484681807</v>
      </c>
      <c r="L172">
        <f>CORREL(C172:C670, D172:D670)</f>
        <v>0.74490834163453401</v>
      </c>
      <c r="M172">
        <f>CORREL(C172:C670,E172:E670)</f>
        <v>0.71947866922536285</v>
      </c>
      <c r="N172">
        <f>LEN(A172)</f>
        <v>40</v>
      </c>
      <c r="O172" t="str">
        <f>IF(ISNUMBER(SEARCH("$",A172)), "Money", IF(ISNUMBER(SEARCH("Win",A172)), "Challenge",IF(ISNUMBER(SEARCH("Challenge",A172)), "Challenge",IF(ISNUMBER(SEARCH("Last To Leave",A172)),"Challenge",IF(ISNUMBER(SEARCH("Giving Away", A172)),"Giveaway",IF(ISNUMBER(SEARCH("Stranded",A172)),"Survival", IF(ISNUMBER(SEARCH("Survive",A172)), "Survival", IF(ISNUMBER(SEARCH("Days",A172)),"Endurance","Other"))))))))</f>
        <v>Other</v>
      </c>
    </row>
    <row r="173" spans="1:15" x14ac:dyDescent="0.3">
      <c r="A173" t="s">
        <v>185</v>
      </c>
      <c r="B173" s="1">
        <v>42236</v>
      </c>
      <c r="C173" s="2">
        <v>816672</v>
      </c>
      <c r="D173" s="3">
        <v>26609</v>
      </c>
      <c r="E173" s="3">
        <v>2595</v>
      </c>
      <c r="F173">
        <f>YEAR(B173)</f>
        <v>2015</v>
      </c>
      <c r="G173" t="str">
        <f>TEXT(B173,"MMMM")</f>
        <v>August</v>
      </c>
      <c r="H173" t="str">
        <f>TEXT(B173, "DDDD")</f>
        <v>Thursday</v>
      </c>
      <c r="I173">
        <f>((D173+E173)/C173)*100</f>
        <v>3.5759766466831238</v>
      </c>
      <c r="J173">
        <f>(D173/C173)*1000</f>
        <v>32.582236197641159</v>
      </c>
      <c r="K173">
        <f>(E173/C173)*1000</f>
        <v>3.1775302691900786</v>
      </c>
      <c r="L173">
        <f>CORREL(C173:C671, D173:D671)</f>
        <v>0.74543577340877831</v>
      </c>
      <c r="M173">
        <f>CORREL(C173:C671,E173:E671)</f>
        <v>0.72021262236980621</v>
      </c>
      <c r="N173">
        <f>LEN(A173)</f>
        <v>28</v>
      </c>
      <c r="O173" t="str">
        <f>IF(ISNUMBER(SEARCH("$",A173)), "Money", IF(ISNUMBER(SEARCH("Win",A173)), "Challenge",IF(ISNUMBER(SEARCH("Challenge",A173)), "Challenge",IF(ISNUMBER(SEARCH("Last To Leave",A173)),"Challenge",IF(ISNUMBER(SEARCH("Giving Away", A173)),"Giveaway",IF(ISNUMBER(SEARCH("Stranded",A173)),"Survival", IF(ISNUMBER(SEARCH("Survive",A173)), "Survival", IF(ISNUMBER(SEARCH("Days",A173)),"Endurance","Other"))))))))</f>
        <v>Other</v>
      </c>
    </row>
    <row r="174" spans="1:15" x14ac:dyDescent="0.3">
      <c r="A174" t="s">
        <v>186</v>
      </c>
      <c r="B174" s="1">
        <v>42280</v>
      </c>
      <c r="C174" s="2">
        <v>731929</v>
      </c>
      <c r="D174" s="3">
        <v>15890</v>
      </c>
      <c r="E174" s="3">
        <v>828</v>
      </c>
      <c r="F174">
        <f>YEAR(B174)</f>
        <v>2015</v>
      </c>
      <c r="G174" t="str">
        <f>TEXT(B174,"MMMM")</f>
        <v>October</v>
      </c>
      <c r="H174" t="str">
        <f>TEXT(B174, "DDDD")</f>
        <v>Saturday</v>
      </c>
      <c r="I174">
        <f>((D174+E174)/C174)*100</f>
        <v>2.2841013267680337</v>
      </c>
      <c r="J174">
        <f>(D174/C174)*1000</f>
        <v>21.709756000923587</v>
      </c>
      <c r="K174">
        <f>(E174/C174)*1000</f>
        <v>1.1312572667567482</v>
      </c>
      <c r="L174">
        <f>CORREL(C174:C672, D174:D672)</f>
        <v>0.74556421521149241</v>
      </c>
      <c r="M174">
        <f>CORREL(C174:C672,E174:E672)</f>
        <v>0.71956166232732655</v>
      </c>
      <c r="N174">
        <f>LEN(A174)</f>
        <v>51</v>
      </c>
      <c r="O174" t="str">
        <f>IF(ISNUMBER(SEARCH("$",A174)), "Money", IF(ISNUMBER(SEARCH("Win",A174)), "Challenge",IF(ISNUMBER(SEARCH("Challenge",A174)), "Challenge",IF(ISNUMBER(SEARCH("Last To Leave",A174)),"Challenge",IF(ISNUMBER(SEARCH("Giving Away", A174)),"Giveaway",IF(ISNUMBER(SEARCH("Stranded",A174)),"Survival", IF(ISNUMBER(SEARCH("Survive",A174)), "Survival", IF(ISNUMBER(SEARCH("Days",A174)),"Endurance","Other"))))))))</f>
        <v>Other</v>
      </c>
    </row>
    <row r="175" spans="1:15" x14ac:dyDescent="0.3">
      <c r="A175" t="s">
        <v>187</v>
      </c>
      <c r="B175" s="1">
        <v>42186</v>
      </c>
      <c r="C175" s="2">
        <v>644185</v>
      </c>
      <c r="D175" s="3">
        <v>14248</v>
      </c>
      <c r="E175" s="3">
        <v>728</v>
      </c>
      <c r="F175">
        <f>YEAR(B175)</f>
        <v>2015</v>
      </c>
      <c r="G175" t="str">
        <f>TEXT(B175,"MMMM")</f>
        <v>July</v>
      </c>
      <c r="H175" t="str">
        <f>TEXT(B175, "DDDD")</f>
        <v>Wednesday</v>
      </c>
      <c r="I175">
        <f>((D175+E175)/C175)*100</f>
        <v>2.3247980005743694</v>
      </c>
      <c r="J175">
        <f>(D175/C175)*1000</f>
        <v>22.117869866575596</v>
      </c>
      <c r="K175">
        <f>(E175/C175)*1000</f>
        <v>1.1301101391680961</v>
      </c>
      <c r="L175">
        <f>CORREL(C175:C673, D175:D673)</f>
        <v>0.74564480275279044</v>
      </c>
      <c r="M175">
        <f>CORREL(C175:C673,E175:E673)</f>
        <v>0.71928764465441397</v>
      </c>
      <c r="N175">
        <f>LEN(A175)</f>
        <v>39</v>
      </c>
      <c r="O175" t="str">
        <f>IF(ISNUMBER(SEARCH("$",A175)), "Money", IF(ISNUMBER(SEARCH("Win",A175)), "Challenge",IF(ISNUMBER(SEARCH("Challenge",A175)), "Challenge",IF(ISNUMBER(SEARCH("Last To Leave",A175)),"Challenge",IF(ISNUMBER(SEARCH("Giving Away", A175)),"Giveaway",IF(ISNUMBER(SEARCH("Stranded",A175)),"Survival", IF(ISNUMBER(SEARCH("Survive",A175)), "Survival", IF(ISNUMBER(SEARCH("Days",A175)),"Endurance","Other"))))))))</f>
        <v>Other</v>
      </c>
    </row>
    <row r="176" spans="1:15" x14ac:dyDescent="0.3">
      <c r="A176" t="s">
        <v>188</v>
      </c>
      <c r="B176" s="1">
        <v>42348</v>
      </c>
      <c r="C176" s="2">
        <v>572566</v>
      </c>
      <c r="D176" s="3">
        <v>15810</v>
      </c>
      <c r="E176" s="3">
        <v>1252</v>
      </c>
      <c r="F176">
        <f>YEAR(B176)</f>
        <v>2015</v>
      </c>
      <c r="G176" t="str">
        <f>TEXT(B176,"MMMM")</f>
        <v>December</v>
      </c>
      <c r="H176" t="str">
        <f>TEXT(B176, "DDDD")</f>
        <v>Thursday</v>
      </c>
      <c r="I176">
        <f>((D176+E176)/C176)*100</f>
        <v>2.9799184722809251</v>
      </c>
      <c r="J176">
        <f>(D176/C176)*1000</f>
        <v>27.612537244614597</v>
      </c>
      <c r="K176">
        <f>(E176/C176)*1000</f>
        <v>2.1866474781946534</v>
      </c>
      <c r="L176">
        <f>CORREL(C176:C674, D176:D674)</f>
        <v>0.74558740178881278</v>
      </c>
      <c r="M176">
        <f>CORREL(C176:C674,E176:E674)</f>
        <v>0.71919423999748611</v>
      </c>
      <c r="N176">
        <f>LEN(A176)</f>
        <v>13</v>
      </c>
      <c r="O176" t="str">
        <f>IF(ISNUMBER(SEARCH("$",A176)), "Money", IF(ISNUMBER(SEARCH("Win",A176)), "Challenge",IF(ISNUMBER(SEARCH("Challenge",A176)), "Challenge",IF(ISNUMBER(SEARCH("Last To Leave",A176)),"Challenge",IF(ISNUMBER(SEARCH("Giving Away", A176)),"Giveaway",IF(ISNUMBER(SEARCH("Stranded",A176)),"Survival", IF(ISNUMBER(SEARCH("Survive",A176)), "Survival", IF(ISNUMBER(SEARCH("Days",A176)),"Endurance","Other"))))))))</f>
        <v>Other</v>
      </c>
    </row>
    <row r="177" spans="1:15" x14ac:dyDescent="0.3">
      <c r="A177" t="s">
        <v>189</v>
      </c>
      <c r="B177" s="1">
        <v>42098</v>
      </c>
      <c r="C177" s="2">
        <v>564572</v>
      </c>
      <c r="D177" s="3">
        <v>18558</v>
      </c>
      <c r="E177" s="3">
        <v>1224</v>
      </c>
      <c r="F177">
        <f>YEAR(B177)</f>
        <v>2015</v>
      </c>
      <c r="G177" t="str">
        <f>TEXT(B177,"MMMM")</f>
        <v>April</v>
      </c>
      <c r="H177" t="str">
        <f>TEXT(B177, "DDDD")</f>
        <v>Saturday</v>
      </c>
      <c r="I177">
        <f>((D177+E177)/C177)*100</f>
        <v>3.5038932146829813</v>
      </c>
      <c r="J177">
        <f>(D177/C177)*1000</f>
        <v>32.870918146843984</v>
      </c>
      <c r="K177">
        <f>(E177/C177)*1000</f>
        <v>2.1680139999858303</v>
      </c>
      <c r="L177">
        <f>CORREL(C177:C675, D177:D675)</f>
        <v>0.74516533848257782</v>
      </c>
      <c r="M177">
        <f>CORREL(C177:C675,E177:E675)</f>
        <v>0.71861935406933164</v>
      </c>
      <c r="N177">
        <f>LEN(A177)</f>
        <v>28</v>
      </c>
      <c r="O177" t="str">
        <f>IF(ISNUMBER(SEARCH("$",A177)), "Money", IF(ISNUMBER(SEARCH("Win",A177)), "Challenge",IF(ISNUMBER(SEARCH("Challenge",A177)), "Challenge",IF(ISNUMBER(SEARCH("Last To Leave",A177)),"Challenge",IF(ISNUMBER(SEARCH("Giving Away", A177)),"Giveaway",IF(ISNUMBER(SEARCH("Stranded",A177)),"Survival", IF(ISNUMBER(SEARCH("Survive",A177)), "Survival", IF(ISNUMBER(SEARCH("Days",A177)),"Endurance","Other"))))))))</f>
        <v>Other</v>
      </c>
    </row>
    <row r="178" spans="1:15" x14ac:dyDescent="0.3">
      <c r="A178" t="s">
        <v>190</v>
      </c>
      <c r="B178" s="1">
        <v>42346</v>
      </c>
      <c r="C178" s="2">
        <v>536207</v>
      </c>
      <c r="D178" s="3">
        <v>14011</v>
      </c>
      <c r="E178" s="3">
        <v>854</v>
      </c>
      <c r="F178">
        <f>YEAR(B178)</f>
        <v>2015</v>
      </c>
      <c r="G178" t="str">
        <f>TEXT(B178,"MMMM")</f>
        <v>December</v>
      </c>
      <c r="H178" t="str">
        <f>TEXT(B178, "DDDD")</f>
        <v>Tuesday</v>
      </c>
      <c r="I178">
        <f>((D178+E178)/C178)*100</f>
        <v>2.7722502690192408</v>
      </c>
      <c r="J178">
        <f>(D178/C178)*1000</f>
        <v>26.129834187170253</v>
      </c>
      <c r="K178">
        <f>(E178/C178)*1000</f>
        <v>1.5926685030221537</v>
      </c>
      <c r="L178">
        <f>CORREL(C178:C676, D178:D676)</f>
        <v>0.74501355498326849</v>
      </c>
      <c r="M178">
        <f>CORREL(C178:C676,E178:E676)</f>
        <v>0.71829113480096529</v>
      </c>
      <c r="N178">
        <f>LEN(A178)</f>
        <v>45</v>
      </c>
      <c r="O178" t="str">
        <f>IF(ISNUMBER(SEARCH("$",A178)), "Money", IF(ISNUMBER(SEARCH("Win",A178)), "Challenge",IF(ISNUMBER(SEARCH("Challenge",A178)), "Challenge",IF(ISNUMBER(SEARCH("Last To Leave",A178)),"Challenge",IF(ISNUMBER(SEARCH("Giving Away", A178)),"Giveaway",IF(ISNUMBER(SEARCH("Stranded",A178)),"Survival", IF(ISNUMBER(SEARCH("Survive",A178)), "Survival", IF(ISNUMBER(SEARCH("Days",A178)),"Endurance","Other"))))))))</f>
        <v>Other</v>
      </c>
    </row>
    <row r="179" spans="1:15" x14ac:dyDescent="0.3">
      <c r="A179" t="s">
        <v>191</v>
      </c>
      <c r="B179" s="1">
        <v>42340</v>
      </c>
      <c r="C179" s="2">
        <v>520671</v>
      </c>
      <c r="D179" s="3">
        <v>16363</v>
      </c>
      <c r="E179" s="3">
        <v>1708</v>
      </c>
      <c r="F179">
        <f>YEAR(B179)</f>
        <v>2015</v>
      </c>
      <c r="G179" t="str">
        <f>TEXT(B179,"MMMM")</f>
        <v>December</v>
      </c>
      <c r="H179" t="str">
        <f>TEXT(B179, "DDDD")</f>
        <v>Wednesday</v>
      </c>
      <c r="I179">
        <f>((D179+E179)/C179)*100</f>
        <v>3.4707137520622426</v>
      </c>
      <c r="J179">
        <f>(D179/C179)*1000</f>
        <v>31.42675509102677</v>
      </c>
      <c r="K179">
        <f>(E179/C179)*1000</f>
        <v>3.2803824295956563</v>
      </c>
      <c r="L179">
        <f>CORREL(C179:C677, D179:D677)</f>
        <v>0.7448207760373442</v>
      </c>
      <c r="M179">
        <f>CORREL(C179:C677,E179:E677)</f>
        <v>0.7179508486201055</v>
      </c>
      <c r="N179">
        <f>LEN(A179)</f>
        <v>16</v>
      </c>
      <c r="O179" t="str">
        <f>IF(ISNUMBER(SEARCH("$",A179)), "Money", IF(ISNUMBER(SEARCH("Win",A179)), "Challenge",IF(ISNUMBER(SEARCH("Challenge",A179)), "Challenge",IF(ISNUMBER(SEARCH("Last To Leave",A179)),"Challenge",IF(ISNUMBER(SEARCH("Giving Away", A179)),"Giveaway",IF(ISNUMBER(SEARCH("Stranded",A179)),"Survival", IF(ISNUMBER(SEARCH("Survive",A179)), "Survival", IF(ISNUMBER(SEARCH("Days",A179)),"Endurance","Other"))))))))</f>
        <v>Other</v>
      </c>
    </row>
    <row r="180" spans="1:15" x14ac:dyDescent="0.3">
      <c r="A180" t="s">
        <v>192</v>
      </c>
      <c r="B180" s="1">
        <v>42105</v>
      </c>
      <c r="C180" s="2">
        <v>503411</v>
      </c>
      <c r="D180" s="3">
        <v>9717</v>
      </c>
      <c r="E180" s="3">
        <v>2794</v>
      </c>
      <c r="F180">
        <f>YEAR(B180)</f>
        <v>2015</v>
      </c>
      <c r="G180" t="str">
        <f>TEXT(B180,"MMMM")</f>
        <v>April</v>
      </c>
      <c r="H180" t="str">
        <f>TEXT(B180, "DDDD")</f>
        <v>Saturday</v>
      </c>
      <c r="I180">
        <f>((D180+E180)/C180)*100</f>
        <v>2.4852456541474064</v>
      </c>
      <c r="J180">
        <f>(D180/C180)*1000</f>
        <v>19.302319575853527</v>
      </c>
      <c r="K180">
        <f>(E180/C180)*1000</f>
        <v>5.5501369656205366</v>
      </c>
      <c r="L180">
        <f>CORREL(C180:C678, D180:D678)</f>
        <v>0.79081994447996051</v>
      </c>
      <c r="M180">
        <f>CORREL(C180:C678,E180:E678)</f>
        <v>0.77527350549398055</v>
      </c>
      <c r="N180">
        <f>LEN(A180)</f>
        <v>28</v>
      </c>
      <c r="O180" t="str">
        <f>IF(ISNUMBER(SEARCH("$",A180)), "Money", IF(ISNUMBER(SEARCH("Win",A180)), "Challenge",IF(ISNUMBER(SEARCH("Challenge",A180)), "Challenge",IF(ISNUMBER(SEARCH("Last To Leave",A180)),"Challenge",IF(ISNUMBER(SEARCH("Giving Away", A180)),"Giveaway",IF(ISNUMBER(SEARCH("Stranded",A180)),"Survival", IF(ISNUMBER(SEARCH("Survive",A180)), "Survival", IF(ISNUMBER(SEARCH("Days",A180)),"Endurance","Other"))))))))</f>
        <v>Other</v>
      </c>
    </row>
    <row r="181" spans="1:15" x14ac:dyDescent="0.3">
      <c r="A181" t="s">
        <v>193</v>
      </c>
      <c r="B181" s="1">
        <v>42338</v>
      </c>
      <c r="C181" s="2">
        <v>502624</v>
      </c>
      <c r="D181" s="3">
        <v>13444</v>
      </c>
      <c r="E181" s="3">
        <v>1612</v>
      </c>
      <c r="F181">
        <f>YEAR(B181)</f>
        <v>2015</v>
      </c>
      <c r="G181" t="str">
        <f>TEXT(B181,"MMMM")</f>
        <v>November</v>
      </c>
      <c r="H181" t="str">
        <f>TEXT(B181, "DDDD")</f>
        <v>Monday</v>
      </c>
      <c r="I181">
        <f>((D181+E181)/C181)*100</f>
        <v>2.9954797224167566</v>
      </c>
      <c r="J181">
        <f>(D181/C181)*1000</f>
        <v>26.747628445915833</v>
      </c>
      <c r="K181">
        <f>(E181/C181)*1000</f>
        <v>3.2071687782517349</v>
      </c>
      <c r="L181">
        <f>CORREL(C181:C679, D181:D679)</f>
        <v>0.79287950391629947</v>
      </c>
      <c r="M181">
        <f>CORREL(C181:C679,E181:E679)</f>
        <v>0.76443530411584937</v>
      </c>
      <c r="N181">
        <f>LEN(A181)</f>
        <v>38</v>
      </c>
      <c r="O181" t="str">
        <f>IF(ISNUMBER(SEARCH("$",A181)), "Money", IF(ISNUMBER(SEARCH("Win",A181)), "Challenge",IF(ISNUMBER(SEARCH("Challenge",A181)), "Challenge",IF(ISNUMBER(SEARCH("Last To Leave",A181)),"Challenge",IF(ISNUMBER(SEARCH("Giving Away", A181)),"Giveaway",IF(ISNUMBER(SEARCH("Stranded",A181)),"Survival", IF(ISNUMBER(SEARCH("Survive",A181)), "Survival", IF(ISNUMBER(SEARCH("Days",A181)),"Endurance","Other"))))))))</f>
        <v>Other</v>
      </c>
    </row>
    <row r="182" spans="1:15" x14ac:dyDescent="0.3">
      <c r="A182" t="s">
        <v>194</v>
      </c>
      <c r="B182" s="1">
        <v>42246</v>
      </c>
      <c r="C182" s="2">
        <v>471908</v>
      </c>
      <c r="D182" s="3">
        <v>12701</v>
      </c>
      <c r="E182" s="3">
        <v>793</v>
      </c>
      <c r="F182">
        <f>YEAR(B182)</f>
        <v>2015</v>
      </c>
      <c r="G182" t="str">
        <f>TEXT(B182,"MMMM")</f>
        <v>August</v>
      </c>
      <c r="H182" t="str">
        <f>TEXT(B182, "DDDD")</f>
        <v>Sunday</v>
      </c>
      <c r="I182">
        <f>((D182+E182)/C182)*100</f>
        <v>2.8594556566110341</v>
      </c>
      <c r="J182">
        <f>(D182/C182)*1000</f>
        <v>26.914144282360123</v>
      </c>
      <c r="K182">
        <f>(E182/C182)*1000</f>
        <v>1.6804122837502227</v>
      </c>
      <c r="L182">
        <f>CORREL(C182:C680, D182:D680)</f>
        <v>0.79378050853888737</v>
      </c>
      <c r="M182">
        <f>CORREL(C182:C680,E182:E680)</f>
        <v>0.76300130841098501</v>
      </c>
      <c r="N182">
        <f>LEN(A182)</f>
        <v>47</v>
      </c>
      <c r="O182" t="str">
        <f>IF(ISNUMBER(SEARCH("$",A182)), "Money", IF(ISNUMBER(SEARCH("Win",A182)), "Challenge",IF(ISNUMBER(SEARCH("Challenge",A182)), "Challenge",IF(ISNUMBER(SEARCH("Last To Leave",A182)),"Challenge",IF(ISNUMBER(SEARCH("Giving Away", A182)),"Giveaway",IF(ISNUMBER(SEARCH("Stranded",A182)),"Survival", IF(ISNUMBER(SEARCH("Survive",A182)), "Survival", IF(ISNUMBER(SEARCH("Days",A182)),"Endurance","Other"))))))))</f>
        <v>Other</v>
      </c>
    </row>
    <row r="183" spans="1:15" x14ac:dyDescent="0.3">
      <c r="A183" t="s">
        <v>195</v>
      </c>
      <c r="B183" s="1">
        <v>42266</v>
      </c>
      <c r="C183" s="2">
        <v>466867</v>
      </c>
      <c r="D183" s="3">
        <v>12185</v>
      </c>
      <c r="E183" s="3">
        <v>698</v>
      </c>
      <c r="F183">
        <f>YEAR(B183)</f>
        <v>2015</v>
      </c>
      <c r="G183" t="str">
        <f>TEXT(B183,"MMMM")</f>
        <v>September</v>
      </c>
      <c r="H183" t="str">
        <f>TEXT(B183, "DDDD")</f>
        <v>Saturday</v>
      </c>
      <c r="I183">
        <f>((D183+E183)/C183)*100</f>
        <v>2.7594582611321852</v>
      </c>
      <c r="J183">
        <f>(D183/C183)*1000</f>
        <v>26.099510138861817</v>
      </c>
      <c r="K183">
        <f>(E183/C183)*1000</f>
        <v>1.4950724724600368</v>
      </c>
      <c r="L183">
        <f>CORREL(C183:C681, D183:D681)</f>
        <v>0.79821889571717242</v>
      </c>
      <c r="M183">
        <f>CORREL(C183:C681,E183:E681)</f>
        <v>0.76786024168717382</v>
      </c>
      <c r="N183">
        <f>LEN(A183)</f>
        <v>33</v>
      </c>
      <c r="O183" t="str">
        <f>IF(ISNUMBER(SEARCH("$",A183)), "Money", IF(ISNUMBER(SEARCH("Win",A183)), "Challenge",IF(ISNUMBER(SEARCH("Challenge",A183)), "Challenge",IF(ISNUMBER(SEARCH("Last To Leave",A183)),"Challenge",IF(ISNUMBER(SEARCH("Giving Away", A183)),"Giveaway",IF(ISNUMBER(SEARCH("Stranded",A183)),"Survival", IF(ISNUMBER(SEARCH("Survive",A183)), "Survival", IF(ISNUMBER(SEARCH("Days",A183)),"Endurance","Other"))))))))</f>
        <v>Other</v>
      </c>
    </row>
    <row r="184" spans="1:15" x14ac:dyDescent="0.3">
      <c r="A184" t="s">
        <v>196</v>
      </c>
      <c r="B184" s="1">
        <v>42219</v>
      </c>
      <c r="C184" s="2">
        <v>464815</v>
      </c>
      <c r="D184" s="3">
        <v>10655</v>
      </c>
      <c r="E184" s="3">
        <v>707</v>
      </c>
      <c r="F184">
        <f>YEAR(B184)</f>
        <v>2015</v>
      </c>
      <c r="G184" t="str">
        <f>TEXT(B184,"MMMM")</f>
        <v>August</v>
      </c>
      <c r="H184" t="str">
        <f>TEXT(B184, "DDDD")</f>
        <v>Monday</v>
      </c>
      <c r="I184">
        <f>((D184+E184)/C184)*100</f>
        <v>2.4444133687596139</v>
      </c>
      <c r="J184">
        <f>(D184/C184)*1000</f>
        <v>22.923098437012573</v>
      </c>
      <c r="K184">
        <f>(E184/C184)*1000</f>
        <v>1.5210352505835654</v>
      </c>
      <c r="L184">
        <f>CORREL(C184:C682, D184:D682)</f>
        <v>0.80060923135013407</v>
      </c>
      <c r="M184">
        <f>CORREL(C184:C682,E184:E682)</f>
        <v>0.77012757369389839</v>
      </c>
      <c r="N184">
        <f>LEN(A184)</f>
        <v>35</v>
      </c>
      <c r="O184" t="str">
        <f>IF(ISNUMBER(SEARCH("$",A184)), "Money", IF(ISNUMBER(SEARCH("Win",A184)), "Challenge",IF(ISNUMBER(SEARCH("Challenge",A184)), "Challenge",IF(ISNUMBER(SEARCH("Last To Leave",A184)),"Challenge",IF(ISNUMBER(SEARCH("Giving Away", A184)),"Giveaway",IF(ISNUMBER(SEARCH("Stranded",A184)),"Survival", IF(ISNUMBER(SEARCH("Survive",A184)), "Survival", IF(ISNUMBER(SEARCH("Days",A184)),"Endurance","Other"))))))))</f>
        <v>Other</v>
      </c>
    </row>
    <row r="185" spans="1:15" x14ac:dyDescent="0.3">
      <c r="A185" t="s">
        <v>197</v>
      </c>
      <c r="B185" s="1">
        <v>42112</v>
      </c>
      <c r="C185" s="2">
        <v>445966</v>
      </c>
      <c r="D185" s="3">
        <v>22669</v>
      </c>
      <c r="E185" s="3">
        <v>3928</v>
      </c>
      <c r="F185">
        <f>YEAR(B185)</f>
        <v>2015</v>
      </c>
      <c r="G185" t="str">
        <f>TEXT(B185,"MMMM")</f>
        <v>April</v>
      </c>
      <c r="H185" t="str">
        <f>TEXT(B185, "DDDD")</f>
        <v>Saturday</v>
      </c>
      <c r="I185">
        <f>((D185+E185)/C185)*100</f>
        <v>5.9639075624599185</v>
      </c>
      <c r="J185">
        <f>(D185/C185)*1000</f>
        <v>50.831229286537535</v>
      </c>
      <c r="K185">
        <f>(E185/C185)*1000</f>
        <v>8.8078463380616459</v>
      </c>
      <c r="L185">
        <f>CORREL(C185:C683, D185:D683)</f>
        <v>0.80232645504461098</v>
      </c>
      <c r="M185">
        <f>CORREL(C185:C683,E185:E683)</f>
        <v>0.77237538049576826</v>
      </c>
      <c r="N185">
        <f>LEN(A185)</f>
        <v>17</v>
      </c>
      <c r="O185" t="str">
        <f>IF(ISNUMBER(SEARCH("$",A185)), "Money", IF(ISNUMBER(SEARCH("Win",A185)), "Challenge",IF(ISNUMBER(SEARCH("Challenge",A185)), "Challenge",IF(ISNUMBER(SEARCH("Last To Leave",A185)),"Challenge",IF(ISNUMBER(SEARCH("Giving Away", A185)),"Giveaway",IF(ISNUMBER(SEARCH("Stranded",A185)),"Survival", IF(ISNUMBER(SEARCH("Survive",A185)), "Survival", IF(ISNUMBER(SEARCH("Days",A185)),"Endurance","Other"))))))))</f>
        <v>Other</v>
      </c>
    </row>
    <row r="186" spans="1:15" x14ac:dyDescent="0.3">
      <c r="A186" t="s">
        <v>198</v>
      </c>
      <c r="B186" s="1">
        <v>42306</v>
      </c>
      <c r="C186" s="2">
        <v>362959</v>
      </c>
      <c r="D186" s="3">
        <v>14973</v>
      </c>
      <c r="E186" s="3">
        <v>1969</v>
      </c>
      <c r="F186">
        <f>YEAR(B186)</f>
        <v>2015</v>
      </c>
      <c r="G186" t="str">
        <f>TEXT(B186,"MMMM")</f>
        <v>October</v>
      </c>
      <c r="H186" t="str">
        <f>TEXT(B186, "DDDD")</f>
        <v>Thursday</v>
      </c>
      <c r="I186">
        <f>((D186+E186)/C186)*100</f>
        <v>4.6677448417038834</v>
      </c>
      <c r="J186">
        <f>(D186/C186)*1000</f>
        <v>41.252593268110168</v>
      </c>
      <c r="K186">
        <f>(E186/C186)*1000</f>
        <v>5.4248551489286676</v>
      </c>
      <c r="L186">
        <f>CORREL(C186:C684, D186:D684)</f>
        <v>0.80276299174679455</v>
      </c>
      <c r="M186">
        <f>CORREL(C186:C684,E186:E684)</f>
        <v>0.77103099388081164</v>
      </c>
      <c r="N186">
        <f>LEN(A186)</f>
        <v>19</v>
      </c>
      <c r="O186" t="str">
        <f>IF(ISNUMBER(SEARCH("$",A186)), "Money", IF(ISNUMBER(SEARCH("Win",A186)), "Challenge",IF(ISNUMBER(SEARCH("Challenge",A186)), "Challenge",IF(ISNUMBER(SEARCH("Last To Leave",A186)),"Challenge",IF(ISNUMBER(SEARCH("Giving Away", A186)),"Giveaway",IF(ISNUMBER(SEARCH("Stranded",A186)),"Survival", IF(ISNUMBER(SEARCH("Survive",A186)), "Survival", IF(ISNUMBER(SEARCH("Days",A186)),"Endurance","Other"))))))))</f>
        <v>Other</v>
      </c>
    </row>
    <row r="187" spans="1:15" x14ac:dyDescent="0.3">
      <c r="A187" t="s">
        <v>199</v>
      </c>
      <c r="B187" s="1">
        <v>42314</v>
      </c>
      <c r="C187" s="2">
        <v>340875</v>
      </c>
      <c r="D187" s="3">
        <v>12100</v>
      </c>
      <c r="E187" s="3">
        <v>907</v>
      </c>
      <c r="F187">
        <f>YEAR(B187)</f>
        <v>2015</v>
      </c>
      <c r="G187" t="str">
        <f>TEXT(B187,"MMMM")</f>
        <v>November</v>
      </c>
      <c r="H187" t="str">
        <f>TEXT(B187, "DDDD")</f>
        <v>Friday</v>
      </c>
      <c r="I187">
        <f>((D187+E187)/C187)*100</f>
        <v>3.8157682434910156</v>
      </c>
      <c r="J187">
        <f>(D187/C187)*1000</f>
        <v>35.496883021635497</v>
      </c>
      <c r="K187">
        <f>(E187/C187)*1000</f>
        <v>2.6607994132746606</v>
      </c>
      <c r="L187">
        <f>CORREL(C187:C685, D187:D685)</f>
        <v>0.80298855402991498</v>
      </c>
      <c r="M187">
        <f>CORREL(C187:C685,E187:E685)</f>
        <v>0.7711742058829828</v>
      </c>
      <c r="N187">
        <f>LEN(A187)</f>
        <v>58</v>
      </c>
      <c r="O187" t="str">
        <f>IF(ISNUMBER(SEARCH("$",A187)), "Money", IF(ISNUMBER(SEARCH("Win",A187)), "Challenge",IF(ISNUMBER(SEARCH("Challenge",A187)), "Challenge",IF(ISNUMBER(SEARCH("Last To Leave",A187)),"Challenge",IF(ISNUMBER(SEARCH("Giving Away", A187)),"Giveaway",IF(ISNUMBER(SEARCH("Stranded",A187)),"Survival", IF(ISNUMBER(SEARCH("Survive",A187)), "Survival", IF(ISNUMBER(SEARCH("Days",A187)),"Endurance","Other"))))))))</f>
        <v>Other</v>
      </c>
    </row>
    <row r="188" spans="1:15" x14ac:dyDescent="0.3">
      <c r="A188" t="s">
        <v>200</v>
      </c>
      <c r="B188" s="1">
        <v>42184</v>
      </c>
      <c r="C188" s="2">
        <v>332155</v>
      </c>
      <c r="D188" s="3">
        <v>16973</v>
      </c>
      <c r="E188" s="3">
        <v>2042</v>
      </c>
      <c r="F188">
        <f>YEAR(B188)</f>
        <v>2015</v>
      </c>
      <c r="G188" t="str">
        <f>TEXT(B188,"MMMM")</f>
        <v>June</v>
      </c>
      <c r="H188" t="str">
        <f>TEXT(B188, "DDDD")</f>
        <v>Monday</v>
      </c>
      <c r="I188">
        <f>((D188+E188)/C188)*100</f>
        <v>5.7247369451009318</v>
      </c>
      <c r="J188">
        <f>(D188/C188)*1000</f>
        <v>51.099637217564087</v>
      </c>
      <c r="K188">
        <f>(E188/C188)*1000</f>
        <v>6.1477322334452289</v>
      </c>
      <c r="L188">
        <f>CORREL(C188:C686, D188:D686)</f>
        <v>0.8028054911193393</v>
      </c>
      <c r="M188">
        <f>CORREL(C188:C686,E188:E686)</f>
        <v>0.76962484031183542</v>
      </c>
      <c r="N188">
        <f>LEN(A188)</f>
        <v>43</v>
      </c>
      <c r="O188" t="str">
        <f>IF(ISNUMBER(SEARCH("$",A188)), "Money", IF(ISNUMBER(SEARCH("Win",A188)), "Challenge",IF(ISNUMBER(SEARCH("Challenge",A188)), "Challenge",IF(ISNUMBER(SEARCH("Last To Leave",A188)),"Challenge",IF(ISNUMBER(SEARCH("Giving Away", A188)),"Giveaway",IF(ISNUMBER(SEARCH("Stranded",A188)),"Survival", IF(ISNUMBER(SEARCH("Survive",A188)), "Survival", IF(ISNUMBER(SEARCH("Days",A188)),"Endurance","Other"))))))))</f>
        <v>Other</v>
      </c>
    </row>
    <row r="189" spans="1:15" x14ac:dyDescent="0.3">
      <c r="A189" t="s">
        <v>201</v>
      </c>
      <c r="B189" s="1">
        <v>42051</v>
      </c>
      <c r="C189" s="2">
        <v>328773</v>
      </c>
      <c r="D189" s="3">
        <v>7696</v>
      </c>
      <c r="E189" s="3">
        <v>608</v>
      </c>
      <c r="F189">
        <f>YEAR(B189)</f>
        <v>2015</v>
      </c>
      <c r="G189" t="str">
        <f>TEXT(B189,"MMMM")</f>
        <v>February</v>
      </c>
      <c r="H189" t="str">
        <f>TEXT(B189, "DDDD")</f>
        <v>Monday</v>
      </c>
      <c r="I189">
        <f>((D189+E189)/C189)*100</f>
        <v>2.5257548521320183</v>
      </c>
      <c r="J189">
        <f>(D189/C189)*1000</f>
        <v>23.408248244229299</v>
      </c>
      <c r="K189">
        <f>(E189/C189)*1000</f>
        <v>1.8493002770908804</v>
      </c>
      <c r="L189">
        <f>CORREL(C189:C687, D189:D687)</f>
        <v>0.8039760967131897</v>
      </c>
      <c r="M189">
        <f>CORREL(C189:C687,E189:E687)</f>
        <v>0.76895303014440397</v>
      </c>
      <c r="N189">
        <f>LEN(A189)</f>
        <v>32</v>
      </c>
      <c r="O189" t="str">
        <f>IF(ISNUMBER(SEARCH("$",A189)), "Money", IF(ISNUMBER(SEARCH("Win",A189)), "Challenge",IF(ISNUMBER(SEARCH("Challenge",A189)), "Challenge",IF(ISNUMBER(SEARCH("Last To Leave",A189)),"Challenge",IF(ISNUMBER(SEARCH("Giving Away", A189)),"Giveaway",IF(ISNUMBER(SEARCH("Stranded",A189)),"Survival", IF(ISNUMBER(SEARCH("Survive",A189)), "Survival", IF(ISNUMBER(SEARCH("Days",A189)),"Endurance","Other"))))))))</f>
        <v>Other</v>
      </c>
    </row>
    <row r="190" spans="1:15" x14ac:dyDescent="0.3">
      <c r="A190" t="s">
        <v>202</v>
      </c>
      <c r="B190" s="1">
        <v>42226</v>
      </c>
      <c r="C190" s="2">
        <v>325798</v>
      </c>
      <c r="D190" s="3">
        <v>7676</v>
      </c>
      <c r="E190" s="3">
        <v>640</v>
      </c>
      <c r="F190">
        <f>YEAR(B190)</f>
        <v>2015</v>
      </c>
      <c r="G190" t="str">
        <f>TEXT(B190,"MMMM")</f>
        <v>August</v>
      </c>
      <c r="H190" t="str">
        <f>TEXT(B190, "DDDD")</f>
        <v>Monday</v>
      </c>
      <c r="I190">
        <f>((D190+E190)/C190)*100</f>
        <v>2.5525018569788642</v>
      </c>
      <c r="J190">
        <f>(D190/C190)*1000</f>
        <v>23.560611176250315</v>
      </c>
      <c r="K190">
        <f>(E190/C190)*1000</f>
        <v>1.9644073935383275</v>
      </c>
      <c r="L190">
        <f>CORREL(C190:C688, D190:D688)</f>
        <v>0.80414714003735177</v>
      </c>
      <c r="M190">
        <f>CORREL(C190:C688,E190:E688)</f>
        <v>0.7673253311782704</v>
      </c>
      <c r="N190">
        <f>LEN(A190)</f>
        <v>27</v>
      </c>
      <c r="O190" t="str">
        <f>IF(ISNUMBER(SEARCH("$",A190)), "Money", IF(ISNUMBER(SEARCH("Win",A190)), "Challenge",IF(ISNUMBER(SEARCH("Challenge",A190)), "Challenge",IF(ISNUMBER(SEARCH("Last To Leave",A190)),"Challenge",IF(ISNUMBER(SEARCH("Giving Away", A190)),"Giveaway",IF(ISNUMBER(SEARCH("Stranded",A190)),"Survival", IF(ISNUMBER(SEARCH("Survive",A190)), "Survival", IF(ISNUMBER(SEARCH("Days",A190)),"Endurance","Other"))))))))</f>
        <v>Other</v>
      </c>
    </row>
    <row r="191" spans="1:15" x14ac:dyDescent="0.3">
      <c r="A191" t="s">
        <v>203</v>
      </c>
      <c r="B191" s="1">
        <v>42064</v>
      </c>
      <c r="C191" s="2">
        <v>303846</v>
      </c>
      <c r="D191" s="3">
        <v>4457</v>
      </c>
      <c r="E191" s="3">
        <v>438</v>
      </c>
      <c r="F191">
        <f>YEAR(B191)</f>
        <v>2015</v>
      </c>
      <c r="G191" t="str">
        <f>TEXT(B191,"MMMM")</f>
        <v>March</v>
      </c>
      <c r="H191" t="str">
        <f>TEXT(B191, "DDDD")</f>
        <v>Sunday</v>
      </c>
      <c r="I191">
        <f>((D191+E191)/C191)*100</f>
        <v>1.611013473930873</v>
      </c>
      <c r="J191">
        <f>(D191/C191)*1000</f>
        <v>14.668615022083555</v>
      </c>
      <c r="K191">
        <f>(E191/C191)*1000</f>
        <v>1.4415197172251732</v>
      </c>
      <c r="L191">
        <f>CORREL(C191:C689, D191:D689)</f>
        <v>0.80526741399031543</v>
      </c>
      <c r="M191">
        <f>CORREL(C191:C689,E191:E689)</f>
        <v>0.76656142371655378</v>
      </c>
      <c r="N191">
        <f>LEN(A191)</f>
        <v>32</v>
      </c>
      <c r="O191" t="str">
        <f>IF(ISNUMBER(SEARCH("$",A191)), "Money", IF(ISNUMBER(SEARCH("Win",A191)), "Challenge",IF(ISNUMBER(SEARCH("Challenge",A191)), "Challenge",IF(ISNUMBER(SEARCH("Last To Leave",A191)),"Challenge",IF(ISNUMBER(SEARCH("Giving Away", A191)),"Giveaway",IF(ISNUMBER(SEARCH("Stranded",A191)),"Survival", IF(ISNUMBER(SEARCH("Survive",A191)), "Survival", IF(ISNUMBER(SEARCH("Days",A191)),"Endurance","Other"))))))))</f>
        <v>Other</v>
      </c>
    </row>
    <row r="192" spans="1:15" x14ac:dyDescent="0.3">
      <c r="A192" t="s">
        <v>204</v>
      </c>
      <c r="B192" s="1">
        <v>42166</v>
      </c>
      <c r="C192" s="2">
        <v>298238</v>
      </c>
      <c r="D192" s="3">
        <v>8317</v>
      </c>
      <c r="E192" s="3">
        <v>571</v>
      </c>
      <c r="F192">
        <f>YEAR(B192)</f>
        <v>2015</v>
      </c>
      <c r="G192" t="str">
        <f>TEXT(B192,"MMMM")</f>
        <v>June</v>
      </c>
      <c r="H192" t="str">
        <f>TEXT(B192, "DDDD")</f>
        <v>Thursday</v>
      </c>
      <c r="I192">
        <f>((D192+E192)/C192)*100</f>
        <v>2.9801701996392143</v>
      </c>
      <c r="J192">
        <f>(D192/C192)*1000</f>
        <v>27.88712370656992</v>
      </c>
      <c r="K192">
        <f>(E192/C192)*1000</f>
        <v>1.9145782898222226</v>
      </c>
      <c r="L192">
        <f>CORREL(C192:C690, D192:D690)</f>
        <v>0.8060697544246076</v>
      </c>
      <c r="M192">
        <f>CORREL(C192:C690,E192:E690)</f>
        <v>0.76719396693141306</v>
      </c>
      <c r="N192">
        <f>LEN(A192)</f>
        <v>36</v>
      </c>
      <c r="O192" t="str">
        <f>IF(ISNUMBER(SEARCH("$",A192)), "Money", IF(ISNUMBER(SEARCH("Win",A192)), "Challenge",IF(ISNUMBER(SEARCH("Challenge",A192)), "Challenge",IF(ISNUMBER(SEARCH("Last To Leave",A192)),"Challenge",IF(ISNUMBER(SEARCH("Giving Away", A192)),"Giveaway",IF(ISNUMBER(SEARCH("Stranded",A192)),"Survival", IF(ISNUMBER(SEARCH("Survive",A192)), "Survival", IF(ISNUMBER(SEARCH("Days",A192)),"Endurance","Other"))))))))</f>
        <v>Other</v>
      </c>
    </row>
    <row r="193" spans="1:15" x14ac:dyDescent="0.3">
      <c r="A193" t="s">
        <v>205</v>
      </c>
      <c r="B193" s="1">
        <v>42183</v>
      </c>
      <c r="C193" s="2">
        <v>289482</v>
      </c>
      <c r="D193" s="3">
        <v>3428</v>
      </c>
      <c r="E193" s="3">
        <v>233</v>
      </c>
      <c r="F193">
        <f>YEAR(B193)</f>
        <v>2015</v>
      </c>
      <c r="G193" t="str">
        <f>TEXT(B193,"MMMM")</f>
        <v>June</v>
      </c>
      <c r="H193" t="str">
        <f>TEXT(B193, "DDDD")</f>
        <v>Sunday</v>
      </c>
      <c r="I193">
        <f>((D193+E193)/C193)*100</f>
        <v>1.2646727603097947</v>
      </c>
      <c r="J193">
        <f>(D193/C193)*1000</f>
        <v>11.841841634367594</v>
      </c>
      <c r="K193">
        <f>(E193/C193)*1000</f>
        <v>0.8048859687303529</v>
      </c>
      <c r="L193">
        <f>CORREL(C193:C691, D193:D691)</f>
        <v>0.80712326128124456</v>
      </c>
      <c r="M193">
        <f>CORREL(C193:C691,E193:E691)</f>
        <v>0.76709689452730045</v>
      </c>
      <c r="N193">
        <f>LEN(A193)</f>
        <v>29</v>
      </c>
      <c r="O193" t="str">
        <f>IF(ISNUMBER(SEARCH("$",A193)), "Money", IF(ISNUMBER(SEARCH("Win",A193)), "Challenge",IF(ISNUMBER(SEARCH("Challenge",A193)), "Challenge",IF(ISNUMBER(SEARCH("Last To Leave",A193)),"Challenge",IF(ISNUMBER(SEARCH("Giving Away", A193)),"Giveaway",IF(ISNUMBER(SEARCH("Stranded",A193)),"Survival", IF(ISNUMBER(SEARCH("Survive",A193)), "Survival", IF(ISNUMBER(SEARCH("Days",A193)),"Endurance","Other"))))))))</f>
        <v>Other</v>
      </c>
    </row>
    <row r="194" spans="1:15" x14ac:dyDescent="0.3">
      <c r="A194" t="s">
        <v>206</v>
      </c>
      <c r="B194" s="1">
        <v>42199</v>
      </c>
      <c r="C194" s="2">
        <v>278006</v>
      </c>
      <c r="D194" s="3">
        <v>7475</v>
      </c>
      <c r="E194" s="3">
        <v>574</v>
      </c>
      <c r="F194">
        <f>YEAR(B194)</f>
        <v>2015</v>
      </c>
      <c r="G194" t="str">
        <f>TEXT(B194,"MMMM")</f>
        <v>July</v>
      </c>
      <c r="H194" t="str">
        <f>TEXT(B194, "DDDD")</f>
        <v>Tuesday</v>
      </c>
      <c r="I194">
        <f>((D194+E194)/C194)*100</f>
        <v>2.8952612533542443</v>
      </c>
      <c r="J194">
        <f>(D194/C194)*1000</f>
        <v>26.887908894052647</v>
      </c>
      <c r="K194">
        <f>(E194/C194)*1000</f>
        <v>2.0647036394897951</v>
      </c>
      <c r="L194">
        <f>CORREL(C194:C692, D194:D692)</f>
        <v>0.80752260675478871</v>
      </c>
      <c r="M194">
        <f>CORREL(C194:C692,E194:E692)</f>
        <v>0.76648580406167721</v>
      </c>
      <c r="N194">
        <f>LEN(A194)</f>
        <v>37</v>
      </c>
      <c r="O194" t="str">
        <f>IF(ISNUMBER(SEARCH("$",A194)), "Money", IF(ISNUMBER(SEARCH("Win",A194)), "Challenge",IF(ISNUMBER(SEARCH("Challenge",A194)), "Challenge",IF(ISNUMBER(SEARCH("Last To Leave",A194)),"Challenge",IF(ISNUMBER(SEARCH("Giving Away", A194)),"Giveaway",IF(ISNUMBER(SEARCH("Stranded",A194)),"Survival", IF(ISNUMBER(SEARCH("Survive",A194)), "Survival", IF(ISNUMBER(SEARCH("Days",A194)),"Endurance","Other"))))))))</f>
        <v>Other</v>
      </c>
    </row>
    <row r="195" spans="1:15" x14ac:dyDescent="0.3">
      <c r="A195" t="s">
        <v>207</v>
      </c>
      <c r="B195" s="1">
        <v>42212</v>
      </c>
      <c r="C195" s="2">
        <v>271141</v>
      </c>
      <c r="D195" s="3">
        <v>4181</v>
      </c>
      <c r="E195" s="3">
        <v>577</v>
      </c>
      <c r="F195">
        <f>YEAR(B195)</f>
        <v>2015</v>
      </c>
      <c r="G195" t="str">
        <f>TEXT(B195,"MMMM")</f>
        <v>July</v>
      </c>
      <c r="H195" t="str">
        <f>TEXT(B195, "DDDD")</f>
        <v>Monday</v>
      </c>
      <c r="I195">
        <f>((D195+E195)/C195)*100</f>
        <v>1.7548065397708206</v>
      </c>
      <c r="J195">
        <f>(D195/C195)*1000</f>
        <v>15.420021317321984</v>
      </c>
      <c r="K195">
        <f>(E195/C195)*1000</f>
        <v>2.1280440803862199</v>
      </c>
      <c r="L195">
        <f>CORREL(C195:C693, D195:D693)</f>
        <v>0.80866142890880044</v>
      </c>
      <c r="M195">
        <f>CORREL(C195:C693,E195:E693)</f>
        <v>0.76788325708562577</v>
      </c>
      <c r="N195">
        <f>LEN(A195)</f>
        <v>26</v>
      </c>
      <c r="O195" t="str">
        <f>IF(ISNUMBER(SEARCH("$",A195)), "Money", IF(ISNUMBER(SEARCH("Win",A195)), "Challenge",IF(ISNUMBER(SEARCH("Challenge",A195)), "Challenge",IF(ISNUMBER(SEARCH("Last To Leave",A195)),"Challenge",IF(ISNUMBER(SEARCH("Giving Away", A195)),"Giveaway",IF(ISNUMBER(SEARCH("Stranded",A195)),"Survival", IF(ISNUMBER(SEARCH("Survive",A195)), "Survival", IF(ISNUMBER(SEARCH("Days",A195)),"Endurance","Other"))))))))</f>
        <v>Other</v>
      </c>
    </row>
    <row r="196" spans="1:15" x14ac:dyDescent="0.3">
      <c r="A196" t="s">
        <v>208</v>
      </c>
      <c r="B196" s="1">
        <v>42103</v>
      </c>
      <c r="C196" s="2">
        <v>252448</v>
      </c>
      <c r="D196" s="3">
        <v>3740</v>
      </c>
      <c r="E196" s="3">
        <v>676</v>
      </c>
      <c r="F196">
        <f>YEAR(B196)</f>
        <v>2015</v>
      </c>
      <c r="G196" t="str">
        <f>TEXT(B196,"MMMM")</f>
        <v>April</v>
      </c>
      <c r="H196" t="str">
        <f>TEXT(B196, "DDDD")</f>
        <v>Thursday</v>
      </c>
      <c r="I196">
        <f>((D196+E196)/C196)*100</f>
        <v>1.749271137026239</v>
      </c>
      <c r="J196">
        <f>(D196/C196)*1000</f>
        <v>14.814932184053745</v>
      </c>
      <c r="K196">
        <f>(E196/C196)*1000</f>
        <v>2.6777791862086446</v>
      </c>
      <c r="L196">
        <f>CORREL(C196:C694, D196:D694)</f>
        <v>0.809510200497225</v>
      </c>
      <c r="M196">
        <f>CORREL(C196:C694,E196:E694)</f>
        <v>0.76849695684832442</v>
      </c>
      <c r="N196">
        <f>LEN(A196)</f>
        <v>41</v>
      </c>
      <c r="O196" t="str">
        <f>IF(ISNUMBER(SEARCH("$",A196)), "Money", IF(ISNUMBER(SEARCH("Win",A196)), "Challenge",IF(ISNUMBER(SEARCH("Challenge",A196)), "Challenge",IF(ISNUMBER(SEARCH("Last To Leave",A196)),"Challenge",IF(ISNUMBER(SEARCH("Giving Away", A196)),"Giveaway",IF(ISNUMBER(SEARCH("Stranded",A196)),"Survival", IF(ISNUMBER(SEARCH("Survive",A196)), "Survival", IF(ISNUMBER(SEARCH("Days",A196)),"Endurance","Other"))))))))</f>
        <v>Other</v>
      </c>
    </row>
    <row r="197" spans="1:15" x14ac:dyDescent="0.3">
      <c r="A197" t="s">
        <v>209</v>
      </c>
      <c r="B197" s="1">
        <v>42247</v>
      </c>
      <c r="C197" s="2">
        <v>245946</v>
      </c>
      <c r="D197" s="3">
        <v>6875</v>
      </c>
      <c r="E197" s="3">
        <v>733</v>
      </c>
      <c r="F197">
        <f>YEAR(B197)</f>
        <v>2015</v>
      </c>
      <c r="G197" t="str">
        <f>TEXT(B197,"MMMM")</f>
        <v>August</v>
      </c>
      <c r="H197" t="str">
        <f>TEXT(B197, "DDDD")</f>
        <v>Monday</v>
      </c>
      <c r="I197">
        <f>((D197+E197)/C197)*100</f>
        <v>3.0933619575028666</v>
      </c>
      <c r="J197">
        <f>(D197/C197)*1000</f>
        <v>27.953290559716361</v>
      </c>
      <c r="K197">
        <f>(E197/C197)*1000</f>
        <v>2.9803290153123041</v>
      </c>
      <c r="L197">
        <f>CORREL(C197:C695, D197:D695)</f>
        <v>0.81033840600157758</v>
      </c>
      <c r="M197">
        <f>CORREL(C197:C695,E197:E695)</f>
        <v>0.76926480171067746</v>
      </c>
      <c r="N197">
        <f>LEN(A197)</f>
        <v>41</v>
      </c>
      <c r="O197" t="str">
        <f>IF(ISNUMBER(SEARCH("$",A197)), "Money", IF(ISNUMBER(SEARCH("Win",A197)), "Challenge",IF(ISNUMBER(SEARCH("Challenge",A197)), "Challenge",IF(ISNUMBER(SEARCH("Last To Leave",A197)),"Challenge",IF(ISNUMBER(SEARCH("Giving Away", A197)),"Giveaway",IF(ISNUMBER(SEARCH("Stranded",A197)),"Survival", IF(ISNUMBER(SEARCH("Survive",A197)), "Survival", IF(ISNUMBER(SEARCH("Days",A197)),"Endurance","Other"))))))))</f>
        <v>Survival</v>
      </c>
    </row>
    <row r="198" spans="1:15" x14ac:dyDescent="0.3">
      <c r="A198" t="s">
        <v>210</v>
      </c>
      <c r="B198" s="1">
        <v>42164</v>
      </c>
      <c r="C198" s="2">
        <v>245853</v>
      </c>
      <c r="D198" s="3">
        <v>2394</v>
      </c>
      <c r="E198" s="3">
        <v>168</v>
      </c>
      <c r="F198">
        <f>YEAR(B198)</f>
        <v>2015</v>
      </c>
      <c r="G198" t="str">
        <f>TEXT(B198,"MMMM")</f>
        <v>June</v>
      </c>
      <c r="H198" t="str">
        <f>TEXT(B198, "DDDD")</f>
        <v>Tuesday</v>
      </c>
      <c r="I198">
        <f>((D198+E198)/C198)*100</f>
        <v>1.0420861246354529</v>
      </c>
      <c r="J198">
        <f>(D198/C198)*1000</f>
        <v>9.7375260826591497</v>
      </c>
      <c r="K198">
        <f>(E198/C198)*1000</f>
        <v>0.68333516369537894</v>
      </c>
      <c r="L198">
        <f>CORREL(C198:C696, D198:D696)</f>
        <v>0.81076007950668072</v>
      </c>
      <c r="M198">
        <f>CORREL(C198:C696,E198:E696)</f>
        <v>0.76913754845941351</v>
      </c>
      <c r="N198">
        <f>LEN(A198)</f>
        <v>41</v>
      </c>
      <c r="O198" t="str">
        <f>IF(ISNUMBER(SEARCH("$",A198)), "Money", IF(ISNUMBER(SEARCH("Win",A198)), "Challenge",IF(ISNUMBER(SEARCH("Challenge",A198)), "Challenge",IF(ISNUMBER(SEARCH("Last To Leave",A198)),"Challenge",IF(ISNUMBER(SEARCH("Giving Away", A198)),"Giveaway",IF(ISNUMBER(SEARCH("Stranded",A198)),"Survival", IF(ISNUMBER(SEARCH("Survive",A198)), "Survival", IF(ISNUMBER(SEARCH("Days",A198)),"Endurance","Other"))))))))</f>
        <v>Other</v>
      </c>
    </row>
    <row r="199" spans="1:15" x14ac:dyDescent="0.3">
      <c r="A199" t="s">
        <v>211</v>
      </c>
      <c r="B199" s="1">
        <v>42236</v>
      </c>
      <c r="C199" s="2">
        <v>237147</v>
      </c>
      <c r="D199" s="3">
        <v>11629</v>
      </c>
      <c r="E199" s="3">
        <v>752</v>
      </c>
      <c r="F199">
        <f>YEAR(B199)</f>
        <v>2015</v>
      </c>
      <c r="G199" t="str">
        <f>TEXT(B199,"MMMM")</f>
        <v>August</v>
      </c>
      <c r="H199" t="str">
        <f>TEXT(B199, "DDDD")</f>
        <v>Thursday</v>
      </c>
      <c r="I199">
        <f>((D199+E199)/C199)*100</f>
        <v>5.220812407494086</v>
      </c>
      <c r="J199">
        <f>(D199/C199)*1000</f>
        <v>49.037095135084989</v>
      </c>
      <c r="K199">
        <f>(E199/C199)*1000</f>
        <v>3.1710289398558702</v>
      </c>
      <c r="L199">
        <f>CORREL(C199:C697, D199:D697)</f>
        <v>0.81131749177093593</v>
      </c>
      <c r="M199">
        <f>CORREL(C199:C697,E199:E697)</f>
        <v>0.76971051419830394</v>
      </c>
      <c r="N199">
        <f>LEN(A199)</f>
        <v>35</v>
      </c>
      <c r="O199" t="str">
        <f>IF(ISNUMBER(SEARCH("$",A199)), "Money", IF(ISNUMBER(SEARCH("Win",A199)), "Challenge",IF(ISNUMBER(SEARCH("Challenge",A199)), "Challenge",IF(ISNUMBER(SEARCH("Last To Leave",A199)),"Challenge",IF(ISNUMBER(SEARCH("Giving Away", A199)),"Giveaway",IF(ISNUMBER(SEARCH("Stranded",A199)),"Survival", IF(ISNUMBER(SEARCH("Survive",A199)), "Survival", IF(ISNUMBER(SEARCH("Days",A199)),"Endurance","Other"))))))))</f>
        <v>Other</v>
      </c>
    </row>
    <row r="200" spans="1:15" x14ac:dyDescent="0.3">
      <c r="A200" t="s">
        <v>212</v>
      </c>
      <c r="B200" s="1">
        <v>42365</v>
      </c>
      <c r="C200" s="2">
        <v>230862</v>
      </c>
      <c r="D200" s="3">
        <v>5942</v>
      </c>
      <c r="E200" s="3">
        <v>455</v>
      </c>
      <c r="F200">
        <f>YEAR(B200)</f>
        <v>2015</v>
      </c>
      <c r="G200" t="str">
        <f>TEXT(B200,"MMMM")</f>
        <v>December</v>
      </c>
      <c r="H200" t="str">
        <f>TEXT(B200, "DDDD")</f>
        <v>Sunday</v>
      </c>
      <c r="I200">
        <f>((D200+E200)/C200)*100</f>
        <v>2.7709194237249957</v>
      </c>
      <c r="J200">
        <f>(D200/C200)*1000</f>
        <v>25.738319862082111</v>
      </c>
      <c r="K200">
        <f>(E200/C200)*1000</f>
        <v>1.970874375167849</v>
      </c>
      <c r="L200">
        <f>CORREL(C200:C698, D200:D698)</f>
        <v>0.81165398493613128</v>
      </c>
      <c r="M200">
        <f>CORREL(C200:C698,E200:E698)</f>
        <v>0.77014721224549421</v>
      </c>
      <c r="N200">
        <f>LEN(A200)</f>
        <v>30</v>
      </c>
      <c r="O200" t="str">
        <f>IF(ISNUMBER(SEARCH("$",A200)), "Money", IF(ISNUMBER(SEARCH("Win",A200)), "Challenge",IF(ISNUMBER(SEARCH("Challenge",A200)), "Challenge",IF(ISNUMBER(SEARCH("Last To Leave",A200)),"Challenge",IF(ISNUMBER(SEARCH("Giving Away", A200)),"Giveaway",IF(ISNUMBER(SEARCH("Stranded",A200)),"Survival", IF(ISNUMBER(SEARCH("Survive",A200)), "Survival", IF(ISNUMBER(SEARCH("Days",A200)),"Endurance","Other"))))))))</f>
        <v>Other</v>
      </c>
    </row>
    <row r="201" spans="1:15" x14ac:dyDescent="0.3">
      <c r="A201" t="s">
        <v>213</v>
      </c>
      <c r="B201" s="1">
        <v>42198</v>
      </c>
      <c r="C201" s="2">
        <v>227485</v>
      </c>
      <c r="D201" s="3">
        <v>2301</v>
      </c>
      <c r="E201" s="3">
        <v>268</v>
      </c>
      <c r="F201">
        <f>YEAR(B201)</f>
        <v>2015</v>
      </c>
      <c r="G201" t="str">
        <f>TEXT(B201,"MMMM")</f>
        <v>July</v>
      </c>
      <c r="H201" t="str">
        <f>TEXT(B201, "DDDD")</f>
        <v>Monday</v>
      </c>
      <c r="I201">
        <f>((D201+E201)/C201)*100</f>
        <v>1.1293052289161922</v>
      </c>
      <c r="J201">
        <f>(D201/C201)*1000</f>
        <v>10.114952634239621</v>
      </c>
      <c r="K201">
        <f>(E201/C201)*1000</f>
        <v>1.1780996549223026</v>
      </c>
      <c r="L201">
        <f>CORREL(C201:C699, D201:D699)</f>
        <v>0.81114004894345348</v>
      </c>
      <c r="M201">
        <f>CORREL(C201:C699,E201:E699)</f>
        <v>0.76980984560699506</v>
      </c>
      <c r="N201">
        <f>LEN(A201)</f>
        <v>60</v>
      </c>
      <c r="O201" t="str">
        <f>IF(ISNUMBER(SEARCH("$",A201)), "Money", IF(ISNUMBER(SEARCH("Win",A201)), "Challenge",IF(ISNUMBER(SEARCH("Challenge",A201)), "Challenge",IF(ISNUMBER(SEARCH("Last To Leave",A201)),"Challenge",IF(ISNUMBER(SEARCH("Giving Away", A201)),"Giveaway",IF(ISNUMBER(SEARCH("Stranded",A201)),"Survival", IF(ISNUMBER(SEARCH("Survive",A201)), "Survival", IF(ISNUMBER(SEARCH("Days",A201)),"Endurance","Other"))))))))</f>
        <v>Other</v>
      </c>
    </row>
    <row r="202" spans="1:15" x14ac:dyDescent="0.3">
      <c r="A202" t="s">
        <v>214</v>
      </c>
      <c r="B202" s="1">
        <v>42224</v>
      </c>
      <c r="C202" s="2">
        <v>222818</v>
      </c>
      <c r="D202" s="3">
        <v>8063</v>
      </c>
      <c r="E202" s="3">
        <v>761</v>
      </c>
      <c r="F202">
        <f>YEAR(B202)</f>
        <v>2015</v>
      </c>
      <c r="G202" t="str">
        <f>TEXT(B202,"MMMM")</f>
        <v>August</v>
      </c>
      <c r="H202" t="str">
        <f>TEXT(B202, "DDDD")</f>
        <v>Saturday</v>
      </c>
      <c r="I202">
        <f>((D202+E202)/C202)*100</f>
        <v>3.9601827500471241</v>
      </c>
      <c r="J202">
        <f>(D202/C202)*1000</f>
        <v>36.186484036298687</v>
      </c>
      <c r="K202">
        <f>(E202/C202)*1000</f>
        <v>3.4153434641725533</v>
      </c>
      <c r="L202">
        <f>CORREL(C202:C700, D202:D700)</f>
        <v>0.81104135517013776</v>
      </c>
      <c r="M202">
        <f>CORREL(C202:C700,E202:E700)</f>
        <v>0.76967861872690979</v>
      </c>
      <c r="N202">
        <f>LEN(A202)</f>
        <v>62</v>
      </c>
      <c r="O202" t="str">
        <f>IF(ISNUMBER(SEARCH("$",A202)), "Money", IF(ISNUMBER(SEARCH("Win",A202)), "Challenge",IF(ISNUMBER(SEARCH("Challenge",A202)), "Challenge",IF(ISNUMBER(SEARCH("Last To Leave",A202)),"Challenge",IF(ISNUMBER(SEARCH("Giving Away", A202)),"Giveaway",IF(ISNUMBER(SEARCH("Stranded",A202)),"Survival", IF(ISNUMBER(SEARCH("Survive",A202)), "Survival", IF(ISNUMBER(SEARCH("Days",A202)),"Endurance","Other"))))))))</f>
        <v>Other</v>
      </c>
    </row>
    <row r="203" spans="1:15" x14ac:dyDescent="0.3">
      <c r="A203" t="s">
        <v>215</v>
      </c>
      <c r="B203" s="1">
        <v>42057</v>
      </c>
      <c r="C203" s="2">
        <v>220199</v>
      </c>
      <c r="D203" s="3">
        <v>3650</v>
      </c>
      <c r="E203" s="3">
        <v>445</v>
      </c>
      <c r="F203">
        <f>YEAR(B203)</f>
        <v>2015</v>
      </c>
      <c r="G203" t="str">
        <f>TEXT(B203,"MMMM")</f>
        <v>February</v>
      </c>
      <c r="H203" t="str">
        <f>TEXT(B203, "DDDD")</f>
        <v>Sunday</v>
      </c>
      <c r="I203">
        <f>((D203+E203)/C203)*100</f>
        <v>1.8596814699430968</v>
      </c>
      <c r="J203">
        <f>(D203/C203)*1000</f>
        <v>16.575915421959227</v>
      </c>
      <c r="K203">
        <f>(E203/C203)*1000</f>
        <v>2.0208992774717416</v>
      </c>
      <c r="L203">
        <f>CORREL(C203:C701, D203:D701)</f>
        <v>0.8110076049272692</v>
      </c>
      <c r="M203">
        <f>CORREL(C203:C701,E203:E701)</f>
        <v>0.76966301502239365</v>
      </c>
      <c r="N203">
        <f>LEN(A203)</f>
        <v>27</v>
      </c>
      <c r="O203" t="str">
        <f>IF(ISNUMBER(SEARCH("$",A203)), "Money", IF(ISNUMBER(SEARCH("Win",A203)), "Challenge",IF(ISNUMBER(SEARCH("Challenge",A203)), "Challenge",IF(ISNUMBER(SEARCH("Last To Leave",A203)),"Challenge",IF(ISNUMBER(SEARCH("Giving Away", A203)),"Giveaway",IF(ISNUMBER(SEARCH("Stranded",A203)),"Survival", IF(ISNUMBER(SEARCH("Survive",A203)), "Survival", IF(ISNUMBER(SEARCH("Days",A203)),"Endurance","Other"))))))))</f>
        <v>Other</v>
      </c>
    </row>
    <row r="204" spans="1:15" x14ac:dyDescent="0.3">
      <c r="A204" t="s">
        <v>216</v>
      </c>
      <c r="B204" s="1">
        <v>42096</v>
      </c>
      <c r="C204" s="2">
        <v>217764</v>
      </c>
      <c r="D204" s="3">
        <v>9220</v>
      </c>
      <c r="E204" s="3">
        <v>782</v>
      </c>
      <c r="F204">
        <f>YEAR(B204)</f>
        <v>2015</v>
      </c>
      <c r="G204" t="str">
        <f>TEXT(B204,"MMMM")</f>
        <v>April</v>
      </c>
      <c r="H204" t="str">
        <f>TEXT(B204, "DDDD")</f>
        <v>Thursday</v>
      </c>
      <c r="I204">
        <f>((D204+E204)/C204)*100</f>
        <v>4.5930456824819528</v>
      </c>
      <c r="J204">
        <f>(D204/C204)*1000</f>
        <v>42.339413309821637</v>
      </c>
      <c r="K204">
        <f>(E204/C204)*1000</f>
        <v>3.5910435149978874</v>
      </c>
      <c r="L204">
        <f>CORREL(C204:C702, D204:D702)</f>
        <v>0.80918895833017879</v>
      </c>
      <c r="M204">
        <f>CORREL(C204:C702,E204:E702)</f>
        <v>0.76138844543525208</v>
      </c>
      <c r="N204">
        <f>LEN(A204)</f>
        <v>41</v>
      </c>
      <c r="O204" t="str">
        <f>IF(ISNUMBER(SEARCH("$",A204)), "Money", IF(ISNUMBER(SEARCH("Win",A204)), "Challenge",IF(ISNUMBER(SEARCH("Challenge",A204)), "Challenge",IF(ISNUMBER(SEARCH("Last To Leave",A204)),"Challenge",IF(ISNUMBER(SEARCH("Giving Away", A204)),"Giveaway",IF(ISNUMBER(SEARCH("Stranded",A204)),"Survival", IF(ISNUMBER(SEARCH("Survive",A204)), "Survival", IF(ISNUMBER(SEARCH("Days",A204)),"Endurance","Other"))))))))</f>
        <v>Other</v>
      </c>
    </row>
    <row r="205" spans="1:15" x14ac:dyDescent="0.3">
      <c r="A205" t="s">
        <v>217</v>
      </c>
      <c r="B205" s="1">
        <v>42362</v>
      </c>
      <c r="C205" s="2">
        <v>201335</v>
      </c>
      <c r="D205" s="3">
        <v>7590</v>
      </c>
      <c r="E205" s="3">
        <v>1440</v>
      </c>
      <c r="F205">
        <f>YEAR(B205)</f>
        <v>2015</v>
      </c>
      <c r="G205" t="str">
        <f>TEXT(B205,"MMMM")</f>
        <v>December</v>
      </c>
      <c r="H205" t="str">
        <f>TEXT(B205, "DDDD")</f>
        <v>Thursday</v>
      </c>
      <c r="I205">
        <f>((D205+E205)/C205)*100</f>
        <v>4.4850622097499198</v>
      </c>
      <c r="J205">
        <f>(D205/C205)*1000</f>
        <v>37.698363424143835</v>
      </c>
      <c r="K205">
        <f>(E205/C205)*1000</f>
        <v>7.1522586733553535</v>
      </c>
      <c r="L205">
        <f>CORREL(C205:C703, D205:D703)</f>
        <v>0.80857523998755709</v>
      </c>
      <c r="M205">
        <f>CORREL(C205:C703,E205:E703)</f>
        <v>0.75946588342048216</v>
      </c>
      <c r="N205">
        <f>LEN(A205)</f>
        <v>21</v>
      </c>
      <c r="O205" t="str">
        <f>IF(ISNUMBER(SEARCH("$",A205)), "Money", IF(ISNUMBER(SEARCH("Win",A205)), "Challenge",IF(ISNUMBER(SEARCH("Challenge",A205)), "Challenge",IF(ISNUMBER(SEARCH("Last To Leave",A205)),"Challenge",IF(ISNUMBER(SEARCH("Giving Away", A205)),"Giveaway",IF(ISNUMBER(SEARCH("Stranded",A205)),"Survival", IF(ISNUMBER(SEARCH("Survive",A205)), "Survival", IF(ISNUMBER(SEARCH("Days",A205)),"Endurance","Other"))))))))</f>
        <v>Other</v>
      </c>
    </row>
    <row r="206" spans="1:15" x14ac:dyDescent="0.3">
      <c r="A206" t="s">
        <v>218</v>
      </c>
      <c r="B206" s="1">
        <v>42219</v>
      </c>
      <c r="C206" s="2">
        <v>199035</v>
      </c>
      <c r="D206" s="3">
        <v>4592</v>
      </c>
      <c r="E206" s="3">
        <v>537</v>
      </c>
      <c r="F206">
        <f>YEAR(B206)</f>
        <v>2015</v>
      </c>
      <c r="G206" t="str">
        <f>TEXT(B206,"MMMM")</f>
        <v>August</v>
      </c>
      <c r="H206" t="str">
        <f>TEXT(B206, "DDDD")</f>
        <v>Monday</v>
      </c>
      <c r="I206">
        <f>((D206+E206)/C206)*100</f>
        <v>2.5769337051272387</v>
      </c>
      <c r="J206">
        <f>(D206/C206)*1000</f>
        <v>23.071319114728567</v>
      </c>
      <c r="K206">
        <f>(E206/C206)*1000</f>
        <v>2.6980179365438239</v>
      </c>
      <c r="L206">
        <f>CORREL(C206:C704, D206:D704)</f>
        <v>0.88403825111513756</v>
      </c>
      <c r="M206">
        <f>CORREL(C206:C704,E206:E704)</f>
        <v>0.63427684365879322</v>
      </c>
      <c r="N206">
        <f>LEN(A206)</f>
        <v>48</v>
      </c>
      <c r="O206" t="str">
        <f>IF(ISNUMBER(SEARCH("$",A206)), "Money", IF(ISNUMBER(SEARCH("Win",A206)), "Challenge",IF(ISNUMBER(SEARCH("Challenge",A206)), "Challenge",IF(ISNUMBER(SEARCH("Last To Leave",A206)),"Challenge",IF(ISNUMBER(SEARCH("Giving Away", A206)),"Giveaway",IF(ISNUMBER(SEARCH("Stranded",A206)),"Survival", IF(ISNUMBER(SEARCH("Survive",A206)), "Survival", IF(ISNUMBER(SEARCH("Days",A206)),"Endurance","Other"))))))))</f>
        <v>Other</v>
      </c>
    </row>
    <row r="207" spans="1:15" x14ac:dyDescent="0.3">
      <c r="A207" t="s">
        <v>219</v>
      </c>
      <c r="B207" s="1">
        <v>42097</v>
      </c>
      <c r="C207" s="2">
        <v>190663</v>
      </c>
      <c r="D207" s="3">
        <v>4615</v>
      </c>
      <c r="E207" s="3">
        <v>546</v>
      </c>
      <c r="F207">
        <f>YEAR(B207)</f>
        <v>2015</v>
      </c>
      <c r="G207" t="str">
        <f>TEXT(B207,"MMMM")</f>
        <v>April</v>
      </c>
      <c r="H207" t="str">
        <f>TEXT(B207, "DDDD")</f>
        <v>Friday</v>
      </c>
      <c r="I207">
        <f>((D207+E207)/C207)*100</f>
        <v>2.7068702370150475</v>
      </c>
      <c r="J207">
        <f>(D207/C207)*1000</f>
        <v>24.205010935524982</v>
      </c>
      <c r="K207">
        <f>(E207/C207)*1000</f>
        <v>2.8636914346254914</v>
      </c>
      <c r="L207">
        <f>CORREL(C207:C705, D207:D705)</f>
        <v>0.91134658726058759</v>
      </c>
      <c r="M207">
        <f>CORREL(C207:C705,E207:E705)</f>
        <v>0.57033355689642973</v>
      </c>
      <c r="N207">
        <f>LEN(A207)</f>
        <v>45</v>
      </c>
      <c r="O207" t="str">
        <f>IF(ISNUMBER(SEARCH("$",A207)), "Money", IF(ISNUMBER(SEARCH("Win",A207)), "Challenge",IF(ISNUMBER(SEARCH("Challenge",A207)), "Challenge",IF(ISNUMBER(SEARCH("Last To Leave",A207)),"Challenge",IF(ISNUMBER(SEARCH("Giving Away", A207)),"Giveaway",IF(ISNUMBER(SEARCH("Stranded",A207)),"Survival", IF(ISNUMBER(SEARCH("Survive",A207)), "Survival", IF(ISNUMBER(SEARCH("Days",A207)),"Endurance","Other"))))))))</f>
        <v>Other</v>
      </c>
    </row>
    <row r="208" spans="1:15" x14ac:dyDescent="0.3">
      <c r="A208" t="s">
        <v>220</v>
      </c>
      <c r="B208" s="1">
        <v>42216</v>
      </c>
      <c r="C208" s="2">
        <v>189304</v>
      </c>
      <c r="D208" s="3">
        <v>3243</v>
      </c>
      <c r="E208" s="3">
        <v>278</v>
      </c>
      <c r="F208">
        <f>YEAR(B208)</f>
        <v>2015</v>
      </c>
      <c r="G208" t="str">
        <f>TEXT(B208,"MMMM")</f>
        <v>July</v>
      </c>
      <c r="H208" t="str">
        <f>TEXT(B208, "DDDD")</f>
        <v>Friday</v>
      </c>
      <c r="I208">
        <f>((D208+E208)/C208)*100</f>
        <v>1.8599712631534464</v>
      </c>
      <c r="J208">
        <f>(D208/C208)*1000</f>
        <v>17.131175252503908</v>
      </c>
      <c r="K208">
        <f>(E208/C208)*1000</f>
        <v>1.468537379030554</v>
      </c>
      <c r="L208">
        <f>CORREL(C208:C706, D208:D706)</f>
        <v>0.91488050426148748</v>
      </c>
      <c r="M208">
        <f>CORREL(C208:C706,E208:E706)</f>
        <v>0.55563524269885345</v>
      </c>
      <c r="N208">
        <f>LEN(A208)</f>
        <v>39</v>
      </c>
      <c r="O208" t="str">
        <f>IF(ISNUMBER(SEARCH("$",A208)), "Money", IF(ISNUMBER(SEARCH("Win",A208)), "Challenge",IF(ISNUMBER(SEARCH("Challenge",A208)), "Challenge",IF(ISNUMBER(SEARCH("Last To Leave",A208)),"Challenge",IF(ISNUMBER(SEARCH("Giving Away", A208)),"Giveaway",IF(ISNUMBER(SEARCH("Stranded",A208)),"Survival", IF(ISNUMBER(SEARCH("Survive",A208)), "Survival", IF(ISNUMBER(SEARCH("Days",A208)),"Endurance","Other"))))))))</f>
        <v>Money</v>
      </c>
    </row>
    <row r="209" spans="1:15" x14ac:dyDescent="0.3">
      <c r="A209" t="s">
        <v>221</v>
      </c>
      <c r="B209" s="1">
        <v>42309</v>
      </c>
      <c r="C209" s="2">
        <v>187484</v>
      </c>
      <c r="D209" s="3">
        <v>6521</v>
      </c>
      <c r="E209" s="3">
        <v>495</v>
      </c>
      <c r="F209">
        <f>YEAR(B209)</f>
        <v>2015</v>
      </c>
      <c r="G209" t="str">
        <f>TEXT(B209,"MMMM")</f>
        <v>November</v>
      </c>
      <c r="H209" t="str">
        <f>TEXT(B209, "DDDD")</f>
        <v>Sunday</v>
      </c>
      <c r="I209">
        <f>((D209+E209)/C209)*100</f>
        <v>3.7421859998719893</v>
      </c>
      <c r="J209">
        <f>(D209/C209)*1000</f>
        <v>34.781634699494354</v>
      </c>
      <c r="K209">
        <f>(E209/C209)*1000</f>
        <v>2.6402252992255342</v>
      </c>
      <c r="L209">
        <f>CORREL(C209:C707, D209:D707)</f>
        <v>0.90766161291736502</v>
      </c>
      <c r="M209">
        <f>CORREL(C209:C707,E209:E707)</f>
        <v>0.54989413880937232</v>
      </c>
      <c r="N209">
        <f>LEN(A209)</f>
        <v>25</v>
      </c>
      <c r="O209" t="str">
        <f>IF(ISNUMBER(SEARCH("$",A209)), "Money", IF(ISNUMBER(SEARCH("Win",A209)), "Challenge",IF(ISNUMBER(SEARCH("Challenge",A209)), "Challenge",IF(ISNUMBER(SEARCH("Last To Leave",A209)),"Challenge",IF(ISNUMBER(SEARCH("Giving Away", A209)),"Giveaway",IF(ISNUMBER(SEARCH("Stranded",A209)),"Survival", IF(ISNUMBER(SEARCH("Survive",A209)), "Survival", IF(ISNUMBER(SEARCH("Days",A209)),"Endurance","Other"))))))))</f>
        <v>Other</v>
      </c>
    </row>
    <row r="210" spans="1:15" x14ac:dyDescent="0.3">
      <c r="A210" t="s">
        <v>222</v>
      </c>
      <c r="B210" s="1">
        <v>42260</v>
      </c>
      <c r="C210" s="2">
        <v>186238</v>
      </c>
      <c r="D210" s="3">
        <v>6425</v>
      </c>
      <c r="E210" s="3">
        <v>650</v>
      </c>
      <c r="F210">
        <f>YEAR(B210)</f>
        <v>2015</v>
      </c>
      <c r="G210" t="str">
        <f>TEXT(B210,"MMMM")</f>
        <v>September</v>
      </c>
      <c r="H210" t="str">
        <f>TEXT(B210, "DDDD")</f>
        <v>Sunday</v>
      </c>
      <c r="I210">
        <f>((D210+E210)/C210)*100</f>
        <v>3.7989024796228481</v>
      </c>
      <c r="J210">
        <f>(D210/C210)*1000</f>
        <v>34.498867041097945</v>
      </c>
      <c r="K210">
        <f>(E210/C210)*1000</f>
        <v>3.4901577551305318</v>
      </c>
      <c r="L210">
        <f>CORREL(C210:C708, D210:D708)</f>
        <v>0.90720819300441069</v>
      </c>
      <c r="M210">
        <f>CORREL(C210:C708,E210:E708)</f>
        <v>0.55110437397493028</v>
      </c>
      <c r="N210">
        <f>LEN(A210)</f>
        <v>35</v>
      </c>
      <c r="O210" t="str">
        <f>IF(ISNUMBER(SEARCH("$",A210)), "Money", IF(ISNUMBER(SEARCH("Win",A210)), "Challenge",IF(ISNUMBER(SEARCH("Challenge",A210)), "Challenge",IF(ISNUMBER(SEARCH("Last To Leave",A210)),"Challenge",IF(ISNUMBER(SEARCH("Giving Away", A210)),"Giveaway",IF(ISNUMBER(SEARCH("Stranded",A210)),"Survival", IF(ISNUMBER(SEARCH("Survive",A210)), "Survival", IF(ISNUMBER(SEARCH("Days",A210)),"Endurance","Other"))))))))</f>
        <v>Other</v>
      </c>
    </row>
    <row r="211" spans="1:15" x14ac:dyDescent="0.3">
      <c r="A211" t="s">
        <v>223</v>
      </c>
      <c r="B211" s="1">
        <v>42147</v>
      </c>
      <c r="C211" s="2">
        <v>184620</v>
      </c>
      <c r="D211" s="3">
        <v>4429</v>
      </c>
      <c r="E211" s="3">
        <v>442</v>
      </c>
      <c r="F211">
        <f>YEAR(B211)</f>
        <v>2015</v>
      </c>
      <c r="G211" t="str">
        <f>TEXT(B211,"MMMM")</f>
        <v>May</v>
      </c>
      <c r="H211" t="str">
        <f>TEXT(B211, "DDDD")</f>
        <v>Saturday</v>
      </c>
      <c r="I211">
        <f>((D211+E211)/C211)*100</f>
        <v>2.6383923735239954</v>
      </c>
      <c r="J211">
        <f>(D211/C211)*1000</f>
        <v>23.989816921243634</v>
      </c>
      <c r="K211">
        <f>(E211/C211)*1000</f>
        <v>2.3941068139963164</v>
      </c>
      <c r="L211">
        <f>CORREL(C211:C709, D211:D709)</f>
        <v>0.90637231156578846</v>
      </c>
      <c r="M211">
        <f>CORREL(C211:C709,E211:E709)</f>
        <v>0.55161835861478092</v>
      </c>
      <c r="N211">
        <f>LEN(A211)</f>
        <v>12</v>
      </c>
      <c r="O211" t="str">
        <f>IF(ISNUMBER(SEARCH("$",A211)), "Money", IF(ISNUMBER(SEARCH("Win",A211)), "Challenge",IF(ISNUMBER(SEARCH("Challenge",A211)), "Challenge",IF(ISNUMBER(SEARCH("Last To Leave",A211)),"Challenge",IF(ISNUMBER(SEARCH("Giving Away", A211)),"Giveaway",IF(ISNUMBER(SEARCH("Stranded",A211)),"Survival", IF(ISNUMBER(SEARCH("Survive",A211)), "Survival", IF(ISNUMBER(SEARCH("Days",A211)),"Endurance","Other"))))))))</f>
        <v>Other</v>
      </c>
    </row>
    <row r="212" spans="1:15" x14ac:dyDescent="0.3">
      <c r="A212" t="s">
        <v>224</v>
      </c>
      <c r="B212" s="1">
        <v>42227</v>
      </c>
      <c r="C212" s="2">
        <v>176787</v>
      </c>
      <c r="D212" s="3">
        <v>3685</v>
      </c>
      <c r="E212" s="3">
        <v>578</v>
      </c>
      <c r="F212">
        <f>YEAR(B212)</f>
        <v>2015</v>
      </c>
      <c r="G212" t="str">
        <f>TEXT(B212,"MMMM")</f>
        <v>August</v>
      </c>
      <c r="H212" t="str">
        <f>TEXT(B212, "DDDD")</f>
        <v>Tuesday</v>
      </c>
      <c r="I212">
        <f>((D212+E212)/C212)*100</f>
        <v>2.4113764021110153</v>
      </c>
      <c r="J212">
        <f>(D212/C212)*1000</f>
        <v>20.844292849587355</v>
      </c>
      <c r="K212">
        <f>(E212/C212)*1000</f>
        <v>3.2694711715227927</v>
      </c>
      <c r="L212">
        <f>CORREL(C212:C710, D212:D710)</f>
        <v>0.90625418186018059</v>
      </c>
      <c r="M212">
        <f>CORREL(C212:C710,E212:E710)</f>
        <v>0.55432282061763927</v>
      </c>
      <c r="N212">
        <f>LEN(A212)</f>
        <v>10</v>
      </c>
      <c r="O212" t="str">
        <f>IF(ISNUMBER(SEARCH("$",A212)), "Money", IF(ISNUMBER(SEARCH("Win",A212)), "Challenge",IF(ISNUMBER(SEARCH("Challenge",A212)), "Challenge",IF(ISNUMBER(SEARCH("Last To Leave",A212)),"Challenge",IF(ISNUMBER(SEARCH("Giving Away", A212)),"Giveaway",IF(ISNUMBER(SEARCH("Stranded",A212)),"Survival", IF(ISNUMBER(SEARCH("Survive",A212)), "Survival", IF(ISNUMBER(SEARCH("Days",A212)),"Endurance","Other"))))))))</f>
        <v>Other</v>
      </c>
    </row>
    <row r="213" spans="1:15" x14ac:dyDescent="0.3">
      <c r="A213" t="s">
        <v>225</v>
      </c>
      <c r="B213" s="1">
        <v>42195</v>
      </c>
      <c r="C213" s="2">
        <v>173545</v>
      </c>
      <c r="D213" s="3">
        <v>4850</v>
      </c>
      <c r="E213" s="3">
        <v>699</v>
      </c>
      <c r="F213">
        <f>YEAR(B213)</f>
        <v>2015</v>
      </c>
      <c r="G213" t="str">
        <f>TEXT(B213,"MMMM")</f>
        <v>July</v>
      </c>
      <c r="H213" t="str">
        <f>TEXT(B213, "DDDD")</f>
        <v>Friday</v>
      </c>
      <c r="I213">
        <f>((D213+E213)/C213)*100</f>
        <v>3.1974415857558558</v>
      </c>
      <c r="J213">
        <f>(D213/C213)*1000</f>
        <v>27.94664208130456</v>
      </c>
      <c r="K213">
        <f>(E213/C213)*1000</f>
        <v>4.0277737762539978</v>
      </c>
      <c r="L213">
        <f>CORREL(C213:C711, D213:D711)</f>
        <v>0.90557601071613336</v>
      </c>
      <c r="M213">
        <f>CORREL(C213:C711,E213:E711)</f>
        <v>0.55470166592193126</v>
      </c>
      <c r="N213">
        <f>LEN(A213)</f>
        <v>7</v>
      </c>
      <c r="O213" t="str">
        <f>IF(ISNUMBER(SEARCH("$",A213)), "Money", IF(ISNUMBER(SEARCH("Win",A213)), "Challenge",IF(ISNUMBER(SEARCH("Challenge",A213)), "Challenge",IF(ISNUMBER(SEARCH("Last To Leave",A213)),"Challenge",IF(ISNUMBER(SEARCH("Giving Away", A213)),"Giveaway",IF(ISNUMBER(SEARCH("Stranded",A213)),"Survival", IF(ISNUMBER(SEARCH("Survive",A213)), "Survival", IF(ISNUMBER(SEARCH("Days",A213)),"Endurance","Other"))))))))</f>
        <v>Other</v>
      </c>
    </row>
    <row r="214" spans="1:15" x14ac:dyDescent="0.3">
      <c r="A214" t="s">
        <v>226</v>
      </c>
      <c r="B214" s="1">
        <v>42336</v>
      </c>
      <c r="C214" s="2">
        <v>172359</v>
      </c>
      <c r="D214" s="3">
        <v>4054</v>
      </c>
      <c r="E214" s="3">
        <v>593</v>
      </c>
      <c r="F214">
        <f>YEAR(B214)</f>
        <v>2015</v>
      </c>
      <c r="G214" t="str">
        <f>TEXT(B214,"MMMM")</f>
        <v>November</v>
      </c>
      <c r="H214" t="str">
        <f>TEXT(B214, "DDDD")</f>
        <v>Saturday</v>
      </c>
      <c r="I214">
        <f>((D214+E214)/C214)*100</f>
        <v>2.6961168259272799</v>
      </c>
      <c r="J214">
        <f>(D214/C214)*1000</f>
        <v>23.520674870473837</v>
      </c>
      <c r="K214">
        <f>(E214/C214)*1000</f>
        <v>3.4404933887989602</v>
      </c>
      <c r="L214">
        <f>CORREL(C214:C712, D214:D712)</f>
        <v>0.90528255731973384</v>
      </c>
      <c r="M214">
        <f>CORREL(C214:C712,E214:E712)</f>
        <v>0.55631213974789562</v>
      </c>
      <c r="N214">
        <f>LEN(A214)</f>
        <v>67</v>
      </c>
      <c r="O214" t="str">
        <f>IF(ISNUMBER(SEARCH("$",A214)), "Money", IF(ISNUMBER(SEARCH("Win",A214)), "Challenge",IF(ISNUMBER(SEARCH("Challenge",A214)), "Challenge",IF(ISNUMBER(SEARCH("Last To Leave",A214)),"Challenge",IF(ISNUMBER(SEARCH("Giving Away", A214)),"Giveaway",IF(ISNUMBER(SEARCH("Stranded",A214)),"Survival", IF(ISNUMBER(SEARCH("Survive",A214)), "Survival", IF(ISNUMBER(SEARCH("Days",A214)),"Endurance","Other"))))))))</f>
        <v>Other</v>
      </c>
    </row>
    <row r="215" spans="1:15" x14ac:dyDescent="0.3">
      <c r="A215" t="s">
        <v>227</v>
      </c>
      <c r="B215" s="1">
        <v>42133</v>
      </c>
      <c r="C215" s="2">
        <v>167190</v>
      </c>
      <c r="D215" s="3">
        <v>2941</v>
      </c>
      <c r="E215" s="3">
        <v>253</v>
      </c>
      <c r="F215">
        <f>YEAR(B215)</f>
        <v>2015</v>
      </c>
      <c r="G215" t="str">
        <f>TEXT(B215,"MMMM")</f>
        <v>May</v>
      </c>
      <c r="H215" t="str">
        <f>TEXT(B215, "DDDD")</f>
        <v>Saturday</v>
      </c>
      <c r="I215">
        <f>((D215+E215)/C215)*100</f>
        <v>1.9104013397930497</v>
      </c>
      <c r="J215">
        <f>(D215/C215)*1000</f>
        <v>17.590764997906572</v>
      </c>
      <c r="K215">
        <f>(E215/C215)*1000</f>
        <v>1.5132484000239248</v>
      </c>
      <c r="L215">
        <f>CORREL(C215:C713, D215:D713)</f>
        <v>0.90525535144076896</v>
      </c>
      <c r="M215">
        <f>CORREL(C215:C713,E215:E713)</f>
        <v>0.5576544549488216</v>
      </c>
      <c r="N215">
        <f>LEN(A215)</f>
        <v>42</v>
      </c>
      <c r="O215" t="str">
        <f>IF(ISNUMBER(SEARCH("$",A215)), "Money", IF(ISNUMBER(SEARCH("Win",A215)), "Challenge",IF(ISNUMBER(SEARCH("Challenge",A215)), "Challenge",IF(ISNUMBER(SEARCH("Last To Leave",A215)),"Challenge",IF(ISNUMBER(SEARCH("Giving Away", A215)),"Giveaway",IF(ISNUMBER(SEARCH("Stranded",A215)),"Survival", IF(ISNUMBER(SEARCH("Survive",A215)), "Survival", IF(ISNUMBER(SEARCH("Days",A215)),"Endurance","Other"))))))))</f>
        <v>Money</v>
      </c>
    </row>
    <row r="216" spans="1:15" x14ac:dyDescent="0.3">
      <c r="A216" t="s">
        <v>228</v>
      </c>
      <c r="B216" s="1">
        <v>42191</v>
      </c>
      <c r="C216" s="2">
        <v>165815</v>
      </c>
      <c r="D216" s="3">
        <v>3394</v>
      </c>
      <c r="E216" s="3">
        <v>657</v>
      </c>
      <c r="F216">
        <f>YEAR(B216)</f>
        <v>2015</v>
      </c>
      <c r="G216" t="str">
        <f>TEXT(B216,"MMMM")</f>
        <v>July</v>
      </c>
      <c r="H216" t="str">
        <f>TEXT(B216, "DDDD")</f>
        <v>Monday</v>
      </c>
      <c r="I216">
        <f>((D216+E216)/C216)*100</f>
        <v>2.4430841600578961</v>
      </c>
      <c r="J216">
        <f>(D216/C216)*1000</f>
        <v>20.468594517986915</v>
      </c>
      <c r="K216">
        <f>(E216/C216)*1000</f>
        <v>3.9622470825920457</v>
      </c>
      <c r="L216">
        <f>CORREL(C216:C714, D216:D714)</f>
        <v>0.90535206998873485</v>
      </c>
      <c r="M216">
        <f>CORREL(C216:C714,E216:E714)</f>
        <v>0.55878495361618141</v>
      </c>
      <c r="N216">
        <f>LEN(A216)</f>
        <v>36</v>
      </c>
      <c r="O216" t="str">
        <f>IF(ISNUMBER(SEARCH("$",A216)), "Money", IF(ISNUMBER(SEARCH("Win",A216)), "Challenge",IF(ISNUMBER(SEARCH("Challenge",A216)), "Challenge",IF(ISNUMBER(SEARCH("Last To Leave",A216)),"Challenge",IF(ISNUMBER(SEARCH("Giving Away", A216)),"Giveaway",IF(ISNUMBER(SEARCH("Stranded",A216)),"Survival", IF(ISNUMBER(SEARCH("Survive",A216)), "Survival", IF(ISNUMBER(SEARCH("Days",A216)),"Endurance","Other"))))))))</f>
        <v>Other</v>
      </c>
    </row>
    <row r="217" spans="1:15" x14ac:dyDescent="0.3">
      <c r="A217" t="s">
        <v>229</v>
      </c>
      <c r="B217" s="1">
        <v>42008</v>
      </c>
      <c r="C217" s="2">
        <v>164254</v>
      </c>
      <c r="D217" s="3">
        <v>2399</v>
      </c>
      <c r="E217" s="3">
        <v>255</v>
      </c>
      <c r="F217">
        <f>YEAR(B217)</f>
        <v>2015</v>
      </c>
      <c r="G217" t="str">
        <f>TEXT(B217,"MMMM")</f>
        <v>January</v>
      </c>
      <c r="H217" t="str">
        <f>TEXT(B217, "DDDD")</f>
        <v>Sunday</v>
      </c>
      <c r="I217">
        <f>((D217+E217)/C217)*100</f>
        <v>1.6157901786257871</v>
      </c>
      <c r="J217">
        <f>(D217/C217)*1000</f>
        <v>14.605428178309204</v>
      </c>
      <c r="K217">
        <f>(E217/C217)*1000</f>
        <v>1.552473607948665</v>
      </c>
      <c r="L217">
        <f>CORREL(C217:C715, D217:D715)</f>
        <v>0.9049686938335314</v>
      </c>
      <c r="M217">
        <f>CORREL(C217:C715,E217:E715)</f>
        <v>0.55841927544270697</v>
      </c>
      <c r="N217">
        <f>LEN(A217)</f>
        <v>45</v>
      </c>
      <c r="O217" t="str">
        <f>IF(ISNUMBER(SEARCH("$",A217)), "Money", IF(ISNUMBER(SEARCH("Win",A217)), "Challenge",IF(ISNUMBER(SEARCH("Challenge",A217)), "Challenge",IF(ISNUMBER(SEARCH("Last To Leave",A217)),"Challenge",IF(ISNUMBER(SEARCH("Giving Away", A217)),"Giveaway",IF(ISNUMBER(SEARCH("Stranded",A217)),"Survival", IF(ISNUMBER(SEARCH("Survive",A217)), "Survival", IF(ISNUMBER(SEARCH("Days",A217)),"Endurance","Other"))))))))</f>
        <v>Other</v>
      </c>
    </row>
    <row r="218" spans="1:15" x14ac:dyDescent="0.3">
      <c r="A218" t="s">
        <v>230</v>
      </c>
      <c r="B218" s="1">
        <v>42244</v>
      </c>
      <c r="C218" s="2">
        <v>163578</v>
      </c>
      <c r="D218" s="3">
        <v>2882</v>
      </c>
      <c r="E218" s="3">
        <v>235</v>
      </c>
      <c r="F218">
        <f>YEAR(B218)</f>
        <v>2015</v>
      </c>
      <c r="G218" t="str">
        <f>TEXT(B218,"MMMM")</f>
        <v>August</v>
      </c>
      <c r="H218" t="str">
        <f>TEXT(B218, "DDDD")</f>
        <v>Friday</v>
      </c>
      <c r="I218">
        <f>((D218+E218)/C218)*100</f>
        <v>1.9055129662913106</v>
      </c>
      <c r="J218">
        <f>(D218/C218)*1000</f>
        <v>17.618506156084557</v>
      </c>
      <c r="K218">
        <f>(E218/C218)*1000</f>
        <v>1.4366235068285467</v>
      </c>
      <c r="L218">
        <f>CORREL(C218:C716, D218:D716)</f>
        <v>0.90522518264975171</v>
      </c>
      <c r="M218">
        <f>CORREL(C218:C716,E218:E716)</f>
        <v>0.55981355668637833</v>
      </c>
      <c r="N218">
        <f>LEN(A218)</f>
        <v>39</v>
      </c>
      <c r="O218" t="str">
        <f>IF(ISNUMBER(SEARCH("$",A218)), "Money", IF(ISNUMBER(SEARCH("Win",A218)), "Challenge",IF(ISNUMBER(SEARCH("Challenge",A218)), "Challenge",IF(ISNUMBER(SEARCH("Last To Leave",A218)),"Challenge",IF(ISNUMBER(SEARCH("Giving Away", A218)),"Giveaway",IF(ISNUMBER(SEARCH("Stranded",A218)),"Survival", IF(ISNUMBER(SEARCH("Survive",A218)), "Survival", IF(ISNUMBER(SEARCH("Days",A218)),"Endurance","Other"))))))))</f>
        <v>Other</v>
      </c>
    </row>
    <row r="219" spans="1:15" x14ac:dyDescent="0.3">
      <c r="A219" t="s">
        <v>231</v>
      </c>
      <c r="B219" s="1">
        <v>42052</v>
      </c>
      <c r="C219" s="2">
        <v>163219</v>
      </c>
      <c r="D219" s="3">
        <v>2357</v>
      </c>
      <c r="E219" s="3">
        <v>317</v>
      </c>
      <c r="F219">
        <f>YEAR(B219)</f>
        <v>2015</v>
      </c>
      <c r="G219" t="str">
        <f>TEXT(B219,"MMMM")</f>
        <v>February</v>
      </c>
      <c r="H219" t="str">
        <f>TEXT(B219, "DDDD")</f>
        <v>Tuesday</v>
      </c>
      <c r="I219">
        <f>((D219+E219)/C219)*100</f>
        <v>1.6382896599047907</v>
      </c>
      <c r="J219">
        <f>(D219/C219)*1000</f>
        <v>14.440720749422555</v>
      </c>
      <c r="K219">
        <f>(E219/C219)*1000</f>
        <v>1.9421758496253501</v>
      </c>
      <c r="L219">
        <f>CORREL(C219:C717, D219:D717)</f>
        <v>0.90536021072323225</v>
      </c>
      <c r="M219">
        <f>CORREL(C219:C717,E219:E717)</f>
        <v>0.56103177926780223</v>
      </c>
      <c r="N219">
        <f>LEN(A219)</f>
        <v>26</v>
      </c>
      <c r="O219" t="str">
        <f>IF(ISNUMBER(SEARCH("$",A219)), "Money", IF(ISNUMBER(SEARCH("Win",A219)), "Challenge",IF(ISNUMBER(SEARCH("Challenge",A219)), "Challenge",IF(ISNUMBER(SEARCH("Last To Leave",A219)),"Challenge",IF(ISNUMBER(SEARCH("Giving Away", A219)),"Giveaway",IF(ISNUMBER(SEARCH("Stranded",A219)),"Survival", IF(ISNUMBER(SEARCH("Survive",A219)), "Survival", IF(ISNUMBER(SEARCH("Days",A219)),"Endurance","Other"))))))))</f>
        <v>Other</v>
      </c>
    </row>
    <row r="220" spans="1:15" x14ac:dyDescent="0.3">
      <c r="A220" t="s">
        <v>232</v>
      </c>
      <c r="B220" s="1">
        <v>42286</v>
      </c>
      <c r="C220" s="2">
        <v>161769</v>
      </c>
      <c r="D220" s="3">
        <v>4437</v>
      </c>
      <c r="E220" s="3">
        <v>368</v>
      </c>
      <c r="F220">
        <f>YEAR(B220)</f>
        <v>2015</v>
      </c>
      <c r="G220" t="str">
        <f>TEXT(B220,"MMMM")</f>
        <v>October</v>
      </c>
      <c r="H220" t="str">
        <f>TEXT(B220, "DDDD")</f>
        <v>Friday</v>
      </c>
      <c r="I220">
        <f>((D220+E220)/C220)*100</f>
        <v>2.970284788803788</v>
      </c>
      <c r="J220">
        <f>(D220/C220)*1000</f>
        <v>27.427999184021662</v>
      </c>
      <c r="K220">
        <f>(E220/C220)*1000</f>
        <v>2.2748487040162209</v>
      </c>
      <c r="L220">
        <f>CORREL(C220:C718, D220:D718)</f>
        <v>0.90536283589294952</v>
      </c>
      <c r="M220">
        <f>CORREL(C220:C718,E220:E718)</f>
        <v>0.56152231127266672</v>
      </c>
      <c r="N220">
        <f>LEN(A220)</f>
        <v>56</v>
      </c>
      <c r="O220" t="str">
        <f>IF(ISNUMBER(SEARCH("$",A220)), "Money", IF(ISNUMBER(SEARCH("Win",A220)), "Challenge",IF(ISNUMBER(SEARCH("Challenge",A220)), "Challenge",IF(ISNUMBER(SEARCH("Last To Leave",A220)),"Challenge",IF(ISNUMBER(SEARCH("Giving Away", A220)),"Giveaway",IF(ISNUMBER(SEARCH("Stranded",A220)),"Survival", IF(ISNUMBER(SEARCH("Survive",A220)), "Survival", IF(ISNUMBER(SEARCH("Days",A220)),"Endurance","Other"))))))))</f>
        <v>Other</v>
      </c>
    </row>
    <row r="221" spans="1:15" x14ac:dyDescent="0.3">
      <c r="A221" t="s">
        <v>233</v>
      </c>
      <c r="B221" s="1">
        <v>42127</v>
      </c>
      <c r="C221" s="2">
        <v>159215</v>
      </c>
      <c r="D221" s="3">
        <v>3806</v>
      </c>
      <c r="E221" s="3">
        <v>356</v>
      </c>
      <c r="F221">
        <f>YEAR(B221)</f>
        <v>2015</v>
      </c>
      <c r="G221" t="str">
        <f>TEXT(B221,"MMMM")</f>
        <v>May</v>
      </c>
      <c r="H221" t="str">
        <f>TEXT(B221, "DDDD")</f>
        <v>Sunday</v>
      </c>
      <c r="I221">
        <f>((D221+E221)/C221)*100</f>
        <v>2.6140753069748452</v>
      </c>
      <c r="J221">
        <f>(D221/C221)*1000</f>
        <v>23.904782840812739</v>
      </c>
      <c r="K221">
        <f>(E221/C221)*1000</f>
        <v>2.2359702289357157</v>
      </c>
      <c r="L221">
        <f>CORREL(C221:C719, D221:D719)</f>
        <v>0.9054804893363485</v>
      </c>
      <c r="M221">
        <f>CORREL(C221:C719,E221:E719)</f>
        <v>0.56243159553150124</v>
      </c>
      <c r="N221">
        <f>LEN(A221)</f>
        <v>29</v>
      </c>
      <c r="O221" t="str">
        <f>IF(ISNUMBER(SEARCH("$",A221)), "Money", IF(ISNUMBER(SEARCH("Win",A221)), "Challenge",IF(ISNUMBER(SEARCH("Challenge",A221)), "Challenge",IF(ISNUMBER(SEARCH("Last To Leave",A221)),"Challenge",IF(ISNUMBER(SEARCH("Giving Away", A221)),"Giveaway",IF(ISNUMBER(SEARCH("Stranded",A221)),"Survival", IF(ISNUMBER(SEARCH("Survive",A221)), "Survival", IF(ISNUMBER(SEARCH("Days",A221)),"Endurance","Other"))))))))</f>
        <v>Other</v>
      </c>
    </row>
    <row r="222" spans="1:15" x14ac:dyDescent="0.3">
      <c r="A222" t="s">
        <v>234</v>
      </c>
      <c r="B222" s="1">
        <v>42316</v>
      </c>
      <c r="C222" s="2">
        <v>152608</v>
      </c>
      <c r="D222" s="3">
        <v>1408</v>
      </c>
      <c r="E222" s="3">
        <v>191</v>
      </c>
      <c r="F222">
        <f>YEAR(B222)</f>
        <v>2015</v>
      </c>
      <c r="G222" t="str">
        <f>TEXT(B222,"MMMM")</f>
        <v>November</v>
      </c>
      <c r="H222" t="str">
        <f>TEXT(B222, "DDDD")</f>
        <v>Sunday</v>
      </c>
      <c r="I222">
        <f>((D222+E222)/C222)*100</f>
        <v>1.0477825539945482</v>
      </c>
      <c r="J222">
        <f>(D222/C222)*1000</f>
        <v>9.226252883204026</v>
      </c>
      <c r="K222">
        <f>(E222/C222)*1000</f>
        <v>1.2515726567414553</v>
      </c>
      <c r="L222">
        <f>CORREL(C222:C720, D222:D720)</f>
        <v>0.90539858697720887</v>
      </c>
      <c r="M222">
        <f>CORREL(C222:C720,E222:E720)</f>
        <v>0.56236973445525085</v>
      </c>
      <c r="N222">
        <f>LEN(A222)</f>
        <v>70</v>
      </c>
      <c r="O222" t="str">
        <f>IF(ISNUMBER(SEARCH("$",A222)), "Money", IF(ISNUMBER(SEARCH("Win",A222)), "Challenge",IF(ISNUMBER(SEARCH("Challenge",A222)), "Challenge",IF(ISNUMBER(SEARCH("Last To Leave",A222)),"Challenge",IF(ISNUMBER(SEARCH("Giving Away", A222)),"Giveaway",IF(ISNUMBER(SEARCH("Stranded",A222)),"Survival", IF(ISNUMBER(SEARCH("Survive",A222)), "Survival", IF(ISNUMBER(SEARCH("Days",A222)),"Endurance","Other"))))))))</f>
        <v>Other</v>
      </c>
    </row>
    <row r="223" spans="1:15" x14ac:dyDescent="0.3">
      <c r="A223" t="s">
        <v>235</v>
      </c>
      <c r="B223" s="1">
        <v>42041</v>
      </c>
      <c r="C223" s="2">
        <v>148372</v>
      </c>
      <c r="D223" s="3">
        <v>5046</v>
      </c>
      <c r="E223" s="3">
        <v>686</v>
      </c>
      <c r="F223">
        <f>YEAR(B223)</f>
        <v>2015</v>
      </c>
      <c r="G223" t="str">
        <f>TEXT(B223,"MMMM")</f>
        <v>February</v>
      </c>
      <c r="H223" t="str">
        <f>TEXT(B223, "DDDD")</f>
        <v>Friday</v>
      </c>
      <c r="I223">
        <f>((D223+E223)/C223)*100</f>
        <v>3.8632626101959935</v>
      </c>
      <c r="J223">
        <f>(D223/C223)*1000</f>
        <v>34.009112231418328</v>
      </c>
      <c r="K223">
        <f>(E223/C223)*1000</f>
        <v>4.6235138705416121</v>
      </c>
      <c r="L223">
        <f>CORREL(C223:C721, D223:D721)</f>
        <v>0.90538688232273457</v>
      </c>
      <c r="M223">
        <f>CORREL(C223:C721,E223:E721)</f>
        <v>0.56252225438975234</v>
      </c>
      <c r="N223">
        <f>LEN(A223)</f>
        <v>9</v>
      </c>
      <c r="O223" t="str">
        <f>IF(ISNUMBER(SEARCH("$",A223)), "Money", IF(ISNUMBER(SEARCH("Win",A223)), "Challenge",IF(ISNUMBER(SEARCH("Challenge",A223)), "Challenge",IF(ISNUMBER(SEARCH("Last To Leave",A223)),"Challenge",IF(ISNUMBER(SEARCH("Giving Away", A223)),"Giveaway",IF(ISNUMBER(SEARCH("Stranded",A223)),"Survival", IF(ISNUMBER(SEARCH("Survive",A223)), "Survival", IF(ISNUMBER(SEARCH("Days",A223)),"Endurance","Other"))))))))</f>
        <v>Other</v>
      </c>
    </row>
    <row r="224" spans="1:15" x14ac:dyDescent="0.3">
      <c r="A224" t="s">
        <v>236</v>
      </c>
      <c r="B224" s="1">
        <v>42276</v>
      </c>
      <c r="C224" s="2">
        <v>147382</v>
      </c>
      <c r="D224" s="3">
        <v>4246</v>
      </c>
      <c r="E224" s="3">
        <v>528</v>
      </c>
      <c r="F224">
        <f>YEAR(B224)</f>
        <v>2015</v>
      </c>
      <c r="G224" t="str">
        <f>TEXT(B224,"MMMM")</f>
        <v>September</v>
      </c>
      <c r="H224" t="str">
        <f>TEXT(B224, "DDDD")</f>
        <v>Tuesday</v>
      </c>
      <c r="I224">
        <f>((D224+E224)/C224)*100</f>
        <v>3.2392015307160982</v>
      </c>
      <c r="J224">
        <f>(D224/C224)*1000</f>
        <v>28.809488268580967</v>
      </c>
      <c r="K224">
        <f>(E224/C224)*1000</f>
        <v>3.5825270385800168</v>
      </c>
      <c r="L224">
        <f>CORREL(C224:C722, D224:D722)</f>
        <v>0.90534660739118356</v>
      </c>
      <c r="M224">
        <f>CORREL(C224:C722,E224:E722)</f>
        <v>0.56237936266043198</v>
      </c>
      <c r="N224">
        <f>LEN(A224)</f>
        <v>55</v>
      </c>
      <c r="O224" t="str">
        <f>IF(ISNUMBER(SEARCH("$",A224)), "Money", IF(ISNUMBER(SEARCH("Win",A224)), "Challenge",IF(ISNUMBER(SEARCH("Challenge",A224)), "Challenge",IF(ISNUMBER(SEARCH("Last To Leave",A224)),"Challenge",IF(ISNUMBER(SEARCH("Giving Away", A224)),"Giveaway",IF(ISNUMBER(SEARCH("Stranded",A224)),"Survival", IF(ISNUMBER(SEARCH("Survive",A224)), "Survival", IF(ISNUMBER(SEARCH("Days",A224)),"Endurance","Other"))))))))</f>
        <v>Other</v>
      </c>
    </row>
    <row r="225" spans="1:15" x14ac:dyDescent="0.3">
      <c r="A225" t="s">
        <v>237</v>
      </c>
      <c r="B225" s="1">
        <v>42205</v>
      </c>
      <c r="C225" s="2">
        <v>143389</v>
      </c>
      <c r="D225" s="3">
        <v>4303</v>
      </c>
      <c r="E225" s="3">
        <v>462</v>
      </c>
      <c r="F225">
        <f>YEAR(B225)</f>
        <v>2015</v>
      </c>
      <c r="G225" t="str">
        <f>TEXT(B225,"MMMM")</f>
        <v>July</v>
      </c>
      <c r="H225" t="str">
        <f>TEXT(B225, "DDDD")</f>
        <v>Monday</v>
      </c>
      <c r="I225">
        <f>((D225+E225)/C225)*100</f>
        <v>3.3231279944765637</v>
      </c>
      <c r="J225">
        <f>(D225/C225)*1000</f>
        <v>30.00927546743474</v>
      </c>
      <c r="K225">
        <f>(E225/C225)*1000</f>
        <v>3.2220044773308971</v>
      </c>
      <c r="L225">
        <f>CORREL(C225:C723, D225:D723)</f>
        <v>0.91227168107943224</v>
      </c>
      <c r="M225">
        <f>CORREL(C225:C723,E225:E723)</f>
        <v>0.5292665415571427</v>
      </c>
      <c r="N225">
        <f>LEN(A225)</f>
        <v>24</v>
      </c>
      <c r="O225" t="str">
        <f>IF(ISNUMBER(SEARCH("$",A225)), "Money", IF(ISNUMBER(SEARCH("Win",A225)), "Challenge",IF(ISNUMBER(SEARCH("Challenge",A225)), "Challenge",IF(ISNUMBER(SEARCH("Last To Leave",A225)),"Challenge",IF(ISNUMBER(SEARCH("Giving Away", A225)),"Giveaway",IF(ISNUMBER(SEARCH("Stranded",A225)),"Survival", IF(ISNUMBER(SEARCH("Survive",A225)), "Survival", IF(ISNUMBER(SEARCH("Days",A225)),"Endurance","Other"))))))))</f>
        <v>Other</v>
      </c>
    </row>
    <row r="226" spans="1:15" x14ac:dyDescent="0.3">
      <c r="A226" t="s">
        <v>238</v>
      </c>
      <c r="B226" s="1">
        <v>42153</v>
      </c>
      <c r="C226" s="2">
        <v>141703</v>
      </c>
      <c r="D226" s="3">
        <v>1528</v>
      </c>
      <c r="E226" s="3">
        <v>128</v>
      </c>
      <c r="F226">
        <f>YEAR(B226)</f>
        <v>2015</v>
      </c>
      <c r="G226" t="str">
        <f>TEXT(B226,"MMMM")</f>
        <v>May</v>
      </c>
      <c r="H226" t="str">
        <f>TEXT(B226, "DDDD")</f>
        <v>Friday</v>
      </c>
      <c r="I226">
        <f>((D226+E226)/C226)*100</f>
        <v>1.1686414543093655</v>
      </c>
      <c r="J226">
        <f>(D226/C226)*1000</f>
        <v>10.783116800632307</v>
      </c>
      <c r="K226">
        <f>(E226/C226)*1000</f>
        <v>0.9032977424613452</v>
      </c>
      <c r="L226">
        <f>CORREL(C226:C724, D226:D724)</f>
        <v>0.9191516744727426</v>
      </c>
      <c r="M226">
        <f>CORREL(C226:C724,E226:E724)</f>
        <v>0.50913310794463362</v>
      </c>
      <c r="N226">
        <f>LEN(A226)</f>
        <v>55</v>
      </c>
      <c r="O226" t="str">
        <f>IF(ISNUMBER(SEARCH("$",A226)), "Money", IF(ISNUMBER(SEARCH("Win",A226)), "Challenge",IF(ISNUMBER(SEARCH("Challenge",A226)), "Challenge",IF(ISNUMBER(SEARCH("Last To Leave",A226)),"Challenge",IF(ISNUMBER(SEARCH("Giving Away", A226)),"Giveaway",IF(ISNUMBER(SEARCH("Stranded",A226)),"Survival", IF(ISNUMBER(SEARCH("Survive",A226)), "Survival", IF(ISNUMBER(SEARCH("Days",A226)),"Endurance","Other"))))))))</f>
        <v>Other</v>
      </c>
    </row>
    <row r="227" spans="1:15" x14ac:dyDescent="0.3">
      <c r="A227" t="s">
        <v>239</v>
      </c>
      <c r="B227" s="1">
        <v>42364</v>
      </c>
      <c r="C227" s="2">
        <v>141616</v>
      </c>
      <c r="D227" s="3">
        <v>8489</v>
      </c>
      <c r="E227" s="3">
        <v>579</v>
      </c>
      <c r="F227">
        <f>YEAR(B227)</f>
        <v>2015</v>
      </c>
      <c r="G227" t="str">
        <f>TEXT(B227,"MMMM")</f>
        <v>December</v>
      </c>
      <c r="H227" t="str">
        <f>TEXT(B227, "DDDD")</f>
        <v>Saturday</v>
      </c>
      <c r="I227">
        <f>((D227+E227)/C227)*100</f>
        <v>6.4032312733024508</v>
      </c>
      <c r="J227">
        <f>(D227/C227)*1000</f>
        <v>59.943791661959104</v>
      </c>
      <c r="K227">
        <f>(E227/C227)*1000</f>
        <v>4.0885210710654158</v>
      </c>
      <c r="L227">
        <f>CORREL(C227:C725, D227:D725)</f>
        <v>0.92317434289077849</v>
      </c>
      <c r="M227">
        <f>CORREL(C227:C725,E227:E725)</f>
        <v>0.49088742008510311</v>
      </c>
      <c r="N227">
        <f>LEN(A227)</f>
        <v>39</v>
      </c>
      <c r="O227" t="str">
        <f>IF(ISNUMBER(SEARCH("$",A227)), "Money", IF(ISNUMBER(SEARCH("Win",A227)), "Challenge",IF(ISNUMBER(SEARCH("Challenge",A227)), "Challenge",IF(ISNUMBER(SEARCH("Last To Leave",A227)),"Challenge",IF(ISNUMBER(SEARCH("Giving Away", A227)),"Giveaway",IF(ISNUMBER(SEARCH("Stranded",A227)),"Survival", IF(ISNUMBER(SEARCH("Survive",A227)), "Survival", IF(ISNUMBER(SEARCH("Days",A227)),"Endurance","Other"))))))))</f>
        <v>Other</v>
      </c>
    </row>
    <row r="228" spans="1:15" x14ac:dyDescent="0.3">
      <c r="A228" t="s">
        <v>240</v>
      </c>
      <c r="B228" s="1">
        <v>42192</v>
      </c>
      <c r="C228" s="2">
        <v>141296</v>
      </c>
      <c r="D228" s="3">
        <v>4543</v>
      </c>
      <c r="E228" s="3">
        <v>999</v>
      </c>
      <c r="F228">
        <f>YEAR(B228)</f>
        <v>2015</v>
      </c>
      <c r="G228" t="str">
        <f>TEXT(B228,"MMMM")</f>
        <v>July</v>
      </c>
      <c r="H228" t="str">
        <f>TEXT(B228, "DDDD")</f>
        <v>Tuesday</v>
      </c>
      <c r="I228">
        <f>((D228+E228)/C228)*100</f>
        <v>3.9222624844298495</v>
      </c>
      <c r="J228">
        <f>(D228/C228)*1000</f>
        <v>32.152361001019138</v>
      </c>
      <c r="K228">
        <f>(E228/C228)*1000</f>
        <v>7.0702638432793572</v>
      </c>
      <c r="L228">
        <f>CORREL(C228:C726, D228:D726)</f>
        <v>0.92704152635534953</v>
      </c>
      <c r="M228">
        <f>CORREL(C228:C726,E228:E726)</f>
        <v>0.47754312822994416</v>
      </c>
      <c r="N228">
        <f>LEN(A228)</f>
        <v>39</v>
      </c>
      <c r="O228" t="str">
        <f>IF(ISNUMBER(SEARCH("$",A228)), "Money", IF(ISNUMBER(SEARCH("Win",A228)), "Challenge",IF(ISNUMBER(SEARCH("Challenge",A228)), "Challenge",IF(ISNUMBER(SEARCH("Last To Leave",A228)),"Challenge",IF(ISNUMBER(SEARCH("Giving Away", A228)),"Giveaway",IF(ISNUMBER(SEARCH("Stranded",A228)),"Survival", IF(ISNUMBER(SEARCH("Survive",A228)), "Survival", IF(ISNUMBER(SEARCH("Days",A228)),"Endurance","Other"))))))))</f>
        <v>Other</v>
      </c>
    </row>
    <row r="229" spans="1:15" x14ac:dyDescent="0.3">
      <c r="A229" t="s">
        <v>241</v>
      </c>
      <c r="B229" s="1">
        <v>42220</v>
      </c>
      <c r="C229" s="2">
        <v>135720</v>
      </c>
      <c r="D229" s="3">
        <v>2084</v>
      </c>
      <c r="E229" s="3">
        <v>267</v>
      </c>
      <c r="F229">
        <f>YEAR(B229)</f>
        <v>2015</v>
      </c>
      <c r="G229" t="str">
        <f>TEXT(B229,"MMMM")</f>
        <v>August</v>
      </c>
      <c r="H229" t="str">
        <f>TEXT(B229, "DDDD")</f>
        <v>Tuesday</v>
      </c>
      <c r="I229">
        <f>((D229+E229)/C229)*100</f>
        <v>1.732242852932508</v>
      </c>
      <c r="J229">
        <f>(D229/C229)*1000</f>
        <v>15.355142941349838</v>
      </c>
      <c r="K229">
        <f>(E229/C229)*1000</f>
        <v>1.9672855879752431</v>
      </c>
      <c r="L229">
        <f>CORREL(C229:C727, D229:D727)</f>
        <v>0.92714221591085677</v>
      </c>
      <c r="M229">
        <f>CORREL(C229:C727,E229:E727)</f>
        <v>0.47366723721528708</v>
      </c>
      <c r="N229">
        <f>LEN(A229)</f>
        <v>38</v>
      </c>
      <c r="O229" t="str">
        <f>IF(ISNUMBER(SEARCH("$",A229)), "Money", IF(ISNUMBER(SEARCH("Win",A229)), "Challenge",IF(ISNUMBER(SEARCH("Challenge",A229)), "Challenge",IF(ISNUMBER(SEARCH("Last To Leave",A229)),"Challenge",IF(ISNUMBER(SEARCH("Giving Away", A229)),"Giveaway",IF(ISNUMBER(SEARCH("Stranded",A229)),"Survival", IF(ISNUMBER(SEARCH("Survive",A229)), "Survival", IF(ISNUMBER(SEARCH("Days",A229)),"Endurance","Other"))))))))</f>
        <v>Other</v>
      </c>
    </row>
    <row r="230" spans="1:15" x14ac:dyDescent="0.3">
      <c r="A230" t="s">
        <v>242</v>
      </c>
      <c r="B230" s="1">
        <v>42287</v>
      </c>
      <c r="C230" s="2">
        <v>135107</v>
      </c>
      <c r="D230" s="3">
        <v>4344</v>
      </c>
      <c r="E230" s="3">
        <v>902</v>
      </c>
      <c r="F230">
        <f>YEAR(B230)</f>
        <v>2015</v>
      </c>
      <c r="G230" t="str">
        <f>TEXT(B230,"MMMM")</f>
        <v>October</v>
      </c>
      <c r="H230" t="str">
        <f>TEXT(B230, "DDDD")</f>
        <v>Saturday</v>
      </c>
      <c r="I230">
        <f>((D230+E230)/C230)*100</f>
        <v>3.8828484090387616</v>
      </c>
      <c r="J230">
        <f>(D230/C230)*1000</f>
        <v>32.152294107633203</v>
      </c>
      <c r="K230">
        <f>(E230/C230)*1000</f>
        <v>6.6761899827544102</v>
      </c>
      <c r="L230">
        <f>CORREL(C230:C728, D230:D728)</f>
        <v>0.92907032935573419</v>
      </c>
      <c r="M230">
        <f>CORREL(C230:C728,E230:E728)</f>
        <v>0.46571119448065595</v>
      </c>
      <c r="N230">
        <f>LEN(A230)</f>
        <v>22</v>
      </c>
      <c r="O230" t="str">
        <f>IF(ISNUMBER(SEARCH("$",A230)), "Money", IF(ISNUMBER(SEARCH("Win",A230)), "Challenge",IF(ISNUMBER(SEARCH("Challenge",A230)), "Challenge",IF(ISNUMBER(SEARCH("Last To Leave",A230)),"Challenge",IF(ISNUMBER(SEARCH("Giving Away", A230)),"Giveaway",IF(ISNUMBER(SEARCH("Stranded",A230)),"Survival", IF(ISNUMBER(SEARCH("Survive",A230)), "Survival", IF(ISNUMBER(SEARCH("Days",A230)),"Endurance","Other"))))))))</f>
        <v>Other</v>
      </c>
    </row>
    <row r="231" spans="1:15" x14ac:dyDescent="0.3">
      <c r="A231" t="s">
        <v>243</v>
      </c>
      <c r="B231" s="1">
        <v>42201</v>
      </c>
      <c r="C231" s="2">
        <v>131582</v>
      </c>
      <c r="D231" s="3">
        <v>3856</v>
      </c>
      <c r="E231" s="3">
        <v>300</v>
      </c>
      <c r="F231">
        <f>YEAR(B231)</f>
        <v>2015</v>
      </c>
      <c r="G231" t="str">
        <f>TEXT(B231,"MMMM")</f>
        <v>July</v>
      </c>
      <c r="H231" t="str">
        <f>TEXT(B231, "DDDD")</f>
        <v>Thursday</v>
      </c>
      <c r="I231">
        <f>((D231+E231)/C231)*100</f>
        <v>3.158486723108024</v>
      </c>
      <c r="J231">
        <f>(D231/C231)*1000</f>
        <v>29.30492012585308</v>
      </c>
      <c r="K231">
        <f>(E231/C231)*1000</f>
        <v>2.2799471052271585</v>
      </c>
      <c r="L231">
        <f>CORREL(C231:C729, D231:D729)</f>
        <v>0.92873884944044993</v>
      </c>
      <c r="M231">
        <f>CORREL(C231:C729,E231:E729)</f>
        <v>0.45695251575601953</v>
      </c>
      <c r="N231">
        <f>LEN(A231)</f>
        <v>49</v>
      </c>
      <c r="O231" t="str">
        <f>IF(ISNUMBER(SEARCH("$",A231)), "Money", IF(ISNUMBER(SEARCH("Win",A231)), "Challenge",IF(ISNUMBER(SEARCH("Challenge",A231)), "Challenge",IF(ISNUMBER(SEARCH("Last To Leave",A231)),"Challenge",IF(ISNUMBER(SEARCH("Giving Away", A231)),"Giveaway",IF(ISNUMBER(SEARCH("Stranded",A231)),"Survival", IF(ISNUMBER(SEARCH("Survive",A231)), "Survival", IF(ISNUMBER(SEARCH("Days",A231)),"Endurance","Other"))))))))</f>
        <v>Other</v>
      </c>
    </row>
    <row r="232" spans="1:15" x14ac:dyDescent="0.3">
      <c r="A232" t="s">
        <v>244</v>
      </c>
      <c r="B232" s="1">
        <v>42281</v>
      </c>
      <c r="C232" s="2">
        <v>130434</v>
      </c>
      <c r="D232" s="3">
        <v>4961</v>
      </c>
      <c r="E232" s="3">
        <v>707</v>
      </c>
      <c r="F232">
        <f>YEAR(B232)</f>
        <v>2015</v>
      </c>
      <c r="G232" t="str">
        <f>TEXT(B232,"MMMM")</f>
        <v>October</v>
      </c>
      <c r="H232" t="str">
        <f>TEXT(B232, "DDDD")</f>
        <v>Sunday</v>
      </c>
      <c r="I232">
        <f>((D232+E232)/C232)*100</f>
        <v>4.3454927396231042</v>
      </c>
      <c r="J232">
        <f>(D232/C232)*1000</f>
        <v>38.034561540702576</v>
      </c>
      <c r="K232">
        <f>(E232/C232)*1000</f>
        <v>5.4203658555284662</v>
      </c>
      <c r="L232">
        <f>CORREL(C232:C730, D232:D730)</f>
        <v>0.92970839918908066</v>
      </c>
      <c r="M232">
        <f>CORREL(C232:C730,E232:E730)</f>
        <v>0.45099885732126915</v>
      </c>
      <c r="N232">
        <f>LEN(A232)</f>
        <v>55</v>
      </c>
      <c r="O232" t="str">
        <f>IF(ISNUMBER(SEARCH("$",A232)), "Money", IF(ISNUMBER(SEARCH("Win",A232)), "Challenge",IF(ISNUMBER(SEARCH("Challenge",A232)), "Challenge",IF(ISNUMBER(SEARCH("Last To Leave",A232)),"Challenge",IF(ISNUMBER(SEARCH("Giving Away", A232)),"Giveaway",IF(ISNUMBER(SEARCH("Stranded",A232)),"Survival", IF(ISNUMBER(SEARCH("Survive",A232)), "Survival", IF(ISNUMBER(SEARCH("Days",A232)),"Endurance","Other"))))))))</f>
        <v>Other</v>
      </c>
    </row>
    <row r="233" spans="1:15" x14ac:dyDescent="0.3">
      <c r="A233" t="s">
        <v>245</v>
      </c>
      <c r="B233" s="1">
        <v>42167</v>
      </c>
      <c r="C233" s="2">
        <v>129325</v>
      </c>
      <c r="D233" s="3">
        <v>2884</v>
      </c>
      <c r="E233" s="3">
        <v>225</v>
      </c>
      <c r="F233">
        <f>YEAR(B233)</f>
        <v>2015</v>
      </c>
      <c r="G233" t="str">
        <f>TEXT(B233,"MMMM")</f>
        <v>June</v>
      </c>
      <c r="H233" t="str">
        <f>TEXT(B233, "DDDD")</f>
        <v>Friday</v>
      </c>
      <c r="I233">
        <f>((D233+E233)/C233)*100</f>
        <v>2.4040208776338683</v>
      </c>
      <c r="J233">
        <f>(D233/C233)*1000</f>
        <v>22.300405953991881</v>
      </c>
      <c r="K233">
        <f>(E233/C233)*1000</f>
        <v>1.7398028223468005</v>
      </c>
      <c r="L233">
        <f>CORREL(C233:C731, D233:D731)</f>
        <v>0.92951010219107078</v>
      </c>
      <c r="M233">
        <f>CORREL(C233:C731,E233:E731)</f>
        <v>0.44899031490820168</v>
      </c>
      <c r="N233">
        <f>LEN(A233)</f>
        <v>72</v>
      </c>
      <c r="O233" t="str">
        <f>IF(ISNUMBER(SEARCH("$",A233)), "Money", IF(ISNUMBER(SEARCH("Win",A233)), "Challenge",IF(ISNUMBER(SEARCH("Challenge",A233)), "Challenge",IF(ISNUMBER(SEARCH("Last To Leave",A233)),"Challenge",IF(ISNUMBER(SEARCH("Giving Away", A233)),"Giveaway",IF(ISNUMBER(SEARCH("Stranded",A233)),"Survival", IF(ISNUMBER(SEARCH("Survive",A233)), "Survival", IF(ISNUMBER(SEARCH("Days",A233)),"Endurance","Other"))))))))</f>
        <v>Other</v>
      </c>
    </row>
    <row r="234" spans="1:15" x14ac:dyDescent="0.3">
      <c r="A234" t="s">
        <v>246</v>
      </c>
      <c r="B234" s="1">
        <v>42217</v>
      </c>
      <c r="C234" s="2">
        <v>126436</v>
      </c>
      <c r="D234" s="3">
        <v>2363</v>
      </c>
      <c r="E234" s="3">
        <v>227</v>
      </c>
      <c r="F234">
        <f>YEAR(B234)</f>
        <v>2015</v>
      </c>
      <c r="G234" t="str">
        <f>TEXT(B234,"MMMM")</f>
        <v>August</v>
      </c>
      <c r="H234" t="str">
        <f>TEXT(B234, "DDDD")</f>
        <v>Saturday</v>
      </c>
      <c r="I234">
        <f>((D234+E234)/C234)*100</f>
        <v>2.0484672087063811</v>
      </c>
      <c r="J234">
        <f>(D234/C234)*1000</f>
        <v>18.689297352019995</v>
      </c>
      <c r="K234">
        <f>(E234/C234)*1000</f>
        <v>1.7953747350438165</v>
      </c>
      <c r="L234">
        <f>CORREL(C234:C732, D234:D732)</f>
        <v>0.93104189799865045</v>
      </c>
      <c r="M234">
        <f>CORREL(C234:C732,E234:E732)</f>
        <v>0.44342143681505697</v>
      </c>
      <c r="N234">
        <f>LEN(A234)</f>
        <v>42</v>
      </c>
      <c r="O234" t="str">
        <f>IF(ISNUMBER(SEARCH("$",A234)), "Money", IF(ISNUMBER(SEARCH("Win",A234)), "Challenge",IF(ISNUMBER(SEARCH("Challenge",A234)), "Challenge",IF(ISNUMBER(SEARCH("Last To Leave",A234)),"Challenge",IF(ISNUMBER(SEARCH("Giving Away", A234)),"Giveaway",IF(ISNUMBER(SEARCH("Stranded",A234)),"Survival", IF(ISNUMBER(SEARCH("Survive",A234)), "Survival", IF(ISNUMBER(SEARCH("Days",A234)),"Endurance","Other"))))))))</f>
        <v>Other</v>
      </c>
    </row>
    <row r="235" spans="1:15" x14ac:dyDescent="0.3">
      <c r="A235" t="s">
        <v>247</v>
      </c>
      <c r="B235" s="1">
        <v>42215</v>
      </c>
      <c r="C235" s="2">
        <v>122657</v>
      </c>
      <c r="D235" s="3">
        <v>3356</v>
      </c>
      <c r="E235" s="3">
        <v>436</v>
      </c>
      <c r="F235">
        <f>YEAR(B235)</f>
        <v>2015</v>
      </c>
      <c r="G235" t="str">
        <f>TEXT(B235,"MMMM")</f>
        <v>July</v>
      </c>
      <c r="H235" t="str">
        <f>TEXT(B235, "DDDD")</f>
        <v>Thursday</v>
      </c>
      <c r="I235">
        <f>((D235+E235)/C235)*100</f>
        <v>3.0915479752480493</v>
      </c>
      <c r="J235">
        <f>(D235/C235)*1000</f>
        <v>27.36085180625647</v>
      </c>
      <c r="K235">
        <f>(E235/C235)*1000</f>
        <v>3.5546279462240231</v>
      </c>
      <c r="L235">
        <f>CORREL(C235:C733, D235:D733)</f>
        <v>0.93171037105123489</v>
      </c>
      <c r="M235">
        <f>CORREL(C235:C733,E235:E733)</f>
        <v>0.43781544931826821</v>
      </c>
      <c r="N235">
        <f>LEN(A235)</f>
        <v>37</v>
      </c>
      <c r="O235" t="str">
        <f>IF(ISNUMBER(SEARCH("$",A235)), "Money", IF(ISNUMBER(SEARCH("Win",A235)), "Challenge",IF(ISNUMBER(SEARCH("Challenge",A235)), "Challenge",IF(ISNUMBER(SEARCH("Last To Leave",A235)),"Challenge",IF(ISNUMBER(SEARCH("Giving Away", A235)),"Giveaway",IF(ISNUMBER(SEARCH("Stranded",A235)),"Survival", IF(ISNUMBER(SEARCH("Survive",A235)), "Survival", IF(ISNUMBER(SEARCH("Days",A235)),"Endurance","Other"))))))))</f>
        <v>Other</v>
      </c>
    </row>
    <row r="236" spans="1:15" x14ac:dyDescent="0.3">
      <c r="A236" t="s">
        <v>248</v>
      </c>
      <c r="B236" s="1">
        <v>42357</v>
      </c>
      <c r="C236" s="2">
        <v>121633</v>
      </c>
      <c r="D236" s="3">
        <v>4638</v>
      </c>
      <c r="E236" s="3">
        <v>423</v>
      </c>
      <c r="F236">
        <f>YEAR(B236)</f>
        <v>2015</v>
      </c>
      <c r="G236" t="str">
        <f>TEXT(B236,"MMMM")</f>
        <v>December</v>
      </c>
      <c r="H236" t="str">
        <f>TEXT(B236, "DDDD")</f>
        <v>Saturday</v>
      </c>
      <c r="I236">
        <f>((D236+E236)/C236)*100</f>
        <v>4.1608773934705221</v>
      </c>
      <c r="J236">
        <f>(D236/C236)*1000</f>
        <v>38.131099290488599</v>
      </c>
      <c r="K236">
        <f>(E236/C236)*1000</f>
        <v>3.4776746442166191</v>
      </c>
      <c r="L236">
        <f>CORREL(C236:C734, D236:D734)</f>
        <v>0.93244117812488148</v>
      </c>
      <c r="M236">
        <f>CORREL(C236:C734,E236:E734)</f>
        <v>0.43326171402478691</v>
      </c>
      <c r="N236">
        <f>LEN(A236)</f>
        <v>33</v>
      </c>
      <c r="O236" t="str">
        <f>IF(ISNUMBER(SEARCH("$",A236)), "Money", IF(ISNUMBER(SEARCH("Win",A236)), "Challenge",IF(ISNUMBER(SEARCH("Challenge",A236)), "Challenge",IF(ISNUMBER(SEARCH("Last To Leave",A236)),"Challenge",IF(ISNUMBER(SEARCH("Giving Away", A236)),"Giveaway",IF(ISNUMBER(SEARCH("Stranded",A236)),"Survival", IF(ISNUMBER(SEARCH("Survive",A236)), "Survival", IF(ISNUMBER(SEARCH("Days",A236)),"Endurance","Other"))))))))</f>
        <v>Other</v>
      </c>
    </row>
    <row r="237" spans="1:15" x14ac:dyDescent="0.3">
      <c r="A237" t="s">
        <v>249</v>
      </c>
      <c r="B237" s="1">
        <v>42334</v>
      </c>
      <c r="C237" s="2">
        <v>120341</v>
      </c>
      <c r="D237" s="3">
        <v>2771</v>
      </c>
      <c r="E237" s="3">
        <v>292</v>
      </c>
      <c r="F237">
        <f>YEAR(B237)</f>
        <v>2015</v>
      </c>
      <c r="G237" t="str">
        <f>TEXT(B237,"MMMM")</f>
        <v>November</v>
      </c>
      <c r="H237" t="str">
        <f>TEXT(B237, "DDDD")</f>
        <v>Thursday</v>
      </c>
      <c r="I237">
        <f>((D237+E237)/C237)*100</f>
        <v>2.54526719904272</v>
      </c>
      <c r="J237">
        <f>(D237/C237)*1000</f>
        <v>23.026233785659088</v>
      </c>
      <c r="K237">
        <f>(E237/C237)*1000</f>
        <v>2.4264382047681172</v>
      </c>
      <c r="L237">
        <f>CORREL(C237:C735, D237:D735)</f>
        <v>0.93298526968893447</v>
      </c>
      <c r="M237">
        <f>CORREL(C237:C735,E237:E735)</f>
        <v>0.42890404504514668</v>
      </c>
      <c r="N237">
        <f>LEN(A237)</f>
        <v>61</v>
      </c>
      <c r="O237" t="str">
        <f>IF(ISNUMBER(SEARCH("$",A237)), "Money", IF(ISNUMBER(SEARCH("Win",A237)), "Challenge",IF(ISNUMBER(SEARCH("Challenge",A237)), "Challenge",IF(ISNUMBER(SEARCH("Last To Leave",A237)),"Challenge",IF(ISNUMBER(SEARCH("Giving Away", A237)),"Giveaway",IF(ISNUMBER(SEARCH("Stranded",A237)),"Survival", IF(ISNUMBER(SEARCH("Survive",A237)), "Survival", IF(ISNUMBER(SEARCH("Days",A237)),"Endurance","Other"))))))))</f>
        <v>Other</v>
      </c>
    </row>
    <row r="238" spans="1:15" x14ac:dyDescent="0.3">
      <c r="A238" t="s">
        <v>250</v>
      </c>
      <c r="B238" s="1">
        <v>42234</v>
      </c>
      <c r="C238" s="2">
        <v>116253</v>
      </c>
      <c r="D238" s="3">
        <v>3262</v>
      </c>
      <c r="E238" s="3">
        <v>184</v>
      </c>
      <c r="F238">
        <f>YEAR(B238)</f>
        <v>2015</v>
      </c>
      <c r="G238" t="str">
        <f>TEXT(B238,"MMMM")</f>
        <v>August</v>
      </c>
      <c r="H238" t="str">
        <f>TEXT(B238, "DDDD")</f>
        <v>Tuesday</v>
      </c>
      <c r="I238">
        <f>((D238+E238)/C238)*100</f>
        <v>2.9642245791506454</v>
      </c>
      <c r="J238">
        <f>(D238/C238)*1000</f>
        <v>28.059490937868269</v>
      </c>
      <c r="K238">
        <f>(E238/C238)*1000</f>
        <v>1.5827548536381857</v>
      </c>
      <c r="L238">
        <f>CORREL(C238:C736, D238:D736)</f>
        <v>0.93354758579296881</v>
      </c>
      <c r="M238">
        <f>CORREL(C238:C736,E238:E736)</f>
        <v>0.42552840448984208</v>
      </c>
      <c r="N238">
        <f>LEN(A238)</f>
        <v>44</v>
      </c>
      <c r="O238" t="str">
        <f>IF(ISNUMBER(SEARCH("$",A238)), "Money", IF(ISNUMBER(SEARCH("Win",A238)), "Challenge",IF(ISNUMBER(SEARCH("Challenge",A238)), "Challenge",IF(ISNUMBER(SEARCH("Last To Leave",A238)),"Challenge",IF(ISNUMBER(SEARCH("Giving Away", A238)),"Giveaway",IF(ISNUMBER(SEARCH("Stranded",A238)),"Survival", IF(ISNUMBER(SEARCH("Survive",A238)), "Survival", IF(ISNUMBER(SEARCH("Days",A238)),"Endurance","Other"))))))))</f>
        <v>Other</v>
      </c>
    </row>
    <row r="239" spans="1:15" x14ac:dyDescent="0.3">
      <c r="A239" t="s">
        <v>251</v>
      </c>
      <c r="B239" s="1">
        <v>42100</v>
      </c>
      <c r="C239" s="2">
        <v>115445</v>
      </c>
      <c r="D239" s="3">
        <v>2059</v>
      </c>
      <c r="E239" s="3">
        <v>213</v>
      </c>
      <c r="F239">
        <f>YEAR(B239)</f>
        <v>2015</v>
      </c>
      <c r="G239" t="str">
        <f>TEXT(B239,"MMMM")</f>
        <v>April</v>
      </c>
      <c r="H239" t="str">
        <f>TEXT(B239, "DDDD")</f>
        <v>Monday</v>
      </c>
      <c r="I239">
        <f>((D239+E239)/C239)*100</f>
        <v>1.9680367274459698</v>
      </c>
      <c r="J239">
        <f>(D239/C239)*1000</f>
        <v>17.835332842479104</v>
      </c>
      <c r="K239">
        <f>(E239/C239)*1000</f>
        <v>1.8450344319805969</v>
      </c>
      <c r="L239">
        <f>CORREL(C239:C737, D239:D737)</f>
        <v>0.93336929978096062</v>
      </c>
      <c r="M239">
        <f>CORREL(C239:C737,E239:E737)</f>
        <v>0.42147351406898348</v>
      </c>
      <c r="N239">
        <f>LEN(A239)</f>
        <v>41</v>
      </c>
      <c r="O239" t="str">
        <f>IF(ISNUMBER(SEARCH("$",A239)), "Money", IF(ISNUMBER(SEARCH("Win",A239)), "Challenge",IF(ISNUMBER(SEARCH("Challenge",A239)), "Challenge",IF(ISNUMBER(SEARCH("Last To Leave",A239)),"Challenge",IF(ISNUMBER(SEARCH("Giving Away", A239)),"Giveaway",IF(ISNUMBER(SEARCH("Stranded",A239)),"Survival", IF(ISNUMBER(SEARCH("Survive",A239)), "Survival", IF(ISNUMBER(SEARCH("Days",A239)),"Endurance","Other"))))))))</f>
        <v>Other</v>
      </c>
    </row>
    <row r="240" spans="1:15" x14ac:dyDescent="0.3">
      <c r="A240" t="s">
        <v>252</v>
      </c>
      <c r="B240" s="1">
        <v>42068</v>
      </c>
      <c r="C240" s="2">
        <v>114488</v>
      </c>
      <c r="D240" s="3">
        <v>1748</v>
      </c>
      <c r="E240" s="3">
        <v>317</v>
      </c>
      <c r="F240">
        <f>YEAR(B240)</f>
        <v>2015</v>
      </c>
      <c r="G240" t="str">
        <f>TEXT(B240,"MMMM")</f>
        <v>March</v>
      </c>
      <c r="H240" t="str">
        <f>TEXT(B240, "DDDD")</f>
        <v>Thursday</v>
      </c>
      <c r="I240">
        <f>((D240+E240)/C240)*100</f>
        <v>1.8036824820068478</v>
      </c>
      <c r="J240">
        <f>(D240/C240)*1000</f>
        <v>15.267975683041017</v>
      </c>
      <c r="K240">
        <f>(E240/C240)*1000</f>
        <v>2.7688491370274613</v>
      </c>
      <c r="L240">
        <f>CORREL(C240:C738, D240:D738)</f>
        <v>0.93005773954099202</v>
      </c>
      <c r="M240">
        <f>CORREL(C240:C738,E240:E738)</f>
        <v>0.42124111631868821</v>
      </c>
      <c r="N240">
        <f>LEN(A240)</f>
        <v>62</v>
      </c>
      <c r="O240" t="str">
        <f>IF(ISNUMBER(SEARCH("$",A240)), "Money", IF(ISNUMBER(SEARCH("Win",A240)), "Challenge",IF(ISNUMBER(SEARCH("Challenge",A240)), "Challenge",IF(ISNUMBER(SEARCH("Last To Leave",A240)),"Challenge",IF(ISNUMBER(SEARCH("Giving Away", A240)),"Giveaway",IF(ISNUMBER(SEARCH("Stranded",A240)),"Survival", IF(ISNUMBER(SEARCH("Survive",A240)), "Survival", IF(ISNUMBER(SEARCH("Days",A240)),"Endurance","Other"))))))))</f>
        <v>Money</v>
      </c>
    </row>
    <row r="241" spans="1:15" x14ac:dyDescent="0.3">
      <c r="A241" t="s">
        <v>253</v>
      </c>
      <c r="B241" s="1">
        <v>42147</v>
      </c>
      <c r="C241" s="2">
        <v>112977</v>
      </c>
      <c r="D241" s="3">
        <v>1688</v>
      </c>
      <c r="E241" s="3">
        <v>217</v>
      </c>
      <c r="F241">
        <f>YEAR(B241)</f>
        <v>2015</v>
      </c>
      <c r="G241" t="str">
        <f>TEXT(B241,"MMMM")</f>
        <v>May</v>
      </c>
      <c r="H241" t="str">
        <f>TEXT(B241, "DDDD")</f>
        <v>Saturday</v>
      </c>
      <c r="I241">
        <f>((D241+E241)/C241)*100</f>
        <v>1.6861839135399241</v>
      </c>
      <c r="J241">
        <f>(D241/C241)*1000</f>
        <v>14.94109420501518</v>
      </c>
      <c r="K241">
        <f>(E241/C241)*1000</f>
        <v>1.9207449303840605</v>
      </c>
      <c r="L241">
        <f>CORREL(C241:C739, D241:D739)</f>
        <v>0.92865773885665903</v>
      </c>
      <c r="M241">
        <f>CORREL(C241:C739,E241:E739)</f>
        <v>0.42501000682574941</v>
      </c>
      <c r="N241">
        <f>LEN(A241)</f>
        <v>17</v>
      </c>
      <c r="O241" t="str">
        <f>IF(ISNUMBER(SEARCH("$",A241)), "Money", IF(ISNUMBER(SEARCH("Win",A241)), "Challenge",IF(ISNUMBER(SEARCH("Challenge",A241)), "Challenge",IF(ISNUMBER(SEARCH("Last To Leave",A241)),"Challenge",IF(ISNUMBER(SEARCH("Giving Away", A241)),"Giveaway",IF(ISNUMBER(SEARCH("Stranded",A241)),"Survival", IF(ISNUMBER(SEARCH("Survive",A241)), "Survival", IF(ISNUMBER(SEARCH("Days",A241)),"Endurance","Other"))))))))</f>
        <v>Other</v>
      </c>
    </row>
    <row r="242" spans="1:15" x14ac:dyDescent="0.3">
      <c r="A242" t="s">
        <v>254</v>
      </c>
      <c r="B242" s="1">
        <v>42108</v>
      </c>
      <c r="C242" s="2">
        <v>112745</v>
      </c>
      <c r="D242" s="3">
        <v>2469</v>
      </c>
      <c r="E242" s="3">
        <v>240</v>
      </c>
      <c r="F242">
        <f>YEAR(B242)</f>
        <v>2015</v>
      </c>
      <c r="G242" t="str">
        <f>TEXT(B242,"MMMM")</f>
        <v>April</v>
      </c>
      <c r="H242" t="str">
        <f>TEXT(B242, "DDDD")</f>
        <v>Tuesday</v>
      </c>
      <c r="I242">
        <f>((D242+E242)/C242)*100</f>
        <v>2.4027673067541797</v>
      </c>
      <c r="J242">
        <f>(D242/C242)*1000</f>
        <v>21.898975564326577</v>
      </c>
      <c r="K242">
        <f>(E242/C242)*1000</f>
        <v>2.12869750321522</v>
      </c>
      <c r="L242">
        <f>CORREL(C242:C740, D242:D740)</f>
        <v>0.92767502832887472</v>
      </c>
      <c r="M242">
        <f>CORREL(C242:C740,E242:E740)</f>
        <v>0.42939193273743498</v>
      </c>
      <c r="N242">
        <f>LEN(A242)</f>
        <v>7</v>
      </c>
      <c r="O242" t="str">
        <f>IF(ISNUMBER(SEARCH("$",A242)), "Money", IF(ISNUMBER(SEARCH("Win",A242)), "Challenge",IF(ISNUMBER(SEARCH("Challenge",A242)), "Challenge",IF(ISNUMBER(SEARCH("Last To Leave",A242)),"Challenge",IF(ISNUMBER(SEARCH("Giving Away", A242)),"Giveaway",IF(ISNUMBER(SEARCH("Stranded",A242)),"Survival", IF(ISNUMBER(SEARCH("Survive",A242)), "Survival", IF(ISNUMBER(SEARCH("Days",A242)),"Endurance","Other"))))))))</f>
        <v>Other</v>
      </c>
    </row>
    <row r="243" spans="1:15" x14ac:dyDescent="0.3">
      <c r="A243" t="s">
        <v>255</v>
      </c>
      <c r="B243" s="1">
        <v>42214</v>
      </c>
      <c r="C243" s="2">
        <v>111617</v>
      </c>
      <c r="D243" s="3">
        <v>1731</v>
      </c>
      <c r="E243" s="3">
        <v>227</v>
      </c>
      <c r="F243">
        <f>YEAR(B243)</f>
        <v>2015</v>
      </c>
      <c r="G243" t="str">
        <f>TEXT(B243,"MMMM")</f>
        <v>July</v>
      </c>
      <c r="H243" t="str">
        <f>TEXT(B243, "DDDD")</f>
        <v>Wednesday</v>
      </c>
      <c r="I243">
        <f>((D243+E243)/C243)*100</f>
        <v>1.7542130679018428</v>
      </c>
      <c r="J243">
        <f>(D243/C243)*1000</f>
        <v>15.508390298968795</v>
      </c>
      <c r="K243">
        <f>(E243/C243)*1000</f>
        <v>2.0337403800496343</v>
      </c>
      <c r="L243">
        <f>CORREL(C243:C741, D243:D741)</f>
        <v>0.92786702475182925</v>
      </c>
      <c r="M243">
        <f>CORREL(C243:C741,E243:E741)</f>
        <v>0.42645347908410658</v>
      </c>
      <c r="N243">
        <f>LEN(A243)</f>
        <v>50</v>
      </c>
      <c r="O243" t="str">
        <f>IF(ISNUMBER(SEARCH("$",A243)), "Money", IF(ISNUMBER(SEARCH("Win",A243)), "Challenge",IF(ISNUMBER(SEARCH("Challenge",A243)), "Challenge",IF(ISNUMBER(SEARCH("Last To Leave",A243)),"Challenge",IF(ISNUMBER(SEARCH("Giving Away", A243)),"Giveaway",IF(ISNUMBER(SEARCH("Stranded",A243)),"Survival", IF(ISNUMBER(SEARCH("Survive",A243)), "Survival", IF(ISNUMBER(SEARCH("Days",A243)),"Endurance","Other"))))))))</f>
        <v>Other</v>
      </c>
    </row>
    <row r="244" spans="1:15" x14ac:dyDescent="0.3">
      <c r="A244" t="s">
        <v>256</v>
      </c>
      <c r="B244" s="1">
        <v>42353</v>
      </c>
      <c r="C244" s="2">
        <v>111409</v>
      </c>
      <c r="D244" s="3">
        <v>4269</v>
      </c>
      <c r="E244" s="3">
        <v>450</v>
      </c>
      <c r="F244">
        <f>YEAR(B244)</f>
        <v>2015</v>
      </c>
      <c r="G244" t="str">
        <f>TEXT(B244,"MMMM")</f>
        <v>December</v>
      </c>
      <c r="H244" t="str">
        <f>TEXT(B244, "DDDD")</f>
        <v>Tuesday</v>
      </c>
      <c r="I244">
        <f>((D244+E244)/C244)*100</f>
        <v>4.2357439704153164</v>
      </c>
      <c r="J244">
        <f>(D244/C244)*1000</f>
        <v>38.318268721557502</v>
      </c>
      <c r="K244">
        <f>(E244/C244)*1000</f>
        <v>4.0391709825956612</v>
      </c>
      <c r="L244">
        <f>CORREL(C244:C742, D244:D742)</f>
        <v>0.92798587272495792</v>
      </c>
      <c r="M244">
        <f>CORREL(C244:C742,E244:E742)</f>
        <v>0.4237136580731829</v>
      </c>
      <c r="N244">
        <f>LEN(A244)</f>
        <v>38</v>
      </c>
      <c r="O244" t="str">
        <f>IF(ISNUMBER(SEARCH("$",A244)), "Money", IF(ISNUMBER(SEARCH("Win",A244)), "Challenge",IF(ISNUMBER(SEARCH("Challenge",A244)), "Challenge",IF(ISNUMBER(SEARCH("Last To Leave",A244)),"Challenge",IF(ISNUMBER(SEARCH("Giving Away", A244)),"Giveaway",IF(ISNUMBER(SEARCH("Stranded",A244)),"Survival", IF(ISNUMBER(SEARCH("Survive",A244)), "Survival", IF(ISNUMBER(SEARCH("Days",A244)),"Endurance","Other"))))))))</f>
        <v>Other</v>
      </c>
    </row>
    <row r="245" spans="1:15" x14ac:dyDescent="0.3">
      <c r="A245" t="s">
        <v>257</v>
      </c>
      <c r="B245" s="1">
        <v>42349</v>
      </c>
      <c r="C245" s="2">
        <v>110854</v>
      </c>
      <c r="D245" s="3">
        <v>4561</v>
      </c>
      <c r="E245" s="3">
        <v>311</v>
      </c>
      <c r="F245">
        <f>YEAR(B245)</f>
        <v>2015</v>
      </c>
      <c r="G245" t="str">
        <f>TEXT(B245,"MMMM")</f>
        <v>December</v>
      </c>
      <c r="H245" t="str">
        <f>TEXT(B245, "DDDD")</f>
        <v>Friday</v>
      </c>
      <c r="I245">
        <f>((D245+E245)/C245)*100</f>
        <v>4.3949699604885701</v>
      </c>
      <c r="J245">
        <f>(D245/C245)*1000</f>
        <v>41.144207696609953</v>
      </c>
      <c r="K245">
        <f>(E245/C245)*1000</f>
        <v>2.8054919082757501</v>
      </c>
      <c r="L245">
        <f>CORREL(C245:C743, D245:D743)</f>
        <v>0.92684919672861454</v>
      </c>
      <c r="M245">
        <f>CORREL(C245:C743,E245:E743)</f>
        <v>0.4275777276401283</v>
      </c>
      <c r="N245">
        <f>LEN(A245)</f>
        <v>43</v>
      </c>
      <c r="O245" t="str">
        <f>IF(ISNUMBER(SEARCH("$",A245)), "Money", IF(ISNUMBER(SEARCH("Win",A245)), "Challenge",IF(ISNUMBER(SEARCH("Challenge",A245)), "Challenge",IF(ISNUMBER(SEARCH("Last To Leave",A245)),"Challenge",IF(ISNUMBER(SEARCH("Giving Away", A245)),"Giveaway",IF(ISNUMBER(SEARCH("Stranded",A245)),"Survival", IF(ISNUMBER(SEARCH("Survive",A245)), "Survival", IF(ISNUMBER(SEARCH("Days",A245)),"Endurance","Other"))))))))</f>
        <v>Other</v>
      </c>
    </row>
    <row r="246" spans="1:15" x14ac:dyDescent="0.3">
      <c r="A246" t="s">
        <v>258</v>
      </c>
      <c r="B246" s="1">
        <v>42217</v>
      </c>
      <c r="C246" s="2">
        <v>109944</v>
      </c>
      <c r="D246" s="3">
        <v>2235</v>
      </c>
      <c r="E246" s="3">
        <v>308</v>
      </c>
      <c r="F246">
        <f>YEAR(B246)</f>
        <v>2015</v>
      </c>
      <c r="G246" t="str">
        <f>TEXT(B246,"MMMM")</f>
        <v>August</v>
      </c>
      <c r="H246" t="str">
        <f>TEXT(B246, "DDDD")</f>
        <v>Saturday</v>
      </c>
      <c r="I246">
        <f>((D246+E246)/C246)*100</f>
        <v>2.3129957069053337</v>
      </c>
      <c r="J246">
        <f>(D246/C246)*1000</f>
        <v>20.328530888452303</v>
      </c>
      <c r="K246">
        <f>(E246/C246)*1000</f>
        <v>2.8014261806010334</v>
      </c>
      <c r="L246">
        <f>CORREL(C246:C744, D246:D744)</f>
        <v>0.92544537686367423</v>
      </c>
      <c r="M246">
        <f>CORREL(C246:C744,E246:E744)</f>
        <v>0.42491700268404536</v>
      </c>
      <c r="N246">
        <f>LEN(A246)</f>
        <v>52</v>
      </c>
      <c r="O246" t="str">
        <f>IF(ISNUMBER(SEARCH("$",A246)), "Money", IF(ISNUMBER(SEARCH("Win",A246)), "Challenge",IF(ISNUMBER(SEARCH("Challenge",A246)), "Challenge",IF(ISNUMBER(SEARCH("Last To Leave",A246)),"Challenge",IF(ISNUMBER(SEARCH("Giving Away", A246)),"Giveaway",IF(ISNUMBER(SEARCH("Stranded",A246)),"Survival", IF(ISNUMBER(SEARCH("Survive",A246)), "Survival", IF(ISNUMBER(SEARCH("Days",A246)),"Endurance","Other"))))))))</f>
        <v>Other</v>
      </c>
    </row>
    <row r="247" spans="1:15" x14ac:dyDescent="0.3">
      <c r="A247" t="s">
        <v>259</v>
      </c>
      <c r="B247" s="1">
        <v>42152</v>
      </c>
      <c r="C247" s="2">
        <v>107964</v>
      </c>
      <c r="D247" s="3">
        <v>1478</v>
      </c>
      <c r="E247" s="3">
        <v>188</v>
      </c>
      <c r="F247">
        <f>YEAR(B247)</f>
        <v>2015</v>
      </c>
      <c r="G247" t="str">
        <f>TEXT(B247,"MMMM")</f>
        <v>May</v>
      </c>
      <c r="H247" t="str">
        <f>TEXT(B247, "DDDD")</f>
        <v>Thursday</v>
      </c>
      <c r="I247">
        <f>((D247+E247)/C247)*100</f>
        <v>1.5431069615797859</v>
      </c>
      <c r="J247">
        <f>(D247/C247)*1000</f>
        <v>13.689748434663406</v>
      </c>
      <c r="K247">
        <f>(E247/C247)*1000</f>
        <v>1.7413211811344522</v>
      </c>
      <c r="L247">
        <f>CORREL(C247:C745, D247:D745)</f>
        <v>0.92454814863376633</v>
      </c>
      <c r="M247">
        <f>CORREL(C247:C745,E247:E745)</f>
        <v>0.42370033287517794</v>
      </c>
      <c r="N247">
        <f>LEN(A247)</f>
        <v>45</v>
      </c>
      <c r="O247" t="str">
        <f>IF(ISNUMBER(SEARCH("$",A247)), "Money", IF(ISNUMBER(SEARCH("Win",A247)), "Challenge",IF(ISNUMBER(SEARCH("Challenge",A247)), "Challenge",IF(ISNUMBER(SEARCH("Last To Leave",A247)),"Challenge",IF(ISNUMBER(SEARCH("Giving Away", A247)),"Giveaway",IF(ISNUMBER(SEARCH("Stranded",A247)),"Survival", IF(ISNUMBER(SEARCH("Survive",A247)), "Survival", IF(ISNUMBER(SEARCH("Days",A247)),"Endurance","Other"))))))))</f>
        <v>Other</v>
      </c>
    </row>
    <row r="248" spans="1:15" x14ac:dyDescent="0.3">
      <c r="A248" t="s">
        <v>260</v>
      </c>
      <c r="B248" s="1">
        <v>42213</v>
      </c>
      <c r="C248" s="2">
        <v>107669</v>
      </c>
      <c r="D248" s="3">
        <v>2276</v>
      </c>
      <c r="E248" s="3">
        <v>194</v>
      </c>
      <c r="F248">
        <f>YEAR(B248)</f>
        <v>2015</v>
      </c>
      <c r="G248" t="str">
        <f>TEXT(B248,"MMMM")</f>
        <v>July</v>
      </c>
      <c r="H248" t="str">
        <f>TEXT(B248, "DDDD")</f>
        <v>Tuesday</v>
      </c>
      <c r="I248">
        <f>((D248+E248)/C248)*100</f>
        <v>2.2940679304163685</v>
      </c>
      <c r="J248">
        <f>(D248/C248)*1000</f>
        <v>21.138860767723301</v>
      </c>
      <c r="K248">
        <f>(E248/C248)*1000</f>
        <v>1.8018185364403867</v>
      </c>
      <c r="L248">
        <f>CORREL(C248:C746, D248:D746)</f>
        <v>0.92494481582512567</v>
      </c>
      <c r="M248">
        <f>CORREL(C248:C746,E248:E746)</f>
        <v>0.42049560668546471</v>
      </c>
      <c r="N248">
        <f>LEN(A248)</f>
        <v>21</v>
      </c>
      <c r="O248" t="str">
        <f>IF(ISNUMBER(SEARCH("$",A248)), "Money", IF(ISNUMBER(SEARCH("Win",A248)), "Challenge",IF(ISNUMBER(SEARCH("Challenge",A248)), "Challenge",IF(ISNUMBER(SEARCH("Last To Leave",A248)),"Challenge",IF(ISNUMBER(SEARCH("Giving Away", A248)),"Giveaway",IF(ISNUMBER(SEARCH("Stranded",A248)),"Survival", IF(ISNUMBER(SEARCH("Survive",A248)), "Survival", IF(ISNUMBER(SEARCH("Days",A248)),"Endurance","Other"))))))))</f>
        <v>Other</v>
      </c>
    </row>
    <row r="249" spans="1:15" x14ac:dyDescent="0.3">
      <c r="A249" t="s">
        <v>261</v>
      </c>
      <c r="B249" s="1">
        <v>42190</v>
      </c>
      <c r="C249" s="2">
        <v>107057</v>
      </c>
      <c r="D249" s="3">
        <v>2503</v>
      </c>
      <c r="E249" s="3">
        <v>249</v>
      </c>
      <c r="F249">
        <f>YEAR(B249)</f>
        <v>2015</v>
      </c>
      <c r="G249" t="str">
        <f>TEXT(B249,"MMMM")</f>
        <v>July</v>
      </c>
      <c r="H249" t="str">
        <f>TEXT(B249, "DDDD")</f>
        <v>Sunday</v>
      </c>
      <c r="I249">
        <f>((D249+E249)/C249)*100</f>
        <v>2.5705932353792837</v>
      </c>
      <c r="J249">
        <f>(D249/C249)*1000</f>
        <v>23.38006856160737</v>
      </c>
      <c r="K249">
        <f>(E249/C249)*1000</f>
        <v>2.3258637921854715</v>
      </c>
      <c r="L249">
        <f>CORREL(C249:C747, D249:D747)</f>
        <v>0.92374590396536727</v>
      </c>
      <c r="M249">
        <f>CORREL(C249:C747,E249:E747)</f>
        <v>0.42067832805331523</v>
      </c>
      <c r="N249">
        <f>LEN(A249)</f>
        <v>32</v>
      </c>
      <c r="O249" t="str">
        <f>IF(ISNUMBER(SEARCH("$",A249)), "Money", IF(ISNUMBER(SEARCH("Win",A249)), "Challenge",IF(ISNUMBER(SEARCH("Challenge",A249)), "Challenge",IF(ISNUMBER(SEARCH("Last To Leave",A249)),"Challenge",IF(ISNUMBER(SEARCH("Giving Away", A249)),"Giveaway",IF(ISNUMBER(SEARCH("Stranded",A249)),"Survival", IF(ISNUMBER(SEARCH("Survive",A249)), "Survival", IF(ISNUMBER(SEARCH("Days",A249)),"Endurance","Other"))))))))</f>
        <v>Other</v>
      </c>
    </row>
    <row r="250" spans="1:15" x14ac:dyDescent="0.3">
      <c r="A250" t="s">
        <v>262</v>
      </c>
      <c r="B250" s="1">
        <v>42229</v>
      </c>
      <c r="C250" s="2">
        <v>106600</v>
      </c>
      <c r="D250" s="3">
        <v>2357</v>
      </c>
      <c r="E250" s="3">
        <v>294</v>
      </c>
      <c r="F250">
        <f>YEAR(B250)</f>
        <v>2015</v>
      </c>
      <c r="G250" t="str">
        <f>TEXT(B250,"MMMM")</f>
        <v>August</v>
      </c>
      <c r="H250" t="str">
        <f>TEXT(B250, "DDDD")</f>
        <v>Thursday</v>
      </c>
      <c r="I250">
        <f>((D250+E250)/C250)*100</f>
        <v>2.4868667917448404</v>
      </c>
      <c r="J250">
        <f>(D250/C250)*1000</f>
        <v>22.110694183864915</v>
      </c>
      <c r="K250">
        <f>(E250/C250)*1000</f>
        <v>2.7579737335834897</v>
      </c>
      <c r="L250">
        <f>CORREL(C250:C748, D250:D748)</f>
        <v>0.92429258762581235</v>
      </c>
      <c r="M250">
        <f>CORREL(C250:C748,E250:E748)</f>
        <v>0.41762645386167857</v>
      </c>
      <c r="N250">
        <f>LEN(A250)</f>
        <v>4</v>
      </c>
      <c r="O250" t="str">
        <f>IF(ISNUMBER(SEARCH("$",A250)), "Money", IF(ISNUMBER(SEARCH("Win",A250)), "Challenge",IF(ISNUMBER(SEARCH("Challenge",A250)), "Challenge",IF(ISNUMBER(SEARCH("Last To Leave",A250)),"Challenge",IF(ISNUMBER(SEARCH("Giving Away", A250)),"Giveaway",IF(ISNUMBER(SEARCH("Stranded",A250)),"Survival", IF(ISNUMBER(SEARCH("Survive",A250)), "Survival", IF(ISNUMBER(SEARCH("Days",A250)),"Endurance","Other"))))))))</f>
        <v>Other</v>
      </c>
    </row>
    <row r="251" spans="1:15" x14ac:dyDescent="0.3">
      <c r="A251" t="s">
        <v>263</v>
      </c>
      <c r="B251" s="1">
        <v>42187</v>
      </c>
      <c r="C251" s="2">
        <v>104277</v>
      </c>
      <c r="D251" s="3">
        <v>3460</v>
      </c>
      <c r="E251" s="3">
        <v>344</v>
      </c>
      <c r="F251">
        <f>YEAR(B251)</f>
        <v>2015</v>
      </c>
      <c r="G251" t="str">
        <f>TEXT(B251,"MMMM")</f>
        <v>July</v>
      </c>
      <c r="H251" t="str">
        <f>TEXT(B251, "DDDD")</f>
        <v>Thursday</v>
      </c>
      <c r="I251">
        <f>((D251+E251)/C251)*100</f>
        <v>3.6479760637532728</v>
      </c>
      <c r="J251">
        <f>(D251/C251)*1000</f>
        <v>33.180854838555007</v>
      </c>
      <c r="K251">
        <f>(E251/C251)*1000</f>
        <v>3.2989057989777231</v>
      </c>
      <c r="L251">
        <f>CORREL(C251:C749, D251:D749)</f>
        <v>0.92480309126135085</v>
      </c>
      <c r="M251">
        <f>CORREL(C251:C749,E251:E749)</f>
        <v>0.41485401786931791</v>
      </c>
      <c r="N251">
        <f>LEN(A251)</f>
        <v>27</v>
      </c>
      <c r="O251" t="str">
        <f>IF(ISNUMBER(SEARCH("$",A251)), "Money", IF(ISNUMBER(SEARCH("Win",A251)), "Challenge",IF(ISNUMBER(SEARCH("Challenge",A251)), "Challenge",IF(ISNUMBER(SEARCH("Last To Leave",A251)),"Challenge",IF(ISNUMBER(SEARCH("Giving Away", A251)),"Giveaway",IF(ISNUMBER(SEARCH("Stranded",A251)),"Survival", IF(ISNUMBER(SEARCH("Survive",A251)), "Survival", IF(ISNUMBER(SEARCH("Days",A251)),"Endurance","Other"))))))))</f>
        <v>Other</v>
      </c>
    </row>
    <row r="252" spans="1:15" x14ac:dyDescent="0.3">
      <c r="A252" t="s">
        <v>264</v>
      </c>
      <c r="B252" s="1">
        <v>42292</v>
      </c>
      <c r="C252" s="2">
        <v>103978</v>
      </c>
      <c r="D252" s="3">
        <v>4496</v>
      </c>
      <c r="E252" s="3">
        <v>518</v>
      </c>
      <c r="F252">
        <f>YEAR(B252)</f>
        <v>2015</v>
      </c>
      <c r="G252" t="str">
        <f>TEXT(B252,"MMMM")</f>
        <v>October</v>
      </c>
      <c r="H252" t="str">
        <f>TEXT(B252, "DDDD")</f>
        <v>Thursday</v>
      </c>
      <c r="I252">
        <f>((D252+E252)/C252)*100</f>
        <v>4.8221739214064518</v>
      </c>
      <c r="J252">
        <f>(D252/C252)*1000</f>
        <v>43.239916136105712</v>
      </c>
      <c r="K252">
        <f>(E252/C252)*1000</f>
        <v>4.9818230779587989</v>
      </c>
      <c r="L252">
        <f>CORREL(C252:C750, D252:D750)</f>
        <v>0.92510352446409139</v>
      </c>
      <c r="M252">
        <f>CORREL(C252:C750,E252:E750)</f>
        <v>0.41222911963422909</v>
      </c>
      <c r="N252">
        <f>LEN(A252)</f>
        <v>54</v>
      </c>
      <c r="O252" t="str">
        <f>IF(ISNUMBER(SEARCH("$",A252)), "Money", IF(ISNUMBER(SEARCH("Win",A252)), "Challenge",IF(ISNUMBER(SEARCH("Challenge",A252)), "Challenge",IF(ISNUMBER(SEARCH("Last To Leave",A252)),"Challenge",IF(ISNUMBER(SEARCH("Giving Away", A252)),"Giveaway",IF(ISNUMBER(SEARCH("Stranded",A252)),"Survival", IF(ISNUMBER(SEARCH("Survive",A252)), "Survival", IF(ISNUMBER(SEARCH("Days",A252)),"Endurance","Other"))))))))</f>
        <v>Other</v>
      </c>
    </row>
    <row r="253" spans="1:15" x14ac:dyDescent="0.3">
      <c r="A253" t="s">
        <v>265</v>
      </c>
      <c r="B253" s="1">
        <v>42067</v>
      </c>
      <c r="C253" s="2">
        <v>103659</v>
      </c>
      <c r="D253" s="3">
        <v>1872</v>
      </c>
      <c r="E253" s="3">
        <v>327</v>
      </c>
      <c r="F253">
        <f>YEAR(B253)</f>
        <v>2015</v>
      </c>
      <c r="G253" t="str">
        <f>TEXT(B253,"MMMM")</f>
        <v>March</v>
      </c>
      <c r="H253" t="str">
        <f>TEXT(B253, "DDDD")</f>
        <v>Wednesday</v>
      </c>
      <c r="I253">
        <f>((D253+E253)/C253)*100</f>
        <v>2.1213787514832285</v>
      </c>
      <c r="J253">
        <f>(D253/C253)*1000</f>
        <v>18.059213382340175</v>
      </c>
      <c r="K253">
        <f>(E253/C253)*1000</f>
        <v>3.1545741324921135</v>
      </c>
      <c r="L253">
        <f>CORREL(C253:C751, D253:D751)</f>
        <v>0.92418768201172441</v>
      </c>
      <c r="M253">
        <f>CORREL(C253:C751,E253:E751)</f>
        <v>0.4136301522526547</v>
      </c>
      <c r="N253">
        <f>LEN(A253)</f>
        <v>37</v>
      </c>
      <c r="O253" t="str">
        <f>IF(ISNUMBER(SEARCH("$",A253)), "Money", IF(ISNUMBER(SEARCH("Win",A253)), "Challenge",IF(ISNUMBER(SEARCH("Challenge",A253)), "Challenge",IF(ISNUMBER(SEARCH("Last To Leave",A253)),"Challenge",IF(ISNUMBER(SEARCH("Giving Away", A253)),"Giveaway",IF(ISNUMBER(SEARCH("Stranded",A253)),"Survival", IF(ISNUMBER(SEARCH("Survive",A253)), "Survival", IF(ISNUMBER(SEARCH("Days",A253)),"Endurance","Other"))))))))</f>
        <v>Other</v>
      </c>
    </row>
    <row r="254" spans="1:15" x14ac:dyDescent="0.3">
      <c r="A254" t="s">
        <v>266</v>
      </c>
      <c r="B254" s="1">
        <v>42059</v>
      </c>
      <c r="C254" s="2">
        <v>101902</v>
      </c>
      <c r="D254" s="3">
        <v>1281</v>
      </c>
      <c r="E254" s="3">
        <v>256</v>
      </c>
      <c r="F254">
        <f>YEAR(B254)</f>
        <v>2015</v>
      </c>
      <c r="G254" t="str">
        <f>TEXT(B254,"MMMM")</f>
        <v>February</v>
      </c>
      <c r="H254" t="str">
        <f>TEXT(B254, "DDDD")</f>
        <v>Tuesday</v>
      </c>
      <c r="I254">
        <f>((D254+E254)/C254)*100</f>
        <v>1.5083119075189888</v>
      </c>
      <c r="J254">
        <f>(D254/C254)*1000</f>
        <v>12.570901454338482</v>
      </c>
      <c r="K254">
        <f>(E254/C254)*1000</f>
        <v>2.512217620851406</v>
      </c>
      <c r="L254">
        <f>CORREL(C254:C752, D254:D752)</f>
        <v>0.92341392145208634</v>
      </c>
      <c r="M254">
        <f>CORREL(C254:C752,E254:E752)</f>
        <v>0.4142625100077923</v>
      </c>
      <c r="N254">
        <f>LEN(A254)</f>
        <v>52</v>
      </c>
      <c r="O254" t="str">
        <f>IF(ISNUMBER(SEARCH("$",A254)), "Money", IF(ISNUMBER(SEARCH("Win",A254)), "Challenge",IF(ISNUMBER(SEARCH("Challenge",A254)), "Challenge",IF(ISNUMBER(SEARCH("Last To Leave",A254)),"Challenge",IF(ISNUMBER(SEARCH("Giving Away", A254)),"Giveaway",IF(ISNUMBER(SEARCH("Stranded",A254)),"Survival", IF(ISNUMBER(SEARCH("Survive",A254)), "Survival", IF(ISNUMBER(SEARCH("Days",A254)),"Endurance","Other"))))))))</f>
        <v>Other</v>
      </c>
    </row>
    <row r="255" spans="1:15" x14ac:dyDescent="0.3">
      <c r="A255" t="s">
        <v>267</v>
      </c>
      <c r="B255" s="1">
        <v>42256</v>
      </c>
      <c r="C255" s="2">
        <v>101657</v>
      </c>
      <c r="D255" s="3">
        <v>3336</v>
      </c>
      <c r="E255" s="3">
        <v>379</v>
      </c>
      <c r="F255">
        <f>YEAR(B255)</f>
        <v>2015</v>
      </c>
      <c r="G255" t="str">
        <f>TEXT(B255,"MMMM")</f>
        <v>September</v>
      </c>
      <c r="H255" t="str">
        <f>TEXT(B255, "DDDD")</f>
        <v>Wednesday</v>
      </c>
      <c r="I255">
        <f>((D255+E255)/C255)*100</f>
        <v>3.654445832554571</v>
      </c>
      <c r="J255">
        <f>(D255/C255)*1000</f>
        <v>32.816234986277387</v>
      </c>
      <c r="K255">
        <f>(E255/C255)*1000</f>
        <v>3.7282233392683239</v>
      </c>
      <c r="L255">
        <f>CORREL(C255:C753, D255:D753)</f>
        <v>0.92272606721565453</v>
      </c>
      <c r="M255">
        <f>CORREL(C255:C753,E255:E753)</f>
        <v>0.41522159347898718</v>
      </c>
      <c r="N255">
        <f>LEN(A255)</f>
        <v>48</v>
      </c>
      <c r="O255" t="str">
        <f>IF(ISNUMBER(SEARCH("$",A255)), "Money", IF(ISNUMBER(SEARCH("Win",A255)), "Challenge",IF(ISNUMBER(SEARCH("Challenge",A255)), "Challenge",IF(ISNUMBER(SEARCH("Last To Leave",A255)),"Challenge",IF(ISNUMBER(SEARCH("Giving Away", A255)),"Giveaway",IF(ISNUMBER(SEARCH("Stranded",A255)),"Survival", IF(ISNUMBER(SEARCH("Survive",A255)), "Survival", IF(ISNUMBER(SEARCH("Days",A255)),"Endurance","Other"))))))))</f>
        <v>Other</v>
      </c>
    </row>
    <row r="256" spans="1:15" x14ac:dyDescent="0.3">
      <c r="A256" t="s">
        <v>262</v>
      </c>
      <c r="B256" s="1">
        <v>42116</v>
      </c>
      <c r="C256" s="2">
        <v>100762</v>
      </c>
      <c r="D256" s="3">
        <v>1913</v>
      </c>
      <c r="E256" s="3">
        <v>172</v>
      </c>
      <c r="F256">
        <f>YEAR(B256)</f>
        <v>2015</v>
      </c>
      <c r="G256" t="str">
        <f>TEXT(B256,"MMMM")</f>
        <v>April</v>
      </c>
      <c r="H256" t="str">
        <f>TEXT(B256, "DDDD")</f>
        <v>Wednesday</v>
      </c>
      <c r="I256">
        <f>((D256+E256)/C256)*100</f>
        <v>2.0692324487405966</v>
      </c>
      <c r="J256">
        <f>(D256/C256)*1000</f>
        <v>18.985331771898135</v>
      </c>
      <c r="K256">
        <f>(E256/C256)*1000</f>
        <v>1.7069927155078304</v>
      </c>
      <c r="L256">
        <f>CORREL(C256:C754, D256:D754)</f>
        <v>0.92212002967061213</v>
      </c>
      <c r="M256">
        <f>CORREL(C256:C754,E256:E754)</f>
        <v>0.41392024585684867</v>
      </c>
      <c r="N256">
        <f>LEN(A256)</f>
        <v>4</v>
      </c>
      <c r="O256" t="str">
        <f>IF(ISNUMBER(SEARCH("$",A256)), "Money", IF(ISNUMBER(SEARCH("Win",A256)), "Challenge",IF(ISNUMBER(SEARCH("Challenge",A256)), "Challenge",IF(ISNUMBER(SEARCH("Last To Leave",A256)),"Challenge",IF(ISNUMBER(SEARCH("Giving Away", A256)),"Giveaway",IF(ISNUMBER(SEARCH("Stranded",A256)),"Survival", IF(ISNUMBER(SEARCH("Survive",A256)), "Survival", IF(ISNUMBER(SEARCH("Days",A256)),"Endurance","Other"))))))))</f>
        <v>Other</v>
      </c>
    </row>
    <row r="257" spans="1:15" x14ac:dyDescent="0.3">
      <c r="A257" t="s">
        <v>268</v>
      </c>
      <c r="B257" s="1">
        <v>42230</v>
      </c>
      <c r="C257" s="2">
        <v>99391</v>
      </c>
      <c r="D257" s="3">
        <v>3840</v>
      </c>
      <c r="E257" s="3">
        <v>412</v>
      </c>
      <c r="F257">
        <f>YEAR(B257)</f>
        <v>2015</v>
      </c>
      <c r="G257" t="str">
        <f>TEXT(B257,"MMMM")</f>
        <v>August</v>
      </c>
      <c r="H257" t="str">
        <f>TEXT(B257, "DDDD")</f>
        <v>Friday</v>
      </c>
      <c r="I257">
        <f>((D257+E257)/C257)*100</f>
        <v>4.2780533448702602</v>
      </c>
      <c r="J257">
        <f>(D257/C257)*1000</f>
        <v>38.635288909458602</v>
      </c>
      <c r="K257">
        <f>(E257/C257)*1000</f>
        <v>4.1452445392439961</v>
      </c>
      <c r="L257">
        <f>CORREL(C257:C755, D257:D755)</f>
        <v>0.92230397497662464</v>
      </c>
      <c r="M257">
        <f>CORREL(C257:C755,E257:E755)</f>
        <v>0.41109012058440231</v>
      </c>
      <c r="N257">
        <f>LEN(A257)</f>
        <v>42</v>
      </c>
      <c r="O257" t="str">
        <f>IF(ISNUMBER(SEARCH("$",A257)), "Money", IF(ISNUMBER(SEARCH("Win",A257)), "Challenge",IF(ISNUMBER(SEARCH("Challenge",A257)), "Challenge",IF(ISNUMBER(SEARCH("Last To Leave",A257)),"Challenge",IF(ISNUMBER(SEARCH("Giving Away", A257)),"Giveaway",IF(ISNUMBER(SEARCH("Stranded",A257)),"Survival", IF(ISNUMBER(SEARCH("Survive",A257)), "Survival", IF(ISNUMBER(SEARCH("Days",A257)),"Endurance","Other"))))))))</f>
        <v>Other</v>
      </c>
    </row>
    <row r="258" spans="1:15" x14ac:dyDescent="0.3">
      <c r="A258" t="s">
        <v>269</v>
      </c>
      <c r="B258" s="1">
        <v>42214</v>
      </c>
      <c r="C258" s="2">
        <v>99265</v>
      </c>
      <c r="D258" s="3">
        <v>2628</v>
      </c>
      <c r="E258" s="3">
        <v>425</v>
      </c>
      <c r="F258">
        <f>YEAR(B258)</f>
        <v>2015</v>
      </c>
      <c r="G258" t="str">
        <f>TEXT(B258,"MMMM")</f>
        <v>July</v>
      </c>
      <c r="H258" t="str">
        <f>TEXT(B258, "DDDD")</f>
        <v>Wednesday</v>
      </c>
      <c r="I258">
        <f>((D258+E258)/C258)*100</f>
        <v>3.0756057019090313</v>
      </c>
      <c r="J258">
        <f>(D258/C258)*1000</f>
        <v>26.4745882234423</v>
      </c>
      <c r="K258">
        <f>(E258/C258)*1000</f>
        <v>4.2814687956480126</v>
      </c>
      <c r="L258">
        <f>CORREL(C258:C756, D258:D756)</f>
        <v>0.92208936681416209</v>
      </c>
      <c r="M258">
        <f>CORREL(C258:C756,E258:E756)</f>
        <v>0.41258486038090042</v>
      </c>
      <c r="N258">
        <f>LEN(A258)</f>
        <v>29</v>
      </c>
      <c r="O258" t="str">
        <f>IF(ISNUMBER(SEARCH("$",A258)), "Money", IF(ISNUMBER(SEARCH("Win",A258)), "Challenge",IF(ISNUMBER(SEARCH("Challenge",A258)), "Challenge",IF(ISNUMBER(SEARCH("Last To Leave",A258)),"Challenge",IF(ISNUMBER(SEARCH("Giving Away", A258)),"Giveaway",IF(ISNUMBER(SEARCH("Stranded",A258)),"Survival", IF(ISNUMBER(SEARCH("Survive",A258)), "Survival", IF(ISNUMBER(SEARCH("Days",A258)),"Endurance","Other"))))))))</f>
        <v>Other</v>
      </c>
    </row>
    <row r="259" spans="1:15" x14ac:dyDescent="0.3">
      <c r="A259" t="s">
        <v>270</v>
      </c>
      <c r="B259" s="1">
        <v>42210</v>
      </c>
      <c r="C259" s="2">
        <v>98427</v>
      </c>
      <c r="D259" s="3">
        <v>2812</v>
      </c>
      <c r="E259" s="3">
        <v>370</v>
      </c>
      <c r="F259">
        <f>YEAR(B259)</f>
        <v>2015</v>
      </c>
      <c r="G259" t="str">
        <f>TEXT(B259,"MMMM")</f>
        <v>July</v>
      </c>
      <c r="H259" t="str">
        <f>TEXT(B259, "DDDD")</f>
        <v>Saturday</v>
      </c>
      <c r="I259">
        <f>((D259+E259)/C259)*100</f>
        <v>3.2328527741371778</v>
      </c>
      <c r="J259">
        <f>(D259/C259)*1000</f>
        <v>28.569396608654131</v>
      </c>
      <c r="K259">
        <f>(E259/C259)*1000</f>
        <v>3.7591311327176489</v>
      </c>
      <c r="L259">
        <f>CORREL(C259:C757, D259:D757)</f>
        <v>0.92142458430038576</v>
      </c>
      <c r="M259">
        <f>CORREL(C259:C757,E259:E757)</f>
        <v>0.41422502316700394</v>
      </c>
      <c r="N259">
        <f>LEN(A259)</f>
        <v>40</v>
      </c>
      <c r="O259" t="str">
        <f>IF(ISNUMBER(SEARCH("$",A259)), "Money", IF(ISNUMBER(SEARCH("Win",A259)), "Challenge",IF(ISNUMBER(SEARCH("Challenge",A259)), "Challenge",IF(ISNUMBER(SEARCH("Last To Leave",A259)),"Challenge",IF(ISNUMBER(SEARCH("Giving Away", A259)),"Giveaway",IF(ISNUMBER(SEARCH("Stranded",A259)),"Survival", IF(ISNUMBER(SEARCH("Survive",A259)), "Survival", IF(ISNUMBER(SEARCH("Days",A259)),"Endurance","Other"))))))))</f>
        <v>Other</v>
      </c>
    </row>
    <row r="260" spans="1:15" x14ac:dyDescent="0.3">
      <c r="A260" t="s">
        <v>271</v>
      </c>
      <c r="B260" s="1">
        <v>42282</v>
      </c>
      <c r="C260" s="2">
        <v>98030</v>
      </c>
      <c r="D260" s="3">
        <v>2767</v>
      </c>
      <c r="E260" s="3">
        <v>284</v>
      </c>
      <c r="F260">
        <f>YEAR(B260)</f>
        <v>2015</v>
      </c>
      <c r="G260" t="str">
        <f>TEXT(B260,"MMMM")</f>
        <v>October</v>
      </c>
      <c r="H260" t="str">
        <f>TEXT(B260, "DDDD")</f>
        <v>Monday</v>
      </c>
      <c r="I260">
        <f>((D260+E260)/C260)*100</f>
        <v>3.1123125573803936</v>
      </c>
      <c r="J260">
        <f>(D260/C260)*1000</f>
        <v>28.226053249005407</v>
      </c>
      <c r="K260">
        <f>(E260/C260)*1000</f>
        <v>2.8970723247985313</v>
      </c>
      <c r="L260">
        <f>CORREL(C260:C758, D260:D758)</f>
        <v>0.92166898435128453</v>
      </c>
      <c r="M260">
        <f>CORREL(C260:C758,E260:E758)</f>
        <v>0.41234413820881749</v>
      </c>
      <c r="N260">
        <f>LEN(A260)</f>
        <v>74</v>
      </c>
      <c r="O260" t="str">
        <f>IF(ISNUMBER(SEARCH("$",A260)), "Money", IF(ISNUMBER(SEARCH("Win",A260)), "Challenge",IF(ISNUMBER(SEARCH("Challenge",A260)), "Challenge",IF(ISNUMBER(SEARCH("Last To Leave",A260)),"Challenge",IF(ISNUMBER(SEARCH("Giving Away", A260)),"Giveaway",IF(ISNUMBER(SEARCH("Stranded",A260)),"Survival", IF(ISNUMBER(SEARCH("Survive",A260)), "Survival", IF(ISNUMBER(SEARCH("Days",A260)),"Endurance","Other"))))))))</f>
        <v>Other</v>
      </c>
    </row>
    <row r="261" spans="1:15" x14ac:dyDescent="0.3">
      <c r="A261" t="s">
        <v>272</v>
      </c>
      <c r="B261" s="1">
        <v>42005</v>
      </c>
      <c r="C261" s="2">
        <v>96287</v>
      </c>
      <c r="D261" s="3">
        <v>1686</v>
      </c>
      <c r="E261" s="3">
        <v>216</v>
      </c>
      <c r="F261">
        <f>YEAR(B261)</f>
        <v>2015</v>
      </c>
      <c r="G261" t="str">
        <f>TEXT(B261,"MMMM")</f>
        <v>January</v>
      </c>
      <c r="H261" t="str">
        <f>TEXT(B261, "DDDD")</f>
        <v>Thursday</v>
      </c>
      <c r="I261">
        <f>((D261+E261)/C261)*100</f>
        <v>1.975344542877024</v>
      </c>
      <c r="J261">
        <f>(D261/C261)*1000</f>
        <v>17.510151941591285</v>
      </c>
      <c r="K261">
        <f>(E261/C261)*1000</f>
        <v>2.2432934871789545</v>
      </c>
      <c r="L261">
        <f>CORREL(C261:C759, D261:D759)</f>
        <v>0.9212533720529299</v>
      </c>
      <c r="M261">
        <f>CORREL(C261:C759,E261:E759)</f>
        <v>0.4131986633204503</v>
      </c>
      <c r="N261">
        <f>LEN(A261)</f>
        <v>35</v>
      </c>
      <c r="O261" t="str">
        <f>IF(ISNUMBER(SEARCH("$",A261)), "Money", IF(ISNUMBER(SEARCH("Win",A261)), "Challenge",IF(ISNUMBER(SEARCH("Challenge",A261)), "Challenge",IF(ISNUMBER(SEARCH("Last To Leave",A261)),"Challenge",IF(ISNUMBER(SEARCH("Giving Away", A261)),"Giveaway",IF(ISNUMBER(SEARCH("Stranded",A261)),"Survival", IF(ISNUMBER(SEARCH("Survive",A261)), "Survival", IF(ISNUMBER(SEARCH("Days",A261)),"Endurance","Other"))))))))</f>
        <v>Other</v>
      </c>
    </row>
    <row r="262" spans="1:15" x14ac:dyDescent="0.3">
      <c r="A262" t="s">
        <v>273</v>
      </c>
      <c r="B262" s="1">
        <v>42228</v>
      </c>
      <c r="C262" s="2">
        <v>95682</v>
      </c>
      <c r="D262" s="3">
        <v>1673</v>
      </c>
      <c r="E262" s="3">
        <v>197</v>
      </c>
      <c r="F262">
        <f>YEAR(B262)</f>
        <v>2015</v>
      </c>
      <c r="G262" t="str">
        <f>TEXT(B262,"MMMM")</f>
        <v>August</v>
      </c>
      <c r="H262" t="str">
        <f>TEXT(B262, "DDDD")</f>
        <v>Wednesday</v>
      </c>
      <c r="I262">
        <f>((D262+E262)/C262)*100</f>
        <v>1.9543905854810726</v>
      </c>
      <c r="J262">
        <f>(D262/C262)*1000</f>
        <v>17.485002403795907</v>
      </c>
      <c r="K262">
        <f>(E262/C262)*1000</f>
        <v>2.0589034510148201</v>
      </c>
      <c r="L262">
        <f>CORREL(C262:C760, D262:D760)</f>
        <v>0.92143660394507254</v>
      </c>
      <c r="M262">
        <f>CORREL(C262:C760,E262:E760)</f>
        <v>0.41117383851919748</v>
      </c>
      <c r="N262">
        <f>LEN(A262)</f>
        <v>49</v>
      </c>
      <c r="O262" t="str">
        <f>IF(ISNUMBER(SEARCH("$",A262)), "Money", IF(ISNUMBER(SEARCH("Win",A262)), "Challenge",IF(ISNUMBER(SEARCH("Challenge",A262)), "Challenge",IF(ISNUMBER(SEARCH("Last To Leave",A262)),"Challenge",IF(ISNUMBER(SEARCH("Giving Away", A262)),"Giveaway",IF(ISNUMBER(SEARCH("Stranded",A262)),"Survival", IF(ISNUMBER(SEARCH("Survive",A262)), "Survival", IF(ISNUMBER(SEARCH("Days",A262)),"Endurance","Other"))))))))</f>
        <v>Money</v>
      </c>
    </row>
    <row r="263" spans="1:15" x14ac:dyDescent="0.3">
      <c r="A263" t="s">
        <v>274</v>
      </c>
      <c r="B263" s="1">
        <v>42270</v>
      </c>
      <c r="C263" s="2">
        <v>94674</v>
      </c>
      <c r="D263" s="3">
        <v>3282</v>
      </c>
      <c r="E263" s="3">
        <v>496</v>
      </c>
      <c r="F263">
        <f>YEAR(B263)</f>
        <v>2015</v>
      </c>
      <c r="G263" t="str">
        <f>TEXT(B263,"MMMM")</f>
        <v>September</v>
      </c>
      <c r="H263" t="str">
        <f>TEXT(B263, "DDDD")</f>
        <v>Wednesday</v>
      </c>
      <c r="I263">
        <f>((D263+E263)/C263)*100</f>
        <v>3.990535944398673</v>
      </c>
      <c r="J263">
        <f>(D263/C263)*1000</f>
        <v>34.666328664680904</v>
      </c>
      <c r="K263">
        <f>(E263/C263)*1000</f>
        <v>5.2390307793058284</v>
      </c>
      <c r="L263">
        <f>CORREL(C263:C761, D263:D761)</f>
        <v>0.92147891057233733</v>
      </c>
      <c r="M263">
        <f>CORREL(C263:C761,E263:E761)</f>
        <v>0.40976927938672281</v>
      </c>
      <c r="N263">
        <f>LEN(A263)</f>
        <v>52</v>
      </c>
      <c r="O263" t="str">
        <f>IF(ISNUMBER(SEARCH("$",A263)), "Money", IF(ISNUMBER(SEARCH("Win",A263)), "Challenge",IF(ISNUMBER(SEARCH("Challenge",A263)), "Challenge",IF(ISNUMBER(SEARCH("Last To Leave",A263)),"Challenge",IF(ISNUMBER(SEARCH("Giving Away", A263)),"Giveaway",IF(ISNUMBER(SEARCH("Stranded",A263)),"Survival", IF(ISNUMBER(SEARCH("Survive",A263)), "Survival", IF(ISNUMBER(SEARCH("Days",A263)),"Endurance","Other"))))))))</f>
        <v>Other</v>
      </c>
    </row>
    <row r="264" spans="1:15" x14ac:dyDescent="0.3">
      <c r="A264" t="s">
        <v>275</v>
      </c>
      <c r="B264" s="1">
        <v>42306</v>
      </c>
      <c r="C264" s="2">
        <v>92183</v>
      </c>
      <c r="D264" s="3">
        <v>3651</v>
      </c>
      <c r="E264" s="3">
        <v>294</v>
      </c>
      <c r="F264">
        <f>YEAR(B264)</f>
        <v>2015</v>
      </c>
      <c r="G264" t="str">
        <f>TEXT(B264,"MMMM")</f>
        <v>October</v>
      </c>
      <c r="H264" t="str">
        <f>TEXT(B264, "DDDD")</f>
        <v>Thursday</v>
      </c>
      <c r="I264">
        <f>((D264+E264)/C264)*100</f>
        <v>4.2795309330353755</v>
      </c>
      <c r="J264">
        <f>(D264/C264)*1000</f>
        <v>39.606001106494688</v>
      </c>
      <c r="K264">
        <f>(E264/C264)*1000</f>
        <v>3.1893082238590629</v>
      </c>
      <c r="L264">
        <f>CORREL(C264:C762, D264:D762)</f>
        <v>0.92129893101857219</v>
      </c>
      <c r="M264">
        <f>CORREL(C264:C762,E264:E762)</f>
        <v>0.41099274118230272</v>
      </c>
      <c r="N264">
        <f>LEN(A264)</f>
        <v>29</v>
      </c>
      <c r="O264" t="str">
        <f>IF(ISNUMBER(SEARCH("$",A264)), "Money", IF(ISNUMBER(SEARCH("Win",A264)), "Challenge",IF(ISNUMBER(SEARCH("Challenge",A264)), "Challenge",IF(ISNUMBER(SEARCH("Last To Leave",A264)),"Challenge",IF(ISNUMBER(SEARCH("Giving Away", A264)),"Giveaway",IF(ISNUMBER(SEARCH("Stranded",A264)),"Survival", IF(ISNUMBER(SEARCH("Survive",A264)), "Survival", IF(ISNUMBER(SEARCH("Days",A264)),"Endurance","Other"))))))))</f>
        <v>Other</v>
      </c>
    </row>
    <row r="265" spans="1:15" x14ac:dyDescent="0.3">
      <c r="A265" t="s">
        <v>276</v>
      </c>
      <c r="B265" s="1">
        <v>42235</v>
      </c>
      <c r="C265" s="2">
        <v>90731</v>
      </c>
      <c r="D265" s="3">
        <v>1968</v>
      </c>
      <c r="E265" s="3">
        <v>184</v>
      </c>
      <c r="F265">
        <f>YEAR(B265)</f>
        <v>2015</v>
      </c>
      <c r="G265" t="str">
        <f>TEXT(B265,"MMMM")</f>
        <v>August</v>
      </c>
      <c r="H265" t="str">
        <f>TEXT(B265, "DDDD")</f>
        <v>Wednesday</v>
      </c>
      <c r="I265">
        <f>((D265+E265)/C265)*100</f>
        <v>2.3718464471900456</v>
      </c>
      <c r="J265">
        <f>(D265/C265)*1000</f>
        <v>21.690491673187775</v>
      </c>
      <c r="K265">
        <f>(E265/C265)*1000</f>
        <v>2.0279727987126783</v>
      </c>
      <c r="L265">
        <f>CORREL(C265:C763, D265:D763)</f>
        <v>0.9211324803525025</v>
      </c>
      <c r="M265">
        <f>CORREL(C265:C763,E265:E763)</f>
        <v>0.41140399012931433</v>
      </c>
      <c r="N265">
        <f>LEN(A265)</f>
        <v>38</v>
      </c>
      <c r="O265" t="str">
        <f>IF(ISNUMBER(SEARCH("$",A265)), "Money", IF(ISNUMBER(SEARCH("Win",A265)), "Challenge",IF(ISNUMBER(SEARCH("Challenge",A265)), "Challenge",IF(ISNUMBER(SEARCH("Last To Leave",A265)),"Challenge",IF(ISNUMBER(SEARCH("Giving Away", A265)),"Giveaway",IF(ISNUMBER(SEARCH("Stranded",A265)),"Survival", IF(ISNUMBER(SEARCH("Survive",A265)), "Survival", IF(ISNUMBER(SEARCH("Days",A265)),"Endurance","Other"))))))))</f>
        <v>Other</v>
      </c>
    </row>
    <row r="266" spans="1:15" x14ac:dyDescent="0.3">
      <c r="A266" t="s">
        <v>277</v>
      </c>
      <c r="B266" s="1">
        <v>42066</v>
      </c>
      <c r="C266" s="2">
        <v>88277</v>
      </c>
      <c r="D266" s="3">
        <v>1480</v>
      </c>
      <c r="E266" s="3">
        <v>227</v>
      </c>
      <c r="F266">
        <f>YEAR(B266)</f>
        <v>2015</v>
      </c>
      <c r="G266" t="str">
        <f>TEXT(B266,"MMMM")</f>
        <v>March</v>
      </c>
      <c r="H266" t="str">
        <f>TEXT(B266, "DDDD")</f>
        <v>Tuesday</v>
      </c>
      <c r="I266">
        <f>((D266+E266)/C266)*100</f>
        <v>1.9336860110787633</v>
      </c>
      <c r="J266">
        <f>(D266/C266)*1000</f>
        <v>16.765408883401111</v>
      </c>
      <c r="K266">
        <f>(E266/C266)*1000</f>
        <v>2.5714512273865222</v>
      </c>
      <c r="L266">
        <f>CORREL(C266:C764, D266:D764)</f>
        <v>0.92096372794748371</v>
      </c>
      <c r="M266">
        <f>CORREL(C266:C764,E266:E764)</f>
        <v>0.4098550089551371</v>
      </c>
      <c r="N266">
        <f>LEN(A266)</f>
        <v>40</v>
      </c>
      <c r="O266" t="str">
        <f>IF(ISNUMBER(SEARCH("$",A266)), "Money", IF(ISNUMBER(SEARCH("Win",A266)), "Challenge",IF(ISNUMBER(SEARCH("Challenge",A266)), "Challenge",IF(ISNUMBER(SEARCH("Last To Leave",A266)),"Challenge",IF(ISNUMBER(SEARCH("Giving Away", A266)),"Giveaway",IF(ISNUMBER(SEARCH("Stranded",A266)),"Survival", IF(ISNUMBER(SEARCH("Survive",A266)), "Survival", IF(ISNUMBER(SEARCH("Days",A266)),"Endurance","Other"))))))))</f>
        <v>Other</v>
      </c>
    </row>
    <row r="267" spans="1:15" x14ac:dyDescent="0.3">
      <c r="A267" t="s">
        <v>278</v>
      </c>
      <c r="B267" s="1">
        <v>42119</v>
      </c>
      <c r="C267" s="2">
        <v>87820</v>
      </c>
      <c r="D267" s="3">
        <v>1759</v>
      </c>
      <c r="E267" s="3">
        <v>234</v>
      </c>
      <c r="F267">
        <f>YEAR(B267)</f>
        <v>2015</v>
      </c>
      <c r="G267" t="str">
        <f>TEXT(B267,"MMMM")</f>
        <v>April</v>
      </c>
      <c r="H267" t="str">
        <f>TEXT(B267, "DDDD")</f>
        <v>Saturday</v>
      </c>
      <c r="I267">
        <f>((D267+E267)/C267)*100</f>
        <v>2.2694147119107262</v>
      </c>
      <c r="J267">
        <f>(D267/C267)*1000</f>
        <v>20.029606012297883</v>
      </c>
      <c r="K267">
        <f>(E267/C267)*1000</f>
        <v>2.6645411068093829</v>
      </c>
      <c r="L267">
        <f>CORREL(C267:C765, D267:D765)</f>
        <v>0.92060309197446044</v>
      </c>
      <c r="M267">
        <f>CORREL(C267:C765,E267:E765)</f>
        <v>0.40935933425168225</v>
      </c>
      <c r="N267">
        <f>LEN(A267)</f>
        <v>22</v>
      </c>
      <c r="O267" t="str">
        <f>IF(ISNUMBER(SEARCH("$",A267)), "Money", IF(ISNUMBER(SEARCH("Win",A267)), "Challenge",IF(ISNUMBER(SEARCH("Challenge",A267)), "Challenge",IF(ISNUMBER(SEARCH("Last To Leave",A267)),"Challenge",IF(ISNUMBER(SEARCH("Giving Away", A267)),"Giveaway",IF(ISNUMBER(SEARCH("Stranded",A267)),"Survival", IF(ISNUMBER(SEARCH("Survive",A267)), "Survival", IF(ISNUMBER(SEARCH("Days",A267)),"Endurance","Other"))))))))</f>
        <v>Other</v>
      </c>
    </row>
    <row r="268" spans="1:15" x14ac:dyDescent="0.3">
      <c r="A268" t="s">
        <v>279</v>
      </c>
      <c r="B268" s="1">
        <v>42162</v>
      </c>
      <c r="C268" s="2">
        <v>87068</v>
      </c>
      <c r="D268" s="3">
        <v>1642</v>
      </c>
      <c r="E268" s="3">
        <v>191</v>
      </c>
      <c r="F268">
        <f>YEAR(B268)</f>
        <v>2015</v>
      </c>
      <c r="G268" t="str">
        <f>TEXT(B268,"MMMM")</f>
        <v>June</v>
      </c>
      <c r="H268" t="str">
        <f>TEXT(B268, "DDDD")</f>
        <v>Sunday</v>
      </c>
      <c r="I268">
        <f>((D268+E268)/C268)*100</f>
        <v>2.1052510681306567</v>
      </c>
      <c r="J268">
        <f>(D268/C268)*1000</f>
        <v>18.858822988928193</v>
      </c>
      <c r="K268">
        <f>(E268/C268)*1000</f>
        <v>2.1936876923783708</v>
      </c>
      <c r="L268">
        <f>CORREL(C268:C766, D268:D766)</f>
        <v>0.92065907828176474</v>
      </c>
      <c r="M268">
        <f>CORREL(C268:C766,E268:E766)</f>
        <v>0.4099618821399173</v>
      </c>
      <c r="N268">
        <f>LEN(A268)</f>
        <v>59</v>
      </c>
      <c r="O268" t="str">
        <f>IF(ISNUMBER(SEARCH("$",A268)), "Money", IF(ISNUMBER(SEARCH("Win",A268)), "Challenge",IF(ISNUMBER(SEARCH("Challenge",A268)), "Challenge",IF(ISNUMBER(SEARCH("Last To Leave",A268)),"Challenge",IF(ISNUMBER(SEARCH("Giving Away", A268)),"Giveaway",IF(ISNUMBER(SEARCH("Stranded",A268)),"Survival", IF(ISNUMBER(SEARCH("Survive",A268)), "Survival", IF(ISNUMBER(SEARCH("Days",A268)),"Endurance","Other"))))))))</f>
        <v>Other</v>
      </c>
    </row>
    <row r="269" spans="1:15" x14ac:dyDescent="0.3">
      <c r="A269" t="s">
        <v>280</v>
      </c>
      <c r="B269" s="1">
        <v>42131</v>
      </c>
      <c r="C269" s="2">
        <v>85475</v>
      </c>
      <c r="D269" s="3">
        <v>1757</v>
      </c>
      <c r="E269" s="3">
        <v>188</v>
      </c>
      <c r="F269">
        <f>YEAR(B269)</f>
        <v>2015</v>
      </c>
      <c r="G269" t="str">
        <f>TEXT(B269,"MMMM")</f>
        <v>May</v>
      </c>
      <c r="H269" t="str">
        <f>TEXT(B269, "DDDD")</f>
        <v>Thursday</v>
      </c>
      <c r="I269">
        <f>((D269+E269)/C269)*100</f>
        <v>2.2755191576484353</v>
      </c>
      <c r="J269">
        <f>(D269/C269)*1000</f>
        <v>20.555718046212345</v>
      </c>
      <c r="K269">
        <f>(E269/C269)*1000</f>
        <v>2.1994735302720096</v>
      </c>
      <c r="L269">
        <f>CORREL(C269:C767, D269:D767)</f>
        <v>0.9203168244465223</v>
      </c>
      <c r="M269">
        <f>CORREL(C269:C767,E269:E767)</f>
        <v>0.40988516307742473</v>
      </c>
      <c r="N269">
        <f>LEN(A269)</f>
        <v>12</v>
      </c>
      <c r="O269" t="str">
        <f>IF(ISNUMBER(SEARCH("$",A269)), "Money", IF(ISNUMBER(SEARCH("Win",A269)), "Challenge",IF(ISNUMBER(SEARCH("Challenge",A269)), "Challenge",IF(ISNUMBER(SEARCH("Last To Leave",A269)),"Challenge",IF(ISNUMBER(SEARCH("Giving Away", A269)),"Giveaway",IF(ISNUMBER(SEARCH("Stranded",A269)),"Survival", IF(ISNUMBER(SEARCH("Survive",A269)), "Survival", IF(ISNUMBER(SEARCH("Days",A269)),"Endurance","Other"))))))))</f>
        <v>Other</v>
      </c>
    </row>
    <row r="270" spans="1:15" x14ac:dyDescent="0.3">
      <c r="A270" t="s">
        <v>281</v>
      </c>
      <c r="B270" s="1">
        <v>42043</v>
      </c>
      <c r="C270" s="2">
        <v>83270</v>
      </c>
      <c r="D270" s="3">
        <v>1745</v>
      </c>
      <c r="E270" s="3">
        <v>183</v>
      </c>
      <c r="F270">
        <f>YEAR(B270)</f>
        <v>2015</v>
      </c>
      <c r="G270" t="str">
        <f>TEXT(B270,"MMMM")</f>
        <v>February</v>
      </c>
      <c r="H270" t="str">
        <f>TEXT(B270, "DDDD")</f>
        <v>Sunday</v>
      </c>
      <c r="I270">
        <f>((D270+E270)/C270)*100</f>
        <v>2.3153596733517476</v>
      </c>
      <c r="J270">
        <f>(D270/C270)*1000</f>
        <v>20.955926504143147</v>
      </c>
      <c r="K270">
        <f>(E270/C270)*1000</f>
        <v>2.1976702293743244</v>
      </c>
      <c r="L270">
        <f>CORREL(C270:C768, D270:D768)</f>
        <v>0.92026620951334448</v>
      </c>
      <c r="M270">
        <f>CORREL(C270:C768,E270:E768)</f>
        <v>0.41039794066607371</v>
      </c>
      <c r="N270">
        <f>LEN(A270)</f>
        <v>40</v>
      </c>
      <c r="O270" t="str">
        <f>IF(ISNUMBER(SEARCH("$",A270)), "Money", IF(ISNUMBER(SEARCH("Win",A270)), "Challenge",IF(ISNUMBER(SEARCH("Challenge",A270)), "Challenge",IF(ISNUMBER(SEARCH("Last To Leave",A270)),"Challenge",IF(ISNUMBER(SEARCH("Giving Away", A270)),"Giveaway",IF(ISNUMBER(SEARCH("Stranded",A270)),"Survival", IF(ISNUMBER(SEARCH("Survive",A270)), "Survival", IF(ISNUMBER(SEARCH("Days",A270)),"Endurance","Other"))))))))</f>
        <v>Other</v>
      </c>
    </row>
    <row r="271" spans="1:15" x14ac:dyDescent="0.3">
      <c r="A271" t="s">
        <v>282</v>
      </c>
      <c r="B271" s="1">
        <v>42368</v>
      </c>
      <c r="C271" s="2">
        <v>83002</v>
      </c>
      <c r="D271" s="3">
        <v>2739</v>
      </c>
      <c r="E271" s="3">
        <v>555</v>
      </c>
      <c r="F271">
        <f>YEAR(B271)</f>
        <v>2015</v>
      </c>
      <c r="G271" t="str">
        <f>TEXT(B271,"MMMM")</f>
        <v>December</v>
      </c>
      <c r="H271" t="str">
        <f>TEXT(B271, "DDDD")</f>
        <v>Wednesday</v>
      </c>
      <c r="I271">
        <f>((D271+E271)/C271)*100</f>
        <v>3.9685790703838459</v>
      </c>
      <c r="J271">
        <f>(D271/C271)*1000</f>
        <v>32.999204838437628</v>
      </c>
      <c r="K271">
        <f>(E271/C271)*1000</f>
        <v>6.6865858654008337</v>
      </c>
      <c r="L271">
        <f>CORREL(C271:C769, D271:D769)</f>
        <v>0.92011509578855755</v>
      </c>
      <c r="M271">
        <f>CORREL(C271:C769,E271:E769)</f>
        <v>0.41031725530525021</v>
      </c>
      <c r="N271">
        <f>LEN(A271)</f>
        <v>20</v>
      </c>
      <c r="O271" t="str">
        <f>IF(ISNUMBER(SEARCH("$",A271)), "Money", IF(ISNUMBER(SEARCH("Win",A271)), "Challenge",IF(ISNUMBER(SEARCH("Challenge",A271)), "Challenge",IF(ISNUMBER(SEARCH("Last To Leave",A271)),"Challenge",IF(ISNUMBER(SEARCH("Giving Away", A271)),"Giveaway",IF(ISNUMBER(SEARCH("Stranded",A271)),"Survival", IF(ISNUMBER(SEARCH("Survive",A271)), "Survival", IF(ISNUMBER(SEARCH("Days",A271)),"Endurance","Other"))))))))</f>
        <v>Other</v>
      </c>
    </row>
    <row r="272" spans="1:15" x14ac:dyDescent="0.3">
      <c r="A272" t="s">
        <v>283</v>
      </c>
      <c r="B272" s="1">
        <v>42125</v>
      </c>
      <c r="C272" s="2">
        <v>82624</v>
      </c>
      <c r="D272" s="3">
        <v>2108</v>
      </c>
      <c r="E272" s="3">
        <v>246</v>
      </c>
      <c r="F272">
        <f>YEAR(B272)</f>
        <v>2015</v>
      </c>
      <c r="G272" t="str">
        <f>TEXT(B272,"MMMM")</f>
        <v>May</v>
      </c>
      <c r="H272" t="str">
        <f>TEXT(B272, "DDDD")</f>
        <v>Friday</v>
      </c>
      <c r="I272">
        <f>((D272+E272)/C272)*100</f>
        <v>2.8490511231603408</v>
      </c>
      <c r="J272">
        <f>(D272/C272)*1000</f>
        <v>25.513168086754455</v>
      </c>
      <c r="K272">
        <f>(E272/C272)*1000</f>
        <v>2.9773431448489545</v>
      </c>
      <c r="L272">
        <f>CORREL(C272:C770, D272:D770)</f>
        <v>0.91998648585870857</v>
      </c>
      <c r="M272">
        <f>CORREL(C272:C770,E272:E770)</f>
        <v>0.40910111206351313</v>
      </c>
      <c r="N272">
        <f>LEN(A272)</f>
        <v>11</v>
      </c>
      <c r="O272" t="str">
        <f>IF(ISNUMBER(SEARCH("$",A272)), "Money", IF(ISNUMBER(SEARCH("Win",A272)), "Challenge",IF(ISNUMBER(SEARCH("Challenge",A272)), "Challenge",IF(ISNUMBER(SEARCH("Last To Leave",A272)),"Challenge",IF(ISNUMBER(SEARCH("Giving Away", A272)),"Giveaway",IF(ISNUMBER(SEARCH("Stranded",A272)),"Survival", IF(ISNUMBER(SEARCH("Survive",A272)), "Survival", IF(ISNUMBER(SEARCH("Days",A272)),"Endurance","Other"))))))))</f>
        <v>Other</v>
      </c>
    </row>
    <row r="273" spans="1:15" x14ac:dyDescent="0.3">
      <c r="A273" t="s">
        <v>284</v>
      </c>
      <c r="B273" s="1">
        <v>42341</v>
      </c>
      <c r="C273" s="2">
        <v>82546</v>
      </c>
      <c r="D273" s="3">
        <v>3582</v>
      </c>
      <c r="E273" s="3">
        <v>333</v>
      </c>
      <c r="F273">
        <f>YEAR(B273)</f>
        <v>2015</v>
      </c>
      <c r="G273" t="str">
        <f>TEXT(B273,"MMMM")</f>
        <v>December</v>
      </c>
      <c r="H273" t="str">
        <f>TEXT(B273, "DDDD")</f>
        <v>Thursday</v>
      </c>
      <c r="I273">
        <f>((D273+E273)/C273)*100</f>
        <v>4.7428100695369855</v>
      </c>
      <c r="J273">
        <f>(D273/C273)*1000</f>
        <v>43.39398638334989</v>
      </c>
      <c r="K273">
        <f>(E273/C273)*1000</f>
        <v>4.0341143120199643</v>
      </c>
      <c r="L273">
        <f>CORREL(C273:C771, D273:D771)</f>
        <v>0.91990375089545651</v>
      </c>
      <c r="M273">
        <f>CORREL(C273:C771,E273:E771)</f>
        <v>0.40948470510795049</v>
      </c>
      <c r="N273">
        <f>LEN(A273)</f>
        <v>55</v>
      </c>
      <c r="O273" t="str">
        <f>IF(ISNUMBER(SEARCH("$",A273)), "Money", IF(ISNUMBER(SEARCH("Win",A273)), "Challenge",IF(ISNUMBER(SEARCH("Challenge",A273)), "Challenge",IF(ISNUMBER(SEARCH("Last To Leave",A273)),"Challenge",IF(ISNUMBER(SEARCH("Giving Away", A273)),"Giveaway",IF(ISNUMBER(SEARCH("Stranded",A273)),"Survival", IF(ISNUMBER(SEARCH("Survive",A273)), "Survival", IF(ISNUMBER(SEARCH("Days",A273)),"Endurance","Other"))))))))</f>
        <v>Other</v>
      </c>
    </row>
    <row r="274" spans="1:15" x14ac:dyDescent="0.3">
      <c r="A274" t="s">
        <v>285</v>
      </c>
      <c r="B274" s="1">
        <v>42326</v>
      </c>
      <c r="C274" s="2">
        <v>82066</v>
      </c>
      <c r="D274" s="3">
        <v>2560</v>
      </c>
      <c r="E274" s="3">
        <v>404</v>
      </c>
      <c r="F274">
        <f>YEAR(B274)</f>
        <v>2015</v>
      </c>
      <c r="G274" t="str">
        <f>TEXT(B274,"MMMM")</f>
        <v>November</v>
      </c>
      <c r="H274" t="str">
        <f>TEXT(B274, "DDDD")</f>
        <v>Wednesday</v>
      </c>
      <c r="I274">
        <f>((D274+E274)/C274)*100</f>
        <v>3.6117271464431071</v>
      </c>
      <c r="J274">
        <f>(D274/C274)*1000</f>
        <v>31.194404503692148</v>
      </c>
      <c r="K274">
        <f>(E274/C274)*1000</f>
        <v>4.9228669607389177</v>
      </c>
      <c r="L274">
        <f>CORREL(C274:C772, D274:D772)</f>
        <v>0.91989154432484599</v>
      </c>
      <c r="M274">
        <f>CORREL(C274:C772,E274:E772)</f>
        <v>0.40570114644765354</v>
      </c>
      <c r="N274">
        <f>LEN(A274)</f>
        <v>35</v>
      </c>
      <c r="O274" t="str">
        <f>IF(ISNUMBER(SEARCH("$",A274)), "Money", IF(ISNUMBER(SEARCH("Win",A274)), "Challenge",IF(ISNUMBER(SEARCH("Challenge",A274)), "Challenge",IF(ISNUMBER(SEARCH("Last To Leave",A274)),"Challenge",IF(ISNUMBER(SEARCH("Giving Away", A274)),"Giveaway",IF(ISNUMBER(SEARCH("Stranded",A274)),"Survival", IF(ISNUMBER(SEARCH("Survive",A274)), "Survival", IF(ISNUMBER(SEARCH("Days",A274)),"Endurance","Other"))))))))</f>
        <v>Other</v>
      </c>
    </row>
    <row r="275" spans="1:15" x14ac:dyDescent="0.3">
      <c r="A275" t="s">
        <v>286</v>
      </c>
      <c r="B275" s="1">
        <v>42101</v>
      </c>
      <c r="C275" s="2">
        <v>81159</v>
      </c>
      <c r="D275" s="3">
        <v>1225</v>
      </c>
      <c r="E275" s="3">
        <v>209</v>
      </c>
      <c r="F275">
        <f>YEAR(B275)</f>
        <v>2015</v>
      </c>
      <c r="G275" t="str">
        <f>TEXT(B275,"MMMM")</f>
        <v>April</v>
      </c>
      <c r="H275" t="str">
        <f>TEXT(B275, "DDDD")</f>
        <v>Tuesday</v>
      </c>
      <c r="I275">
        <f>((D275+E275)/C275)*100</f>
        <v>1.7669020071711086</v>
      </c>
      <c r="J275">
        <f>(D275/C275)*1000</f>
        <v>15.093828164467281</v>
      </c>
      <c r="K275">
        <f>(E275/C275)*1000</f>
        <v>2.5751919072438052</v>
      </c>
      <c r="L275">
        <f>CORREL(C275:C773, D275:D773)</f>
        <v>0.9197795221045304</v>
      </c>
      <c r="M275">
        <f>CORREL(C275:C773,E275:E773)</f>
        <v>0.40571362516881421</v>
      </c>
      <c r="N275">
        <f>LEN(A275)</f>
        <v>24</v>
      </c>
      <c r="O275" t="str">
        <f>IF(ISNUMBER(SEARCH("$",A275)), "Money", IF(ISNUMBER(SEARCH("Win",A275)), "Challenge",IF(ISNUMBER(SEARCH("Challenge",A275)), "Challenge",IF(ISNUMBER(SEARCH("Last To Leave",A275)),"Challenge",IF(ISNUMBER(SEARCH("Giving Away", A275)),"Giveaway",IF(ISNUMBER(SEARCH("Stranded",A275)),"Survival", IF(ISNUMBER(SEARCH("Survive",A275)), "Survival", IF(ISNUMBER(SEARCH("Days",A275)),"Endurance","Other"))))))))</f>
        <v>Other</v>
      </c>
    </row>
    <row r="276" spans="1:15" x14ac:dyDescent="0.3">
      <c r="A276" t="s">
        <v>287</v>
      </c>
      <c r="B276" s="1">
        <v>42237</v>
      </c>
      <c r="C276" s="2">
        <v>79798</v>
      </c>
      <c r="D276" s="3">
        <v>3274</v>
      </c>
      <c r="E276" s="3">
        <v>819</v>
      </c>
      <c r="F276">
        <f>YEAR(B276)</f>
        <v>2015</v>
      </c>
      <c r="G276" t="str">
        <f>TEXT(B276,"MMMM")</f>
        <v>August</v>
      </c>
      <c r="H276" t="str">
        <f>TEXT(B276, "DDDD")</f>
        <v>Friday</v>
      </c>
      <c r="I276">
        <f>((D276+E276)/C276)*100</f>
        <v>5.1292012331136121</v>
      </c>
      <c r="J276">
        <f>(D276/C276)*1000</f>
        <v>41.028597207950071</v>
      </c>
      <c r="K276">
        <f>(E276/C276)*1000</f>
        <v>10.263415123186045</v>
      </c>
      <c r="L276">
        <f>CORREL(C276:C774, D276:D774)</f>
        <v>0.91975549175028803</v>
      </c>
      <c r="M276">
        <f>CORREL(C276:C774,E276:E774)</f>
        <v>0.40544120360030111</v>
      </c>
      <c r="N276">
        <f>LEN(A276)</f>
        <v>55</v>
      </c>
      <c r="O276" t="str">
        <f>IF(ISNUMBER(SEARCH("$",A276)), "Money", IF(ISNUMBER(SEARCH("Win",A276)), "Challenge",IF(ISNUMBER(SEARCH("Challenge",A276)), "Challenge",IF(ISNUMBER(SEARCH("Last To Leave",A276)),"Challenge",IF(ISNUMBER(SEARCH("Giving Away", A276)),"Giveaway",IF(ISNUMBER(SEARCH("Stranded",A276)),"Survival", IF(ISNUMBER(SEARCH("Survive",A276)), "Survival", IF(ISNUMBER(SEARCH("Days",A276)),"Endurance","Other"))))))))</f>
        <v>Other</v>
      </c>
    </row>
    <row r="277" spans="1:15" x14ac:dyDescent="0.3">
      <c r="A277" t="s">
        <v>288</v>
      </c>
      <c r="B277" s="1">
        <v>42177</v>
      </c>
      <c r="C277" s="2">
        <v>78519</v>
      </c>
      <c r="D277" s="3">
        <v>1756</v>
      </c>
      <c r="E277" s="3">
        <v>171</v>
      </c>
      <c r="F277">
        <f>YEAR(B277)</f>
        <v>2015</v>
      </c>
      <c r="G277" t="str">
        <f>TEXT(B277,"MMMM")</f>
        <v>June</v>
      </c>
      <c r="H277" t="str">
        <f>TEXT(B277, "DDDD")</f>
        <v>Monday</v>
      </c>
      <c r="I277">
        <f>((D277+E277)/C277)*100</f>
        <v>2.4541830639717777</v>
      </c>
      <c r="J277">
        <f>(D277/C277)*1000</f>
        <v>22.36401380557572</v>
      </c>
      <c r="K277">
        <f>(E277/C277)*1000</f>
        <v>2.177816834142055</v>
      </c>
      <c r="L277">
        <f>CORREL(C277:C775, D277:D775)</f>
        <v>0.91938722402019479</v>
      </c>
      <c r="M277">
        <f>CORREL(C277:C775,E277:E775)</f>
        <v>0.40007257451910033</v>
      </c>
      <c r="N277">
        <f>LEN(A277)</f>
        <v>36</v>
      </c>
      <c r="O277" t="str">
        <f>IF(ISNUMBER(SEARCH("$",A277)), "Money", IF(ISNUMBER(SEARCH("Win",A277)), "Challenge",IF(ISNUMBER(SEARCH("Challenge",A277)), "Challenge",IF(ISNUMBER(SEARCH("Last To Leave",A277)),"Challenge",IF(ISNUMBER(SEARCH("Giving Away", A277)),"Giveaway",IF(ISNUMBER(SEARCH("Stranded",A277)),"Survival", IF(ISNUMBER(SEARCH("Survive",A277)), "Survival", IF(ISNUMBER(SEARCH("Days",A277)),"Endurance","Other"))))))))</f>
        <v>Other</v>
      </c>
    </row>
    <row r="278" spans="1:15" x14ac:dyDescent="0.3">
      <c r="A278" t="s">
        <v>289</v>
      </c>
      <c r="B278" s="1">
        <v>42206</v>
      </c>
      <c r="C278" s="2">
        <v>77700</v>
      </c>
      <c r="D278" s="3">
        <v>1307</v>
      </c>
      <c r="E278" s="3">
        <v>171</v>
      </c>
      <c r="F278">
        <f>YEAR(B278)</f>
        <v>2015</v>
      </c>
      <c r="G278" t="str">
        <f>TEXT(B278,"MMMM")</f>
        <v>July</v>
      </c>
      <c r="H278" t="str">
        <f>TEXT(B278, "DDDD")</f>
        <v>Tuesday</v>
      </c>
      <c r="I278">
        <f>((D278+E278)/C278)*100</f>
        <v>1.9021879021879022</v>
      </c>
      <c r="J278">
        <f>(D278/C278)*1000</f>
        <v>16.82110682110682</v>
      </c>
      <c r="K278">
        <f>(E278/C278)*1000</f>
        <v>2.2007722007722008</v>
      </c>
      <c r="L278">
        <f>CORREL(C278:C776, D278:D776)</f>
        <v>0.91929969898210373</v>
      </c>
      <c r="M278">
        <f>CORREL(C278:C776,E278:E776)</f>
        <v>0.39934326134386</v>
      </c>
      <c r="N278">
        <f>LEN(A278)</f>
        <v>41</v>
      </c>
      <c r="O278" t="str">
        <f>IF(ISNUMBER(SEARCH("$",A278)), "Money", IF(ISNUMBER(SEARCH("Win",A278)), "Challenge",IF(ISNUMBER(SEARCH("Challenge",A278)), "Challenge",IF(ISNUMBER(SEARCH("Last To Leave",A278)),"Challenge",IF(ISNUMBER(SEARCH("Giving Away", A278)),"Giveaway",IF(ISNUMBER(SEARCH("Stranded",A278)),"Survival", IF(ISNUMBER(SEARCH("Survive",A278)), "Survival", IF(ISNUMBER(SEARCH("Days",A278)),"Endurance","Other"))))))))</f>
        <v>Challenge</v>
      </c>
    </row>
    <row r="279" spans="1:15" x14ac:dyDescent="0.3">
      <c r="A279" t="s">
        <v>290</v>
      </c>
      <c r="B279" s="1">
        <v>42231</v>
      </c>
      <c r="C279" s="2">
        <v>74004</v>
      </c>
      <c r="D279" s="3">
        <v>2039</v>
      </c>
      <c r="E279" s="3">
        <v>162</v>
      </c>
      <c r="F279">
        <f>YEAR(B279)</f>
        <v>2015</v>
      </c>
      <c r="G279" t="str">
        <f>TEXT(B279,"MMMM")</f>
        <v>August</v>
      </c>
      <c r="H279" t="str">
        <f>TEXT(B279, "DDDD")</f>
        <v>Saturday</v>
      </c>
      <c r="I279">
        <f>((D279+E279)/C279)*100</f>
        <v>2.9741635587265556</v>
      </c>
      <c r="J279">
        <f>(D279/C279)*1000</f>
        <v>27.552564726231015</v>
      </c>
      <c r="K279">
        <f>(E279/C279)*1000</f>
        <v>2.1890708610345389</v>
      </c>
      <c r="L279">
        <f>CORREL(C279:C777, D279:D777)</f>
        <v>0.91805839818082047</v>
      </c>
      <c r="M279">
        <f>CORREL(C279:C777,E279:E777)</f>
        <v>0.39225188044751169</v>
      </c>
      <c r="N279">
        <f>LEN(A279)</f>
        <v>20</v>
      </c>
      <c r="O279" t="str">
        <f>IF(ISNUMBER(SEARCH("$",A279)), "Money", IF(ISNUMBER(SEARCH("Win",A279)), "Challenge",IF(ISNUMBER(SEARCH("Challenge",A279)), "Challenge",IF(ISNUMBER(SEARCH("Last To Leave",A279)),"Challenge",IF(ISNUMBER(SEARCH("Giving Away", A279)),"Giveaway",IF(ISNUMBER(SEARCH("Stranded",A279)),"Survival", IF(ISNUMBER(SEARCH("Survive",A279)), "Survival", IF(ISNUMBER(SEARCH("Days",A279)),"Endurance","Other"))))))))</f>
        <v>Other</v>
      </c>
    </row>
    <row r="280" spans="1:15" x14ac:dyDescent="0.3">
      <c r="A280" t="s">
        <v>291</v>
      </c>
      <c r="B280" s="1">
        <v>42265</v>
      </c>
      <c r="C280" s="2">
        <v>72892</v>
      </c>
      <c r="D280" s="3">
        <v>2267</v>
      </c>
      <c r="E280" s="3">
        <v>282</v>
      </c>
      <c r="F280">
        <f>YEAR(B280)</f>
        <v>2015</v>
      </c>
      <c r="G280" t="str">
        <f>TEXT(B280,"MMMM")</f>
        <v>September</v>
      </c>
      <c r="H280" t="str">
        <f>TEXT(B280, "DDDD")</f>
        <v>Friday</v>
      </c>
      <c r="I280">
        <f>((D280+E280)/C280)*100</f>
        <v>3.4969543982878779</v>
      </c>
      <c r="J280">
        <f>(D280/C280)*1000</f>
        <v>31.100806672885913</v>
      </c>
      <c r="K280">
        <f>(E280/C280)*1000</f>
        <v>3.8687373099928664</v>
      </c>
      <c r="L280">
        <f>CORREL(C280:C778, D280:D778)</f>
        <v>0.91689256674930419</v>
      </c>
      <c r="M280">
        <f>CORREL(C280:C778,E280:E778)</f>
        <v>0.3850445435402729</v>
      </c>
      <c r="N280">
        <f>LEN(A280)</f>
        <v>50</v>
      </c>
      <c r="O280" t="str">
        <f>IF(ISNUMBER(SEARCH("$",A280)), "Money", IF(ISNUMBER(SEARCH("Win",A280)), "Challenge",IF(ISNUMBER(SEARCH("Challenge",A280)), "Challenge",IF(ISNUMBER(SEARCH("Last To Leave",A280)),"Challenge",IF(ISNUMBER(SEARCH("Giving Away", A280)),"Giveaway",IF(ISNUMBER(SEARCH("Stranded",A280)),"Survival", IF(ISNUMBER(SEARCH("Survive",A280)), "Survival", IF(ISNUMBER(SEARCH("Days",A280)),"Endurance","Other"))))))))</f>
        <v>Other</v>
      </c>
    </row>
    <row r="281" spans="1:15" x14ac:dyDescent="0.3">
      <c r="A281" t="s">
        <v>292</v>
      </c>
      <c r="B281" s="1">
        <v>42095</v>
      </c>
      <c r="C281" s="2">
        <v>72158</v>
      </c>
      <c r="D281" s="3">
        <v>1842</v>
      </c>
      <c r="E281" s="3">
        <v>226</v>
      </c>
      <c r="F281">
        <f>YEAR(B281)</f>
        <v>2015</v>
      </c>
      <c r="G281" t="str">
        <f>TEXT(B281,"MMMM")</f>
        <v>April</v>
      </c>
      <c r="H281" t="str">
        <f>TEXT(B281, "DDDD")</f>
        <v>Wednesday</v>
      </c>
      <c r="I281">
        <f>((D281+E281)/C281)*100</f>
        <v>2.865933091271931</v>
      </c>
      <c r="J281">
        <f>(D281/C281)*1000</f>
        <v>25.527315058621358</v>
      </c>
      <c r="K281">
        <f>(E281/C281)*1000</f>
        <v>3.1320158540979519</v>
      </c>
      <c r="L281">
        <f>CORREL(C281:C779, D281:D779)</f>
        <v>0.9174542480003397</v>
      </c>
      <c r="M281">
        <f>CORREL(C281:C779,E281:E779)</f>
        <v>0.37835946853724617</v>
      </c>
      <c r="N281">
        <f>LEN(A281)</f>
        <v>25</v>
      </c>
      <c r="O281" t="str">
        <f>IF(ISNUMBER(SEARCH("$",A281)), "Money", IF(ISNUMBER(SEARCH("Win",A281)), "Challenge",IF(ISNUMBER(SEARCH("Challenge",A281)), "Challenge",IF(ISNUMBER(SEARCH("Last To Leave",A281)),"Challenge",IF(ISNUMBER(SEARCH("Giving Away", A281)),"Giveaway",IF(ISNUMBER(SEARCH("Stranded",A281)),"Survival", IF(ISNUMBER(SEARCH("Survive",A281)), "Survival", IF(ISNUMBER(SEARCH("Days",A281)),"Endurance","Other"))))))))</f>
        <v>Other</v>
      </c>
    </row>
    <row r="282" spans="1:15" x14ac:dyDescent="0.3">
      <c r="A282" t="s">
        <v>293</v>
      </c>
      <c r="B282" s="1">
        <v>42302</v>
      </c>
      <c r="C282" s="2">
        <v>71499</v>
      </c>
      <c r="D282" s="3">
        <v>1789</v>
      </c>
      <c r="E282" s="3">
        <v>222</v>
      </c>
      <c r="F282">
        <f>YEAR(B282)</f>
        <v>2015</v>
      </c>
      <c r="G282" t="str">
        <f>TEXT(B282,"MMMM")</f>
        <v>October</v>
      </c>
      <c r="H282" t="str">
        <f>TEXT(B282, "DDDD")</f>
        <v>Sunday</v>
      </c>
      <c r="I282">
        <f>((D282+E282)/C282)*100</f>
        <v>2.8126267500244757</v>
      </c>
      <c r="J282">
        <f>(D282/C282)*1000</f>
        <v>25.021328969635938</v>
      </c>
      <c r="K282">
        <f>(E282/C282)*1000</f>
        <v>3.1049385306088197</v>
      </c>
      <c r="L282">
        <f>CORREL(C282:C780, D282:D780)</f>
        <v>0.91827843156525013</v>
      </c>
      <c r="M282">
        <f>CORREL(C282:C780,E282:E780)</f>
        <v>0.37196276855699323</v>
      </c>
      <c r="N282">
        <f>LEN(A282)</f>
        <v>57</v>
      </c>
      <c r="O282" t="str">
        <f>IF(ISNUMBER(SEARCH("$",A282)), "Money", IF(ISNUMBER(SEARCH("Win",A282)), "Challenge",IF(ISNUMBER(SEARCH("Challenge",A282)), "Challenge",IF(ISNUMBER(SEARCH("Last To Leave",A282)),"Challenge",IF(ISNUMBER(SEARCH("Giving Away", A282)),"Giveaway",IF(ISNUMBER(SEARCH("Stranded",A282)),"Survival", IF(ISNUMBER(SEARCH("Survive",A282)), "Survival", IF(ISNUMBER(SEARCH("Days",A282)),"Endurance","Other"))))))))</f>
        <v>Other</v>
      </c>
    </row>
    <row r="283" spans="1:15" x14ac:dyDescent="0.3">
      <c r="A283" t="s">
        <v>294</v>
      </c>
      <c r="B283" s="1">
        <v>42131</v>
      </c>
      <c r="C283" s="2">
        <v>71297</v>
      </c>
      <c r="D283" s="3">
        <v>1800</v>
      </c>
      <c r="E283" s="3">
        <v>219</v>
      </c>
      <c r="F283">
        <f>YEAR(B283)</f>
        <v>2015</v>
      </c>
      <c r="G283" t="str">
        <f>TEXT(B283,"MMMM")</f>
        <v>May</v>
      </c>
      <c r="H283" t="str">
        <f>TEXT(B283, "DDDD")</f>
        <v>Thursday</v>
      </c>
      <c r="I283">
        <f>((D283+E283)/C283)*100</f>
        <v>2.8318162054504397</v>
      </c>
      <c r="J283">
        <f>(D283/C283)*1000</f>
        <v>25.246504060479403</v>
      </c>
      <c r="K283">
        <f>(E283/C283)*1000</f>
        <v>3.071657994024994</v>
      </c>
      <c r="L283">
        <f>CORREL(C283:C781, D283:D781)</f>
        <v>0.91778734659582262</v>
      </c>
      <c r="M283">
        <f>CORREL(C283:C781,E283:E781)</f>
        <v>0.36552223886518237</v>
      </c>
      <c r="N283">
        <f>LEN(A283)</f>
        <v>25</v>
      </c>
      <c r="O283" t="str">
        <f>IF(ISNUMBER(SEARCH("$",A283)), "Money", IF(ISNUMBER(SEARCH("Win",A283)), "Challenge",IF(ISNUMBER(SEARCH("Challenge",A283)), "Challenge",IF(ISNUMBER(SEARCH("Last To Leave",A283)),"Challenge",IF(ISNUMBER(SEARCH("Giving Away", A283)),"Giveaway",IF(ISNUMBER(SEARCH("Stranded",A283)),"Survival", IF(ISNUMBER(SEARCH("Survive",A283)), "Survival", IF(ISNUMBER(SEARCH("Days",A283)),"Endurance","Other"))))))))</f>
        <v>Other</v>
      </c>
    </row>
    <row r="284" spans="1:15" x14ac:dyDescent="0.3">
      <c r="A284" t="s">
        <v>295</v>
      </c>
      <c r="B284" s="1">
        <v>42188</v>
      </c>
      <c r="C284" s="2">
        <v>70919</v>
      </c>
      <c r="D284" s="3">
        <v>1231</v>
      </c>
      <c r="E284" s="3">
        <v>181</v>
      </c>
      <c r="F284">
        <f>YEAR(B284)</f>
        <v>2015</v>
      </c>
      <c r="G284" t="str">
        <f>TEXT(B284,"MMMM")</f>
        <v>July</v>
      </c>
      <c r="H284" t="str">
        <f>TEXT(B284, "DDDD")</f>
        <v>Friday</v>
      </c>
      <c r="I284">
        <f>((D284+E284)/C284)*100</f>
        <v>1.9910038212608752</v>
      </c>
      <c r="J284">
        <f>(D284/C284)*1000</f>
        <v>17.357830764675192</v>
      </c>
      <c r="K284">
        <f>(E284/C284)*1000</f>
        <v>2.5522074479335584</v>
      </c>
      <c r="L284">
        <f>CORREL(C284:C782, D284:D782)</f>
        <v>0.91724125553846148</v>
      </c>
      <c r="M284">
        <f>CORREL(C284:C782,E284:E782)</f>
        <v>0.35922999064419792</v>
      </c>
      <c r="N284">
        <f>LEN(A284)</f>
        <v>40</v>
      </c>
      <c r="O284" t="str">
        <f>IF(ISNUMBER(SEARCH("$",A284)), "Money", IF(ISNUMBER(SEARCH("Win",A284)), "Challenge",IF(ISNUMBER(SEARCH("Challenge",A284)), "Challenge",IF(ISNUMBER(SEARCH("Last To Leave",A284)),"Challenge",IF(ISNUMBER(SEARCH("Giving Away", A284)),"Giveaway",IF(ISNUMBER(SEARCH("Stranded",A284)),"Survival", IF(ISNUMBER(SEARCH("Survive",A284)), "Survival", IF(ISNUMBER(SEARCH("Days",A284)),"Endurance","Other"))))))))</f>
        <v>Other</v>
      </c>
    </row>
    <row r="285" spans="1:15" x14ac:dyDescent="0.3">
      <c r="A285" t="s">
        <v>296</v>
      </c>
      <c r="B285" s="1">
        <v>42152</v>
      </c>
      <c r="C285" s="2">
        <v>70565</v>
      </c>
      <c r="D285" s="3">
        <v>1296</v>
      </c>
      <c r="E285" s="3">
        <v>265</v>
      </c>
      <c r="F285">
        <f>YEAR(B285)</f>
        <v>2015</v>
      </c>
      <c r="G285" t="str">
        <f>TEXT(B285,"MMMM")</f>
        <v>May</v>
      </c>
      <c r="H285" t="str">
        <f>TEXT(B285, "DDDD")</f>
        <v>Thursday</v>
      </c>
      <c r="I285">
        <f>((D285+E285)/C285)*100</f>
        <v>2.212144831006873</v>
      </c>
      <c r="J285">
        <f>(D285/C285)*1000</f>
        <v>18.366045489973786</v>
      </c>
      <c r="K285">
        <f>(E285/C285)*1000</f>
        <v>3.7554028200949476</v>
      </c>
      <c r="L285">
        <f>CORREL(C285:C783, D285:D783)</f>
        <v>0.91802760675297734</v>
      </c>
      <c r="M285">
        <f>CORREL(C285:C783,E285:E783)</f>
        <v>0.35561884581507308</v>
      </c>
      <c r="N285">
        <f>LEN(A285)</f>
        <v>23</v>
      </c>
      <c r="O285" t="str">
        <f>IF(ISNUMBER(SEARCH("$",A285)), "Money", IF(ISNUMBER(SEARCH("Win",A285)), "Challenge",IF(ISNUMBER(SEARCH("Challenge",A285)), "Challenge",IF(ISNUMBER(SEARCH("Last To Leave",A285)),"Challenge",IF(ISNUMBER(SEARCH("Giving Away", A285)),"Giveaway",IF(ISNUMBER(SEARCH("Stranded",A285)),"Survival", IF(ISNUMBER(SEARCH("Survive",A285)), "Survival", IF(ISNUMBER(SEARCH("Days",A285)),"Endurance","Other"))))))))</f>
        <v>Other</v>
      </c>
    </row>
    <row r="286" spans="1:15" x14ac:dyDescent="0.3">
      <c r="A286" t="s">
        <v>297</v>
      </c>
      <c r="B286" s="1">
        <v>42069</v>
      </c>
      <c r="C286" s="2">
        <v>70238</v>
      </c>
      <c r="D286" s="3">
        <v>1579</v>
      </c>
      <c r="E286" s="3">
        <v>177</v>
      </c>
      <c r="F286">
        <f>YEAR(B286)</f>
        <v>2015</v>
      </c>
      <c r="G286" t="str">
        <f>TEXT(B286,"MMMM")</f>
        <v>March</v>
      </c>
      <c r="H286" t="str">
        <f>TEXT(B286, "DDDD")</f>
        <v>Friday</v>
      </c>
      <c r="I286">
        <f>((D286+E286)/C286)*100</f>
        <v>2.5000711865372023</v>
      </c>
      <c r="J286">
        <f>(D286/C286)*1000</f>
        <v>22.480708448418234</v>
      </c>
      <c r="K286">
        <f>(E286/C286)*1000</f>
        <v>2.5200034169537857</v>
      </c>
      <c r="L286">
        <f>CORREL(C286:C784, D286:D784)</f>
        <v>0.91864308689072316</v>
      </c>
      <c r="M286">
        <f>CORREL(C286:C784,E286:E784)</f>
        <v>0.3514524237302023</v>
      </c>
      <c r="N286">
        <f>LEN(A286)</f>
        <v>30</v>
      </c>
      <c r="O286" t="str">
        <f>IF(ISNUMBER(SEARCH("$",A286)), "Money", IF(ISNUMBER(SEARCH("Win",A286)), "Challenge",IF(ISNUMBER(SEARCH("Challenge",A286)), "Challenge",IF(ISNUMBER(SEARCH("Last To Leave",A286)),"Challenge",IF(ISNUMBER(SEARCH("Giving Away", A286)),"Giveaway",IF(ISNUMBER(SEARCH("Stranded",A286)),"Survival", IF(ISNUMBER(SEARCH("Survive",A286)), "Survival", IF(ISNUMBER(SEARCH("Days",A286)),"Endurance","Other"))))))))</f>
        <v>Other</v>
      </c>
    </row>
    <row r="287" spans="1:15" x14ac:dyDescent="0.3">
      <c r="A287" t="s">
        <v>298</v>
      </c>
      <c r="B287" s="1">
        <v>42201</v>
      </c>
      <c r="C287" s="2">
        <v>69465</v>
      </c>
      <c r="D287" s="3">
        <v>1612</v>
      </c>
      <c r="E287" s="3">
        <v>205</v>
      </c>
      <c r="F287">
        <f>YEAR(B287)</f>
        <v>2015</v>
      </c>
      <c r="G287" t="str">
        <f>TEXT(B287,"MMMM")</f>
        <v>July</v>
      </c>
      <c r="H287" t="str">
        <f>TEXT(B287, "DDDD")</f>
        <v>Thursday</v>
      </c>
      <c r="I287">
        <f>((D287+E287)/C287)*100</f>
        <v>2.6157057510976753</v>
      </c>
      <c r="J287">
        <f>(D287/C287)*1000</f>
        <v>23.205931044410857</v>
      </c>
      <c r="K287">
        <f>(E287/C287)*1000</f>
        <v>2.9511264665658965</v>
      </c>
      <c r="L287">
        <f>CORREL(C287:C785, D287:D785)</f>
        <v>0.91841380975400755</v>
      </c>
      <c r="M287">
        <f>CORREL(C287:C785,E287:E785)</f>
        <v>0.34795133418885488</v>
      </c>
      <c r="N287">
        <f>LEN(A287)</f>
        <v>34</v>
      </c>
      <c r="O287" t="str">
        <f>IF(ISNUMBER(SEARCH("$",A287)), "Money", IF(ISNUMBER(SEARCH("Win",A287)), "Challenge",IF(ISNUMBER(SEARCH("Challenge",A287)), "Challenge",IF(ISNUMBER(SEARCH("Last To Leave",A287)),"Challenge",IF(ISNUMBER(SEARCH("Giving Away", A287)),"Giveaway",IF(ISNUMBER(SEARCH("Stranded",A287)),"Survival", IF(ISNUMBER(SEARCH("Survive",A287)), "Survival", IF(ISNUMBER(SEARCH("Days",A287)),"Endurance","Other"))))))))</f>
        <v>Other</v>
      </c>
    </row>
    <row r="288" spans="1:15" x14ac:dyDescent="0.3">
      <c r="A288" t="s">
        <v>299</v>
      </c>
      <c r="B288" s="1">
        <v>42291</v>
      </c>
      <c r="C288" s="2">
        <v>69332</v>
      </c>
      <c r="D288" s="3">
        <v>2178</v>
      </c>
      <c r="E288" s="3">
        <v>242</v>
      </c>
      <c r="F288">
        <f>YEAR(B288)</f>
        <v>2015</v>
      </c>
      <c r="G288" t="str">
        <f>TEXT(B288,"MMMM")</f>
        <v>October</v>
      </c>
      <c r="H288" t="str">
        <f>TEXT(B288, "DDDD")</f>
        <v>Wednesday</v>
      </c>
      <c r="I288">
        <f>((D288+E288)/C288)*100</f>
        <v>3.4904517394565278</v>
      </c>
      <c r="J288">
        <f>(D288/C288)*1000</f>
        <v>31.41406565510875</v>
      </c>
      <c r="K288">
        <f>(E288/C288)*1000</f>
        <v>3.4904517394565282</v>
      </c>
      <c r="L288">
        <f>CORREL(C288:C786, D288:D786)</f>
        <v>0.91856316416376071</v>
      </c>
      <c r="M288">
        <f>CORREL(C288:C786,E288:E786)</f>
        <v>0.3439747896576541</v>
      </c>
      <c r="N288">
        <f>LEN(A288)</f>
        <v>44</v>
      </c>
      <c r="O288" t="str">
        <f>IF(ISNUMBER(SEARCH("$",A288)), "Money", IF(ISNUMBER(SEARCH("Win",A288)), "Challenge",IF(ISNUMBER(SEARCH("Challenge",A288)), "Challenge",IF(ISNUMBER(SEARCH("Last To Leave",A288)),"Challenge",IF(ISNUMBER(SEARCH("Giving Away", A288)),"Giveaway",IF(ISNUMBER(SEARCH("Stranded",A288)),"Survival", IF(ISNUMBER(SEARCH("Survive",A288)), "Survival", IF(ISNUMBER(SEARCH("Days",A288)),"Endurance","Other"))))))))</f>
        <v>Other</v>
      </c>
    </row>
    <row r="289" spans="1:15" x14ac:dyDescent="0.3">
      <c r="A289" t="s">
        <v>300</v>
      </c>
      <c r="B289" s="1">
        <v>42188</v>
      </c>
      <c r="C289" s="2">
        <v>68402</v>
      </c>
      <c r="D289" s="3">
        <v>1299</v>
      </c>
      <c r="E289" s="3">
        <v>183</v>
      </c>
      <c r="F289">
        <f>YEAR(B289)</f>
        <v>2015</v>
      </c>
      <c r="G289" t="str">
        <f>TEXT(B289,"MMMM")</f>
        <v>July</v>
      </c>
      <c r="H289" t="str">
        <f>TEXT(B289, "DDDD")</f>
        <v>Friday</v>
      </c>
      <c r="I289">
        <f>((D289+E289)/C289)*100</f>
        <v>2.1666033156925235</v>
      </c>
      <c r="J289">
        <f>(D289/C289)*1000</f>
        <v>18.9906727873454</v>
      </c>
      <c r="K289">
        <f>(E289/C289)*1000</f>
        <v>2.6753603695798365</v>
      </c>
      <c r="L289">
        <f>CORREL(C289:C787, D289:D787)</f>
        <v>0.91919019046617922</v>
      </c>
      <c r="M289">
        <f>CORREL(C289:C787,E289:E787)</f>
        <v>0.34033247545604361</v>
      </c>
      <c r="N289">
        <f>LEN(A289)</f>
        <v>31</v>
      </c>
      <c r="O289" t="str">
        <f>IF(ISNUMBER(SEARCH("$",A289)), "Money", IF(ISNUMBER(SEARCH("Win",A289)), "Challenge",IF(ISNUMBER(SEARCH("Challenge",A289)), "Challenge",IF(ISNUMBER(SEARCH("Last To Leave",A289)),"Challenge",IF(ISNUMBER(SEARCH("Giving Away", A289)),"Giveaway",IF(ISNUMBER(SEARCH("Stranded",A289)),"Survival", IF(ISNUMBER(SEARCH("Survive",A289)), "Survival", IF(ISNUMBER(SEARCH("Days",A289)),"Endurance","Other"))))))))</f>
        <v>Other</v>
      </c>
    </row>
    <row r="290" spans="1:15" x14ac:dyDescent="0.3">
      <c r="A290" t="s">
        <v>301</v>
      </c>
      <c r="B290" s="1">
        <v>42084</v>
      </c>
      <c r="C290" s="2">
        <v>67386</v>
      </c>
      <c r="D290" s="3">
        <v>1393</v>
      </c>
      <c r="E290" s="3">
        <v>226</v>
      </c>
      <c r="F290">
        <f>YEAR(B290)</f>
        <v>2015</v>
      </c>
      <c r="G290" t="str">
        <f>TEXT(B290,"MMMM")</f>
        <v>March</v>
      </c>
      <c r="H290" t="str">
        <f>TEXT(B290, "DDDD")</f>
        <v>Saturday</v>
      </c>
      <c r="I290">
        <f>((D290+E290)/C290)*100</f>
        <v>2.4025762027720892</v>
      </c>
      <c r="J290">
        <f>(D290/C290)*1000</f>
        <v>20.671949663134775</v>
      </c>
      <c r="K290">
        <f>(E290/C290)*1000</f>
        <v>3.353812364586116</v>
      </c>
      <c r="L290">
        <f>CORREL(C290:C788, D290:D788)</f>
        <v>0.91890693434922111</v>
      </c>
      <c r="M290">
        <f>CORREL(C290:C788,E290:E788)</f>
        <v>0.33647543472250618</v>
      </c>
      <c r="N290">
        <f>LEN(A290)</f>
        <v>23</v>
      </c>
      <c r="O290" t="str">
        <f>IF(ISNUMBER(SEARCH("$",A290)), "Money", IF(ISNUMBER(SEARCH("Win",A290)), "Challenge",IF(ISNUMBER(SEARCH("Challenge",A290)), "Challenge",IF(ISNUMBER(SEARCH("Last To Leave",A290)),"Challenge",IF(ISNUMBER(SEARCH("Giving Away", A290)),"Giveaway",IF(ISNUMBER(SEARCH("Stranded",A290)),"Survival", IF(ISNUMBER(SEARCH("Survive",A290)), "Survival", IF(ISNUMBER(SEARCH("Days",A290)),"Endurance","Other"))))))))</f>
        <v>Other</v>
      </c>
    </row>
    <row r="291" spans="1:15" x14ac:dyDescent="0.3">
      <c r="A291" t="s">
        <v>302</v>
      </c>
      <c r="B291" s="1">
        <v>42242</v>
      </c>
      <c r="C291" s="2">
        <v>66874</v>
      </c>
      <c r="D291" s="3">
        <v>1864</v>
      </c>
      <c r="E291" s="3">
        <v>226</v>
      </c>
      <c r="F291">
        <f>YEAR(B291)</f>
        <v>2015</v>
      </c>
      <c r="G291" t="str">
        <f>TEXT(B291,"MMMM")</f>
        <v>August</v>
      </c>
      <c r="H291" t="str">
        <f>TEXT(B291, "DDDD")</f>
        <v>Wednesday</v>
      </c>
      <c r="I291">
        <f>((D291+E291)/C291)*100</f>
        <v>3.1252803780243443</v>
      </c>
      <c r="J291">
        <f>(D291/C291)*1000</f>
        <v>27.873313993480277</v>
      </c>
      <c r="K291">
        <f>(E291/C291)*1000</f>
        <v>3.3794897867631666</v>
      </c>
      <c r="L291">
        <f>CORREL(C291:C789, D291:D789)</f>
        <v>0.91907273155466607</v>
      </c>
      <c r="M291">
        <f>CORREL(C291:C789,E291:E789)</f>
        <v>0.33478666120783346</v>
      </c>
      <c r="N291">
        <f>LEN(A291)</f>
        <v>34</v>
      </c>
      <c r="O291" t="str">
        <f>IF(ISNUMBER(SEARCH("$",A291)), "Money", IF(ISNUMBER(SEARCH("Win",A291)), "Challenge",IF(ISNUMBER(SEARCH("Challenge",A291)), "Challenge",IF(ISNUMBER(SEARCH("Last To Leave",A291)),"Challenge",IF(ISNUMBER(SEARCH("Giving Away", A291)),"Giveaway",IF(ISNUMBER(SEARCH("Stranded",A291)),"Survival", IF(ISNUMBER(SEARCH("Survive",A291)), "Survival", IF(ISNUMBER(SEARCH("Days",A291)),"Endurance","Other"))))))))</f>
        <v>Other</v>
      </c>
    </row>
    <row r="292" spans="1:15" x14ac:dyDescent="0.3">
      <c r="A292" t="s">
        <v>303</v>
      </c>
      <c r="B292" s="1">
        <v>42061</v>
      </c>
      <c r="C292" s="2">
        <v>66547</v>
      </c>
      <c r="D292" s="3">
        <v>1576</v>
      </c>
      <c r="E292" s="3">
        <v>238</v>
      </c>
      <c r="F292">
        <f>YEAR(B292)</f>
        <v>2015</v>
      </c>
      <c r="G292" t="str">
        <f>TEXT(B292,"MMMM")</f>
        <v>February</v>
      </c>
      <c r="H292" t="str">
        <f>TEXT(B292, "DDDD")</f>
        <v>Thursday</v>
      </c>
      <c r="I292">
        <f>((D292+E292)/C292)*100</f>
        <v>2.725892977895322</v>
      </c>
      <c r="J292">
        <f>(D292/C292)*1000</f>
        <v>23.682510105639622</v>
      </c>
      <c r="K292">
        <f>(E292/C292)*1000</f>
        <v>3.5764196733135978</v>
      </c>
      <c r="L292">
        <f>CORREL(C292:C790, D292:D790)</f>
        <v>0.91923422791310705</v>
      </c>
      <c r="M292">
        <f>CORREL(C292:C790,E292:E790)</f>
        <v>0.33306252973546568</v>
      </c>
      <c r="N292">
        <f>LEN(A292)</f>
        <v>40</v>
      </c>
      <c r="O292" t="str">
        <f>IF(ISNUMBER(SEARCH("$",A292)), "Money", IF(ISNUMBER(SEARCH("Win",A292)), "Challenge",IF(ISNUMBER(SEARCH("Challenge",A292)), "Challenge",IF(ISNUMBER(SEARCH("Last To Leave",A292)),"Challenge",IF(ISNUMBER(SEARCH("Giving Away", A292)),"Giveaway",IF(ISNUMBER(SEARCH("Stranded",A292)),"Survival", IF(ISNUMBER(SEARCH("Survive",A292)), "Survival", IF(ISNUMBER(SEARCH("Days",A292)),"Endurance","Other"))))))))</f>
        <v>Other</v>
      </c>
    </row>
    <row r="293" spans="1:15" x14ac:dyDescent="0.3">
      <c r="A293" t="s">
        <v>304</v>
      </c>
      <c r="B293" s="1">
        <v>42063</v>
      </c>
      <c r="C293" s="2">
        <v>66499</v>
      </c>
      <c r="D293" s="3">
        <v>1637</v>
      </c>
      <c r="E293" s="3">
        <v>588</v>
      </c>
      <c r="F293">
        <f>YEAR(B293)</f>
        <v>2015</v>
      </c>
      <c r="G293" t="str">
        <f>TEXT(B293,"MMMM")</f>
        <v>February</v>
      </c>
      <c r="H293" t="str">
        <f>TEXT(B293, "DDDD")</f>
        <v>Saturday</v>
      </c>
      <c r="I293">
        <f>((D293+E293)/C293)*100</f>
        <v>3.3459149761650551</v>
      </c>
      <c r="J293">
        <f>(D293/C293)*1000</f>
        <v>24.616911532504247</v>
      </c>
      <c r="K293">
        <f>(E293/C293)*1000</f>
        <v>8.8422382291463038</v>
      </c>
      <c r="L293">
        <f>CORREL(C293:C791, D293:D791)</f>
        <v>0.91953393204735112</v>
      </c>
      <c r="M293">
        <f>CORREL(C293:C791,E293:E791)</f>
        <v>0.3308270715342303</v>
      </c>
      <c r="N293">
        <f>LEN(A293)</f>
        <v>25</v>
      </c>
      <c r="O293" t="str">
        <f>IF(ISNUMBER(SEARCH("$",A293)), "Money", IF(ISNUMBER(SEARCH("Win",A293)), "Challenge",IF(ISNUMBER(SEARCH("Challenge",A293)), "Challenge",IF(ISNUMBER(SEARCH("Last To Leave",A293)),"Challenge",IF(ISNUMBER(SEARCH("Giving Away", A293)),"Giveaway",IF(ISNUMBER(SEARCH("Stranded",A293)),"Survival", IF(ISNUMBER(SEARCH("Survive",A293)), "Survival", IF(ISNUMBER(SEARCH("Days",A293)),"Endurance","Other"))))))))</f>
        <v>Other</v>
      </c>
    </row>
    <row r="294" spans="1:15" x14ac:dyDescent="0.3">
      <c r="A294" t="s">
        <v>305</v>
      </c>
      <c r="B294" s="1">
        <v>42225</v>
      </c>
      <c r="C294" s="2">
        <v>66370</v>
      </c>
      <c r="D294" s="3">
        <v>1561</v>
      </c>
      <c r="E294" s="3">
        <v>310</v>
      </c>
      <c r="F294">
        <f>YEAR(B294)</f>
        <v>2015</v>
      </c>
      <c r="G294" t="str">
        <f>TEXT(B294,"MMMM")</f>
        <v>August</v>
      </c>
      <c r="H294" t="str">
        <f>TEXT(B294, "DDDD")</f>
        <v>Sunday</v>
      </c>
      <c r="I294">
        <f>((D294+E294)/C294)*100</f>
        <v>2.8190447491336448</v>
      </c>
      <c r="J294">
        <f>(D294/C294)*1000</f>
        <v>23.519662498116617</v>
      </c>
      <c r="K294">
        <f>(E294/C294)*1000</f>
        <v>4.6707849932198284</v>
      </c>
      <c r="L294">
        <f>CORREL(C294:C792, D294:D792)</f>
        <v>0.91885559979056608</v>
      </c>
      <c r="M294">
        <f>CORREL(C294:C792,E294:E792)</f>
        <v>0.33279247417772562</v>
      </c>
      <c r="N294">
        <f>LEN(A294)</f>
        <v>18</v>
      </c>
      <c r="O294" t="str">
        <f>IF(ISNUMBER(SEARCH("$",A294)), "Money", IF(ISNUMBER(SEARCH("Win",A294)), "Challenge",IF(ISNUMBER(SEARCH("Challenge",A294)), "Challenge",IF(ISNUMBER(SEARCH("Last To Leave",A294)),"Challenge",IF(ISNUMBER(SEARCH("Giving Away", A294)),"Giveaway",IF(ISNUMBER(SEARCH("Stranded",A294)),"Survival", IF(ISNUMBER(SEARCH("Survive",A294)), "Survival", IF(ISNUMBER(SEARCH("Days",A294)),"Endurance","Other"))))))))</f>
        <v>Endurance</v>
      </c>
    </row>
    <row r="295" spans="1:15" x14ac:dyDescent="0.3">
      <c r="A295" t="s">
        <v>306</v>
      </c>
      <c r="B295" s="1">
        <v>42107</v>
      </c>
      <c r="C295" s="2">
        <v>66333</v>
      </c>
      <c r="D295" s="3">
        <v>1424</v>
      </c>
      <c r="E295" s="3">
        <v>197</v>
      </c>
      <c r="F295">
        <f>YEAR(B295)</f>
        <v>2015</v>
      </c>
      <c r="G295" t="str">
        <f>TEXT(B295,"MMMM")</f>
        <v>April</v>
      </c>
      <c r="H295" t="str">
        <f>TEXT(B295, "DDDD")</f>
        <v>Monday</v>
      </c>
      <c r="I295">
        <f>((D295+E295)/C295)*100</f>
        <v>2.4437308730194625</v>
      </c>
      <c r="J295">
        <f>(D295/C295)*1000</f>
        <v>21.467444560022916</v>
      </c>
      <c r="K295">
        <f>(E295/C295)*1000</f>
        <v>2.969864170171709</v>
      </c>
      <c r="L295">
        <f>CORREL(C295:C793, D295:D793)</f>
        <v>0.91914527054783046</v>
      </c>
      <c r="M295">
        <f>CORREL(C295:C793,E295:E793)</f>
        <v>0.33045710670285394</v>
      </c>
      <c r="N295">
        <f>LEN(A295)</f>
        <v>25</v>
      </c>
      <c r="O295" t="str">
        <f>IF(ISNUMBER(SEARCH("$",A295)), "Money", IF(ISNUMBER(SEARCH("Win",A295)), "Challenge",IF(ISNUMBER(SEARCH("Challenge",A295)), "Challenge",IF(ISNUMBER(SEARCH("Last To Leave",A295)),"Challenge",IF(ISNUMBER(SEARCH("Giving Away", A295)),"Giveaway",IF(ISNUMBER(SEARCH("Stranded",A295)),"Survival", IF(ISNUMBER(SEARCH("Survive",A295)), "Survival", IF(ISNUMBER(SEARCH("Days",A295)),"Endurance","Other"))))))))</f>
        <v>Other</v>
      </c>
    </row>
    <row r="296" spans="1:15" x14ac:dyDescent="0.3">
      <c r="A296" t="s">
        <v>307</v>
      </c>
      <c r="B296" s="1">
        <v>42192</v>
      </c>
      <c r="C296" s="2">
        <v>65882</v>
      </c>
      <c r="D296" s="3">
        <v>1477</v>
      </c>
      <c r="E296" s="3">
        <v>265</v>
      </c>
      <c r="F296">
        <f>YEAR(B296)</f>
        <v>2015</v>
      </c>
      <c r="G296" t="str">
        <f>TEXT(B296,"MMMM")</f>
        <v>July</v>
      </c>
      <c r="H296" t="str">
        <f>TEXT(B296, "DDDD")</f>
        <v>Tuesday</v>
      </c>
      <c r="I296">
        <f>((D296+E296)/C296)*100</f>
        <v>2.6441213077927204</v>
      </c>
      <c r="J296">
        <f>(D296/C296)*1000</f>
        <v>22.418870101089826</v>
      </c>
      <c r="K296">
        <f>(E296/C296)*1000</f>
        <v>4.0223429768373755</v>
      </c>
      <c r="L296">
        <f>CORREL(C296:C794, D296:D794)</f>
        <v>0.91931400504139271</v>
      </c>
      <c r="M296">
        <f>CORREL(C296:C794,E296:E794)</f>
        <v>0.32852485063158104</v>
      </c>
      <c r="N296">
        <f>LEN(A296)</f>
        <v>37</v>
      </c>
      <c r="O296" t="str">
        <f>IF(ISNUMBER(SEARCH("$",A296)), "Money", IF(ISNUMBER(SEARCH("Win",A296)), "Challenge",IF(ISNUMBER(SEARCH("Challenge",A296)), "Challenge",IF(ISNUMBER(SEARCH("Last To Leave",A296)),"Challenge",IF(ISNUMBER(SEARCH("Giving Away", A296)),"Giveaway",IF(ISNUMBER(SEARCH("Stranded",A296)),"Survival", IF(ISNUMBER(SEARCH("Survive",A296)), "Survival", IF(ISNUMBER(SEARCH("Days",A296)),"Endurance","Other"))))))))</f>
        <v>Other</v>
      </c>
    </row>
    <row r="297" spans="1:15" x14ac:dyDescent="0.3">
      <c r="A297" t="s">
        <v>308</v>
      </c>
      <c r="B297" s="1">
        <v>42268</v>
      </c>
      <c r="C297" s="2">
        <v>65712</v>
      </c>
      <c r="D297" s="3">
        <v>2441</v>
      </c>
      <c r="E297" s="3">
        <v>271</v>
      </c>
      <c r="F297">
        <f>YEAR(B297)</f>
        <v>2015</v>
      </c>
      <c r="G297" t="str">
        <f>TEXT(B297,"MMMM")</f>
        <v>September</v>
      </c>
      <c r="H297" t="str">
        <f>TEXT(B297, "DDDD")</f>
        <v>Monday</v>
      </c>
      <c r="I297">
        <f>((D297+E297)/C297)*100</f>
        <v>4.1271000730460186</v>
      </c>
      <c r="J297">
        <f>(D297/C297)*1000</f>
        <v>37.14694424153884</v>
      </c>
      <c r="K297">
        <f>(E297/C297)*1000</f>
        <v>4.1240564889213536</v>
      </c>
      <c r="L297">
        <f>CORREL(C297:C795, D297:D795)</f>
        <v>0.91920125080034309</v>
      </c>
      <c r="M297">
        <f>CORREL(C297:C795,E297:E795)</f>
        <v>0.33252553301217291</v>
      </c>
      <c r="N297">
        <f>LEN(A297)</f>
        <v>34</v>
      </c>
      <c r="O297" t="str">
        <f>IF(ISNUMBER(SEARCH("$",A297)), "Money", IF(ISNUMBER(SEARCH("Win",A297)), "Challenge",IF(ISNUMBER(SEARCH("Challenge",A297)), "Challenge",IF(ISNUMBER(SEARCH("Last To Leave",A297)),"Challenge",IF(ISNUMBER(SEARCH("Giving Away", A297)),"Giveaway",IF(ISNUMBER(SEARCH("Stranded",A297)),"Survival", IF(ISNUMBER(SEARCH("Survive",A297)), "Survival", IF(ISNUMBER(SEARCH("Days",A297)),"Endurance","Other"))))))))</f>
        <v>Other</v>
      </c>
    </row>
    <row r="298" spans="1:15" x14ac:dyDescent="0.3">
      <c r="A298" t="s">
        <v>309</v>
      </c>
      <c r="B298" s="1">
        <v>42298</v>
      </c>
      <c r="C298" s="2">
        <v>65662</v>
      </c>
      <c r="D298" s="3">
        <v>2450</v>
      </c>
      <c r="E298" s="3">
        <v>210</v>
      </c>
      <c r="F298">
        <f>YEAR(B298)</f>
        <v>2015</v>
      </c>
      <c r="G298" t="str">
        <f>TEXT(B298,"MMMM")</f>
        <v>October</v>
      </c>
      <c r="H298" t="str">
        <f>TEXT(B298, "DDDD")</f>
        <v>Wednesday</v>
      </c>
      <c r="I298">
        <f>((D298+E298)/C298)*100</f>
        <v>4.0510493131491572</v>
      </c>
      <c r="J298">
        <f>(D298/C298)*1000</f>
        <v>37.31229630532119</v>
      </c>
      <c r="K298">
        <f>(E298/C298)*1000</f>
        <v>3.1981968261703875</v>
      </c>
      <c r="L298">
        <f>CORREL(C298:C796, D298:D796)</f>
        <v>0.91938764887933944</v>
      </c>
      <c r="M298">
        <f>CORREL(C298:C796,E298:E796)</f>
        <v>0.33050083663271435</v>
      </c>
      <c r="N298">
        <f>LEN(A298)</f>
        <v>63</v>
      </c>
      <c r="O298" t="str">
        <f>IF(ISNUMBER(SEARCH("$",A298)), "Money", IF(ISNUMBER(SEARCH("Win",A298)), "Challenge",IF(ISNUMBER(SEARCH("Challenge",A298)), "Challenge",IF(ISNUMBER(SEARCH("Last To Leave",A298)),"Challenge",IF(ISNUMBER(SEARCH("Giving Away", A298)),"Giveaway",IF(ISNUMBER(SEARCH("Stranded",A298)),"Survival", IF(ISNUMBER(SEARCH("Survive",A298)), "Survival", IF(ISNUMBER(SEARCH("Days",A298)),"Endurance","Other"))))))))</f>
        <v>Other</v>
      </c>
    </row>
    <row r="299" spans="1:15" x14ac:dyDescent="0.3">
      <c r="A299" t="s">
        <v>310</v>
      </c>
      <c r="B299" s="1">
        <v>42273</v>
      </c>
      <c r="C299" s="2">
        <v>65447</v>
      </c>
      <c r="D299" s="3">
        <v>2298</v>
      </c>
      <c r="E299" s="3">
        <v>325</v>
      </c>
      <c r="F299">
        <f>YEAR(B299)</f>
        <v>2015</v>
      </c>
      <c r="G299" t="str">
        <f>TEXT(B299,"MMMM")</f>
        <v>September</v>
      </c>
      <c r="H299" t="str">
        <f>TEXT(B299, "DDDD")</f>
        <v>Saturday</v>
      </c>
      <c r="I299">
        <f>((D299+E299)/C299)*100</f>
        <v>4.0078231240545783</v>
      </c>
      <c r="J299">
        <f>(D299/C299)*1000</f>
        <v>35.11238101058872</v>
      </c>
      <c r="K299">
        <f>(E299/C299)*1000</f>
        <v>4.9658502299570646</v>
      </c>
      <c r="L299">
        <f>CORREL(C299:C797, D299:D797)</f>
        <v>0.91918005034087547</v>
      </c>
      <c r="M299">
        <f>CORREL(C299:C797,E299:E797)</f>
        <v>0.32861390119003553</v>
      </c>
      <c r="N299">
        <f>LEN(A299)</f>
        <v>43</v>
      </c>
      <c r="O299" t="str">
        <f>IF(ISNUMBER(SEARCH("$",A299)), "Money", IF(ISNUMBER(SEARCH("Win",A299)), "Challenge",IF(ISNUMBER(SEARCH("Challenge",A299)), "Challenge",IF(ISNUMBER(SEARCH("Last To Leave",A299)),"Challenge",IF(ISNUMBER(SEARCH("Giving Away", A299)),"Giveaway",IF(ISNUMBER(SEARCH("Stranded",A299)),"Survival", IF(ISNUMBER(SEARCH("Survive",A299)), "Survival", IF(ISNUMBER(SEARCH("Days",A299)),"Endurance","Other"))))))))</f>
        <v>Other</v>
      </c>
    </row>
    <row r="300" spans="1:15" x14ac:dyDescent="0.3">
      <c r="A300" t="s">
        <v>311</v>
      </c>
      <c r="B300" s="1">
        <v>42134</v>
      </c>
      <c r="C300" s="2">
        <v>65423</v>
      </c>
      <c r="D300" s="3">
        <v>1757</v>
      </c>
      <c r="E300" s="3">
        <v>337</v>
      </c>
      <c r="F300">
        <f>YEAR(B300)</f>
        <v>2015</v>
      </c>
      <c r="G300" t="str">
        <f>TEXT(B300,"MMMM")</f>
        <v>May</v>
      </c>
      <c r="H300" t="str">
        <f>TEXT(B300, "DDDD")</f>
        <v>Sunday</v>
      </c>
      <c r="I300">
        <f>((D300+E300)/C300)*100</f>
        <v>3.200709230698684</v>
      </c>
      <c r="J300">
        <f>(D300/C300)*1000</f>
        <v>26.855998654907292</v>
      </c>
      <c r="K300">
        <f>(E300/C300)*1000</f>
        <v>5.1510936520795436</v>
      </c>
      <c r="L300">
        <f>CORREL(C300:C798, D300:D798)</f>
        <v>0.91868030624170427</v>
      </c>
      <c r="M300">
        <f>CORREL(C300:C798,E300:E798)</f>
        <v>0.32968177034642243</v>
      </c>
      <c r="N300">
        <f>LEN(A300)</f>
        <v>63</v>
      </c>
      <c r="O300" t="str">
        <f>IF(ISNUMBER(SEARCH("$",A300)), "Money", IF(ISNUMBER(SEARCH("Win",A300)), "Challenge",IF(ISNUMBER(SEARCH("Challenge",A300)), "Challenge",IF(ISNUMBER(SEARCH("Last To Leave",A300)),"Challenge",IF(ISNUMBER(SEARCH("Giving Away", A300)),"Giveaway",IF(ISNUMBER(SEARCH("Stranded",A300)),"Survival", IF(ISNUMBER(SEARCH("Survive",A300)), "Survival", IF(ISNUMBER(SEARCH("Days",A300)),"Endurance","Other"))))))))</f>
        <v>Money</v>
      </c>
    </row>
    <row r="301" spans="1:15" x14ac:dyDescent="0.3">
      <c r="A301" t="s">
        <v>312</v>
      </c>
      <c r="B301" s="1">
        <v>42153</v>
      </c>
      <c r="C301" s="2">
        <v>65383</v>
      </c>
      <c r="D301" s="3">
        <v>1502</v>
      </c>
      <c r="E301" s="3">
        <v>252</v>
      </c>
      <c r="F301">
        <f>YEAR(B301)</f>
        <v>2015</v>
      </c>
      <c r="G301" t="str">
        <f>TEXT(B301,"MMMM")</f>
        <v>May</v>
      </c>
      <c r="H301" t="str">
        <f>TEXT(B301, "DDDD")</f>
        <v>Friday</v>
      </c>
      <c r="I301">
        <f>((D301+E301)/C301)*100</f>
        <v>2.6826545126409007</v>
      </c>
      <c r="J301">
        <f>(D301/C301)*1000</f>
        <v>22.972332257620483</v>
      </c>
      <c r="K301">
        <f>(E301/C301)*1000</f>
        <v>3.8542128687885229</v>
      </c>
      <c r="L301">
        <f>CORREL(C301:C799, D301:D799)</f>
        <v>0.91819078432855916</v>
      </c>
      <c r="M301">
        <f>CORREL(C301:C799,E301:E799)</f>
        <v>0.32683971462424449</v>
      </c>
      <c r="N301">
        <f>LEN(A301)</f>
        <v>48</v>
      </c>
      <c r="O301" t="str">
        <f>IF(ISNUMBER(SEARCH("$",A301)), "Money", IF(ISNUMBER(SEARCH("Win",A301)), "Challenge",IF(ISNUMBER(SEARCH("Challenge",A301)), "Challenge",IF(ISNUMBER(SEARCH("Last To Leave",A301)),"Challenge",IF(ISNUMBER(SEARCH("Giving Away", A301)),"Giveaway",IF(ISNUMBER(SEARCH("Stranded",A301)),"Survival", IF(ISNUMBER(SEARCH("Survive",A301)), "Survival", IF(ISNUMBER(SEARCH("Days",A301)),"Endurance","Other"))))))))</f>
        <v>Other</v>
      </c>
    </row>
    <row r="302" spans="1:15" x14ac:dyDescent="0.3">
      <c r="A302" t="s">
        <v>313</v>
      </c>
      <c r="B302" s="1">
        <v>42127</v>
      </c>
      <c r="C302" s="2">
        <v>65223</v>
      </c>
      <c r="D302" s="3">
        <v>1668</v>
      </c>
      <c r="E302" s="3">
        <v>340</v>
      </c>
      <c r="F302">
        <f>YEAR(B302)</f>
        <v>2015</v>
      </c>
      <c r="G302" t="str">
        <f>TEXT(B302,"MMMM")</f>
        <v>May</v>
      </c>
      <c r="H302" t="str">
        <f>TEXT(B302, "DDDD")</f>
        <v>Sunday</v>
      </c>
      <c r="I302">
        <f>((D302+E302)/C302)*100</f>
        <v>3.0786685678364996</v>
      </c>
      <c r="J302">
        <f>(D302/C302)*1000</f>
        <v>25.573800653143827</v>
      </c>
      <c r="K302">
        <f>(E302/C302)*1000</f>
        <v>5.2128850252211638</v>
      </c>
      <c r="L302">
        <f>CORREL(C302:C800, D302:D800)</f>
        <v>0.9182600604921024</v>
      </c>
      <c r="M302">
        <f>CORREL(C302:C800,E302:E800)</f>
        <v>0.32419900829079773</v>
      </c>
      <c r="N302">
        <f>LEN(A302)</f>
        <v>36</v>
      </c>
      <c r="O302" t="str">
        <f>IF(ISNUMBER(SEARCH("$",A302)), "Money", IF(ISNUMBER(SEARCH("Win",A302)), "Challenge",IF(ISNUMBER(SEARCH("Challenge",A302)), "Challenge",IF(ISNUMBER(SEARCH("Last To Leave",A302)),"Challenge",IF(ISNUMBER(SEARCH("Giving Away", A302)),"Giveaway",IF(ISNUMBER(SEARCH("Stranded",A302)),"Survival", IF(ISNUMBER(SEARCH("Survive",A302)), "Survival", IF(ISNUMBER(SEARCH("Days",A302)),"Endurance","Other"))))))))</f>
        <v>Other</v>
      </c>
    </row>
    <row r="303" spans="1:15" x14ac:dyDescent="0.3">
      <c r="A303" t="s">
        <v>314</v>
      </c>
      <c r="B303" s="1">
        <v>42234</v>
      </c>
      <c r="C303" s="2">
        <v>65209</v>
      </c>
      <c r="D303" s="3">
        <v>1812</v>
      </c>
      <c r="E303" s="3">
        <v>309</v>
      </c>
      <c r="F303">
        <f>YEAR(B303)</f>
        <v>2015</v>
      </c>
      <c r="G303" t="str">
        <f>TEXT(B303,"MMMM")</f>
        <v>August</v>
      </c>
      <c r="H303" t="str">
        <f>TEXT(B303, "DDDD")</f>
        <v>Tuesday</v>
      </c>
      <c r="I303">
        <f>((D303+E303)/C303)*100</f>
        <v>3.252618503580794</v>
      </c>
      <c r="J303">
        <f>(D303/C303)*1000</f>
        <v>27.787575334693063</v>
      </c>
      <c r="K303">
        <f>(E303/C303)*1000</f>
        <v>4.7386097011148767</v>
      </c>
      <c r="L303">
        <f>CORREL(C303:C801, D303:D801)</f>
        <v>0.91828193747503017</v>
      </c>
      <c r="M303">
        <f>CORREL(C303:C801,E303:E801)</f>
        <v>0.32263430974173812</v>
      </c>
      <c r="N303">
        <f>LEN(A303)</f>
        <v>45</v>
      </c>
      <c r="O303" t="str">
        <f>IF(ISNUMBER(SEARCH("$",A303)), "Money", IF(ISNUMBER(SEARCH("Win",A303)), "Challenge",IF(ISNUMBER(SEARCH("Challenge",A303)), "Challenge",IF(ISNUMBER(SEARCH("Last To Leave",A303)),"Challenge",IF(ISNUMBER(SEARCH("Giving Away", A303)),"Giveaway",IF(ISNUMBER(SEARCH("Stranded",A303)),"Survival", IF(ISNUMBER(SEARCH("Survive",A303)), "Survival", IF(ISNUMBER(SEARCH("Days",A303)),"Endurance","Other"))))))))</f>
        <v>Other</v>
      </c>
    </row>
    <row r="304" spans="1:15" x14ac:dyDescent="0.3">
      <c r="A304" t="s">
        <v>315</v>
      </c>
      <c r="B304" s="1">
        <v>42120</v>
      </c>
      <c r="C304" s="2">
        <v>65146</v>
      </c>
      <c r="D304" s="3">
        <v>1872</v>
      </c>
      <c r="E304" s="3">
        <v>404</v>
      </c>
      <c r="F304">
        <f>YEAR(B304)</f>
        <v>2015</v>
      </c>
      <c r="G304" t="str">
        <f>TEXT(B304,"MMMM")</f>
        <v>April</v>
      </c>
      <c r="H304" t="str">
        <f>TEXT(B304, "DDDD")</f>
        <v>Sunday</v>
      </c>
      <c r="I304">
        <f>((D304+E304)/C304)*100</f>
        <v>3.4936910938507348</v>
      </c>
      <c r="J304">
        <f>(D304/C304)*1000</f>
        <v>28.735455745556134</v>
      </c>
      <c r="K304">
        <f>(E304/C304)*1000</f>
        <v>6.2014551929512169</v>
      </c>
      <c r="L304">
        <f>CORREL(C304:C802, D304:D802)</f>
        <v>0.91838922847216153</v>
      </c>
      <c r="M304">
        <f>CORREL(C304:C802,E304:E802)</f>
        <v>0.32032462228461817</v>
      </c>
      <c r="N304">
        <f>LEN(A304)</f>
        <v>26</v>
      </c>
      <c r="O304" t="str">
        <f>IF(ISNUMBER(SEARCH("$",A304)), "Money", IF(ISNUMBER(SEARCH("Win",A304)), "Challenge",IF(ISNUMBER(SEARCH("Challenge",A304)), "Challenge",IF(ISNUMBER(SEARCH("Last To Leave",A304)),"Challenge",IF(ISNUMBER(SEARCH("Giving Away", A304)),"Giveaway",IF(ISNUMBER(SEARCH("Stranded",A304)),"Survival", IF(ISNUMBER(SEARCH("Survive",A304)), "Survival", IF(ISNUMBER(SEARCH("Days",A304)),"Endurance","Other"))))))))</f>
        <v>Other</v>
      </c>
    </row>
    <row r="305" spans="1:15" x14ac:dyDescent="0.3">
      <c r="A305" t="s">
        <v>316</v>
      </c>
      <c r="B305" s="1">
        <v>42138</v>
      </c>
      <c r="C305" s="2">
        <v>65108</v>
      </c>
      <c r="D305" s="3">
        <v>1939</v>
      </c>
      <c r="E305" s="3">
        <v>300</v>
      </c>
      <c r="F305">
        <f>YEAR(B305)</f>
        <v>2015</v>
      </c>
      <c r="G305" t="str">
        <f>TEXT(B305,"MMMM")</f>
        <v>May</v>
      </c>
      <c r="H305" t="str">
        <f>TEXT(B305, "DDDD")</f>
        <v>Thursday</v>
      </c>
      <c r="I305">
        <f>((D305+E305)/C305)*100</f>
        <v>3.4389015174786506</v>
      </c>
      <c r="J305">
        <f>(D305/C305)*1000</f>
        <v>29.781286477852184</v>
      </c>
      <c r="K305">
        <f>(E305/C305)*1000</f>
        <v>4.6077286969343243</v>
      </c>
      <c r="L305">
        <f>CORREL(C305:C803, D305:D803)</f>
        <v>0.91790851264920603</v>
      </c>
      <c r="M305">
        <f>CORREL(C305:C803,E305:E803)</f>
        <v>0.32044106413677936</v>
      </c>
      <c r="N305">
        <f>LEN(A305)</f>
        <v>44</v>
      </c>
      <c r="O305" t="str">
        <f>IF(ISNUMBER(SEARCH("$",A305)), "Money", IF(ISNUMBER(SEARCH("Win",A305)), "Challenge",IF(ISNUMBER(SEARCH("Challenge",A305)), "Challenge",IF(ISNUMBER(SEARCH("Last To Leave",A305)),"Challenge",IF(ISNUMBER(SEARCH("Giving Away", A305)),"Giveaway",IF(ISNUMBER(SEARCH("Stranded",A305)),"Survival", IF(ISNUMBER(SEARCH("Survive",A305)), "Survival", IF(ISNUMBER(SEARCH("Days",A305)),"Endurance","Other"))))))))</f>
        <v>Other</v>
      </c>
    </row>
    <row r="306" spans="1:15" x14ac:dyDescent="0.3">
      <c r="A306" t="s">
        <v>317</v>
      </c>
      <c r="B306" s="1">
        <v>42263</v>
      </c>
      <c r="C306" s="2">
        <v>65089</v>
      </c>
      <c r="D306" s="3">
        <v>1830</v>
      </c>
      <c r="E306" s="3">
        <v>337</v>
      </c>
      <c r="F306">
        <f>YEAR(B306)</f>
        <v>2015</v>
      </c>
      <c r="G306" t="str">
        <f>TEXT(B306,"MMMM")</f>
        <v>September</v>
      </c>
      <c r="H306" t="str">
        <f>TEXT(B306, "DDDD")</f>
        <v>Wednesday</v>
      </c>
      <c r="I306">
        <f>((D306+E306)/C306)*100</f>
        <v>3.3292875908371613</v>
      </c>
      <c r="J306">
        <f>(D306/C306)*1000</f>
        <v>28.115349751878195</v>
      </c>
      <c r="K306">
        <f>(E306/C306)*1000</f>
        <v>5.1775261564934167</v>
      </c>
      <c r="L306">
        <f>CORREL(C306:C804, D306:D804)</f>
        <v>0.91560681780481712</v>
      </c>
      <c r="M306">
        <f>CORREL(C306:C804,E306:E804)</f>
        <v>0.30690661858131646</v>
      </c>
      <c r="N306">
        <f>LEN(A306)</f>
        <v>39</v>
      </c>
      <c r="O306" t="str">
        <f>IF(ISNUMBER(SEARCH("$",A306)), "Money", IF(ISNUMBER(SEARCH("Win",A306)), "Challenge",IF(ISNUMBER(SEARCH("Challenge",A306)), "Challenge",IF(ISNUMBER(SEARCH("Last To Leave",A306)),"Challenge",IF(ISNUMBER(SEARCH("Giving Away", A306)),"Giveaway",IF(ISNUMBER(SEARCH("Stranded",A306)),"Survival", IF(ISNUMBER(SEARCH("Survive",A306)), "Survival", IF(ISNUMBER(SEARCH("Days",A306)),"Endurance","Other"))))))))</f>
        <v>Money</v>
      </c>
    </row>
    <row r="307" spans="1:15" x14ac:dyDescent="0.3">
      <c r="A307" t="s">
        <v>318</v>
      </c>
      <c r="B307" s="1">
        <v>42145</v>
      </c>
      <c r="C307" s="2">
        <v>65077</v>
      </c>
      <c r="D307" s="3">
        <v>2532</v>
      </c>
      <c r="E307" s="3">
        <v>829</v>
      </c>
      <c r="F307">
        <f>YEAR(B307)</f>
        <v>2015</v>
      </c>
      <c r="G307" t="str">
        <f>TEXT(B307,"MMMM")</f>
        <v>May</v>
      </c>
      <c r="H307" t="str">
        <f>TEXT(B307, "DDDD")</f>
        <v>Thursday</v>
      </c>
      <c r="I307">
        <f>((D307+E307)/C307)*100</f>
        <v>5.1646511056133511</v>
      </c>
      <c r="J307">
        <f>(D307/C307)*1000</f>
        <v>38.907755428185069</v>
      </c>
      <c r="K307">
        <f>(E307/C307)*1000</f>
        <v>12.73875562794843</v>
      </c>
      <c r="L307">
        <f>CORREL(C307:C805, D307:D805)</f>
        <v>0.91530877362022522</v>
      </c>
      <c r="M307">
        <f>CORREL(C307:C805,E307:E805)</f>
        <v>0.30852965099948498</v>
      </c>
      <c r="N307">
        <f>LEN(A307)</f>
        <v>82</v>
      </c>
      <c r="O307" t="str">
        <f>IF(ISNUMBER(SEARCH("$",A307)), "Money", IF(ISNUMBER(SEARCH("Win",A307)), "Challenge",IF(ISNUMBER(SEARCH("Challenge",A307)), "Challenge",IF(ISNUMBER(SEARCH("Last To Leave",A307)),"Challenge",IF(ISNUMBER(SEARCH("Giving Away", A307)),"Giveaway",IF(ISNUMBER(SEARCH("Stranded",A307)),"Survival", IF(ISNUMBER(SEARCH("Survive",A307)), "Survival", IF(ISNUMBER(SEARCH("Days",A307)),"Endurance","Other"))))))))</f>
        <v>Other</v>
      </c>
    </row>
    <row r="308" spans="1:15" x14ac:dyDescent="0.3">
      <c r="A308" t="s">
        <v>319</v>
      </c>
      <c r="B308" s="1">
        <v>42254</v>
      </c>
      <c r="C308" s="2">
        <v>65071</v>
      </c>
      <c r="D308" s="3">
        <v>2292</v>
      </c>
      <c r="E308" s="3">
        <v>445</v>
      </c>
      <c r="F308">
        <f>YEAR(B308)</f>
        <v>2015</v>
      </c>
      <c r="G308" t="str">
        <f>TEXT(B308,"MMMM")</f>
        <v>September</v>
      </c>
      <c r="H308" t="str">
        <f>TEXT(B308, "DDDD")</f>
        <v>Monday</v>
      </c>
      <c r="I308">
        <f>((D308+E308)/C308)*100</f>
        <v>4.2061747936868965</v>
      </c>
      <c r="J308">
        <f>(D308/C308)*1000</f>
        <v>35.223064037743391</v>
      </c>
      <c r="K308">
        <f>(E308/C308)*1000</f>
        <v>6.838683899125571</v>
      </c>
      <c r="L308">
        <f>CORREL(C308:C806, D308:D806)</f>
        <v>0.91530026256146058</v>
      </c>
      <c r="M308">
        <f>CORREL(C308:C806,E308:E806)</f>
        <v>0.31021082858350585</v>
      </c>
      <c r="N308">
        <f>LEN(A308)</f>
        <v>38</v>
      </c>
      <c r="O308" t="str">
        <f>IF(ISNUMBER(SEARCH("$",A308)), "Money", IF(ISNUMBER(SEARCH("Win",A308)), "Challenge",IF(ISNUMBER(SEARCH("Challenge",A308)), "Challenge",IF(ISNUMBER(SEARCH("Last To Leave",A308)),"Challenge",IF(ISNUMBER(SEARCH("Giving Away", A308)),"Giveaway",IF(ISNUMBER(SEARCH("Stranded",A308)),"Survival", IF(ISNUMBER(SEARCH("Survive",A308)), "Survival", IF(ISNUMBER(SEARCH("Days",A308)),"Endurance","Other"))))))))</f>
        <v>Other</v>
      </c>
    </row>
    <row r="309" spans="1:15" x14ac:dyDescent="0.3">
      <c r="A309" t="s">
        <v>320</v>
      </c>
      <c r="B309" s="1">
        <v>42123</v>
      </c>
      <c r="C309" s="2">
        <v>65070</v>
      </c>
      <c r="D309" s="3">
        <v>1736</v>
      </c>
      <c r="E309" s="3">
        <v>315</v>
      </c>
      <c r="F309">
        <f>YEAR(B309)</f>
        <v>2015</v>
      </c>
      <c r="G309" t="str">
        <f>TEXT(B309,"MMMM")</f>
        <v>April</v>
      </c>
      <c r="H309" t="str">
        <f>TEXT(B309, "DDDD")</f>
        <v>Wednesday</v>
      </c>
      <c r="I309">
        <f>((D309+E309)/C309)*100</f>
        <v>3.1519901644382973</v>
      </c>
      <c r="J309">
        <f>(D309/C309)*1000</f>
        <v>26.678961118795144</v>
      </c>
      <c r="K309">
        <f>(E309/C309)*1000</f>
        <v>4.8409405255878291</v>
      </c>
      <c r="L309">
        <f>CORREL(C309:C807, D309:D807)</f>
        <v>0.91524293039307913</v>
      </c>
      <c r="M309">
        <f>CORREL(C309:C807,E309:E807)</f>
        <v>0.30810725780610054</v>
      </c>
      <c r="N309">
        <f>LEN(A309)</f>
        <v>10</v>
      </c>
      <c r="O309" t="str">
        <f>IF(ISNUMBER(SEARCH("$",A309)), "Money", IF(ISNUMBER(SEARCH("Win",A309)), "Challenge",IF(ISNUMBER(SEARCH("Challenge",A309)), "Challenge",IF(ISNUMBER(SEARCH("Last To Leave",A309)),"Challenge",IF(ISNUMBER(SEARCH("Giving Away", A309)),"Giveaway",IF(ISNUMBER(SEARCH("Stranded",A309)),"Survival", IF(ISNUMBER(SEARCH("Survive",A309)), "Survival", IF(ISNUMBER(SEARCH("Days",A309)),"Endurance","Other"))))))))</f>
        <v>Other</v>
      </c>
    </row>
    <row r="310" spans="1:15" x14ac:dyDescent="0.3">
      <c r="A310" t="s">
        <v>321</v>
      </c>
      <c r="B310" s="1">
        <v>42133</v>
      </c>
      <c r="C310" s="2">
        <v>65068</v>
      </c>
      <c r="D310" s="3">
        <v>1609</v>
      </c>
      <c r="E310" s="3">
        <v>348</v>
      </c>
      <c r="F310">
        <f>YEAR(B310)</f>
        <v>2015</v>
      </c>
      <c r="G310" t="str">
        <f>TEXT(B310,"MMMM")</f>
        <v>May</v>
      </c>
      <c r="H310" t="str">
        <f>TEXT(B310, "DDDD")</f>
        <v>Saturday</v>
      </c>
      <c r="I310">
        <f>((D310+E310)/C310)*100</f>
        <v>3.0076227946148646</v>
      </c>
      <c r="J310">
        <f>(D310/C310)*1000</f>
        <v>24.727976885719556</v>
      </c>
      <c r="K310">
        <f>(E310/C310)*1000</f>
        <v>5.3482510604290896</v>
      </c>
      <c r="L310">
        <f>CORREL(C310:C808, D310:D808)</f>
        <v>0.91519390927810862</v>
      </c>
      <c r="M310">
        <f>CORREL(C310:C808,E310:E808)</f>
        <v>0.30832900714311562</v>
      </c>
      <c r="N310">
        <f>LEN(A310)</f>
        <v>22</v>
      </c>
      <c r="O310" t="str">
        <f>IF(ISNUMBER(SEARCH("$",A310)), "Money", IF(ISNUMBER(SEARCH("Win",A310)), "Challenge",IF(ISNUMBER(SEARCH("Challenge",A310)), "Challenge",IF(ISNUMBER(SEARCH("Last To Leave",A310)),"Challenge",IF(ISNUMBER(SEARCH("Giving Away", A310)),"Giveaway",IF(ISNUMBER(SEARCH("Stranded",A310)),"Survival", IF(ISNUMBER(SEARCH("Survive",A310)), "Survival", IF(ISNUMBER(SEARCH("Days",A310)),"Endurance","Other"))))))))</f>
        <v>Other</v>
      </c>
    </row>
    <row r="311" spans="1:15" x14ac:dyDescent="0.3">
      <c r="A311" t="s">
        <v>322</v>
      </c>
      <c r="B311" s="1">
        <v>42214</v>
      </c>
      <c r="C311" s="2">
        <v>65067</v>
      </c>
      <c r="D311" s="3">
        <v>1746</v>
      </c>
      <c r="E311" s="3">
        <v>428</v>
      </c>
      <c r="F311">
        <f>YEAR(B311)</f>
        <v>2015</v>
      </c>
      <c r="G311" t="str">
        <f>TEXT(B311,"MMMM")</f>
        <v>July</v>
      </c>
      <c r="H311" t="str">
        <f>TEXT(B311, "DDDD")</f>
        <v>Wednesday</v>
      </c>
      <c r="I311">
        <f>((D311+E311)/C311)*100</f>
        <v>3.341171407933361</v>
      </c>
      <c r="J311">
        <f>(D311/C311)*1000</f>
        <v>26.83387892480059</v>
      </c>
      <c r="K311">
        <f>(E311/C311)*1000</f>
        <v>6.5778351545330196</v>
      </c>
      <c r="L311">
        <f>CORREL(C311:C809, D311:D809)</f>
        <v>0.91515472961202582</v>
      </c>
      <c r="M311">
        <f>CORREL(C311:C809,E311:E809)</f>
        <v>0.30637436921994948</v>
      </c>
      <c r="N311">
        <f>LEN(A311)</f>
        <v>36</v>
      </c>
      <c r="O311" t="str">
        <f>IF(ISNUMBER(SEARCH("$",A311)), "Money", IF(ISNUMBER(SEARCH("Win",A311)), "Challenge",IF(ISNUMBER(SEARCH("Challenge",A311)), "Challenge",IF(ISNUMBER(SEARCH("Last To Leave",A311)),"Challenge",IF(ISNUMBER(SEARCH("Giving Away", A311)),"Giveaway",IF(ISNUMBER(SEARCH("Stranded",A311)),"Survival", IF(ISNUMBER(SEARCH("Survive",A311)), "Survival", IF(ISNUMBER(SEARCH("Days",A311)),"Endurance","Other"))))))))</f>
        <v>Other</v>
      </c>
    </row>
    <row r="312" spans="1:15" x14ac:dyDescent="0.3">
      <c r="A312" t="s">
        <v>323</v>
      </c>
      <c r="B312" s="1">
        <v>42056</v>
      </c>
      <c r="C312" s="2">
        <v>65066</v>
      </c>
      <c r="D312" s="3">
        <v>1559</v>
      </c>
      <c r="E312" s="3">
        <v>375</v>
      </c>
      <c r="F312">
        <f>YEAR(B312)</f>
        <v>2015</v>
      </c>
      <c r="G312" t="str">
        <f>TEXT(B312,"MMMM")</f>
        <v>February</v>
      </c>
      <c r="H312" t="str">
        <f>TEXT(B312, "DDDD")</f>
        <v>Saturday</v>
      </c>
      <c r="I312">
        <f>((D312+E312)/C312)*100</f>
        <v>2.9723665201487717</v>
      </c>
      <c r="J312">
        <f>(D312/C312)*1000</f>
        <v>23.960286478345065</v>
      </c>
      <c r="K312">
        <f>(E312/C312)*1000</f>
        <v>5.7633787231426554</v>
      </c>
      <c r="L312">
        <f>CORREL(C312:C810, D312:D810)</f>
        <v>0.91489048275267315</v>
      </c>
      <c r="M312">
        <f>CORREL(C312:C810,E312:E810)</f>
        <v>0.30599420106215475</v>
      </c>
      <c r="N312">
        <f>LEN(A312)</f>
        <v>40</v>
      </c>
      <c r="O312" t="str">
        <f>IF(ISNUMBER(SEARCH("$",A312)), "Money", IF(ISNUMBER(SEARCH("Win",A312)), "Challenge",IF(ISNUMBER(SEARCH("Challenge",A312)), "Challenge",IF(ISNUMBER(SEARCH("Last To Leave",A312)),"Challenge",IF(ISNUMBER(SEARCH("Giving Away", A312)),"Giveaway",IF(ISNUMBER(SEARCH("Stranded",A312)),"Survival", IF(ISNUMBER(SEARCH("Survive",A312)), "Survival", IF(ISNUMBER(SEARCH("Days",A312)),"Endurance","Other"))))))))</f>
        <v>Other</v>
      </c>
    </row>
    <row r="313" spans="1:15" x14ac:dyDescent="0.3">
      <c r="A313" t="s">
        <v>324</v>
      </c>
      <c r="B313" s="1">
        <v>42215</v>
      </c>
      <c r="C313" s="2">
        <v>65065</v>
      </c>
      <c r="D313" s="3">
        <v>1633</v>
      </c>
      <c r="E313" s="3">
        <v>271</v>
      </c>
      <c r="F313">
        <f>YEAR(B313)</f>
        <v>2015</v>
      </c>
      <c r="G313" t="str">
        <f>TEXT(B313,"MMMM")</f>
        <v>July</v>
      </c>
      <c r="H313" t="str">
        <f>TEXT(B313, "DDDD")</f>
        <v>Thursday</v>
      </c>
      <c r="I313">
        <f>((D313+E313)/C313)*100</f>
        <v>2.926304464766003</v>
      </c>
      <c r="J313">
        <f>(D313/C313)*1000</f>
        <v>25.097978944132791</v>
      </c>
      <c r="K313">
        <f>(E313/C313)*1000</f>
        <v>4.1650657035272411</v>
      </c>
      <c r="L313">
        <f>CORREL(C313:C811, D313:D811)</f>
        <v>0.91471139189282213</v>
      </c>
      <c r="M313">
        <f>CORREL(C313:C811,E313:E811)</f>
        <v>0.30684197304452282</v>
      </c>
      <c r="N313">
        <f>LEN(A313)</f>
        <v>66</v>
      </c>
      <c r="O313" t="str">
        <f>IF(ISNUMBER(SEARCH("$",A313)), "Money", IF(ISNUMBER(SEARCH("Win",A313)), "Challenge",IF(ISNUMBER(SEARCH("Challenge",A313)), "Challenge",IF(ISNUMBER(SEARCH("Last To Leave",A313)),"Challenge",IF(ISNUMBER(SEARCH("Giving Away", A313)),"Giveaway",IF(ISNUMBER(SEARCH("Stranded",A313)),"Survival", IF(ISNUMBER(SEARCH("Survive",A313)), "Survival", IF(ISNUMBER(SEARCH("Days",A313)),"Endurance","Other"))))))))</f>
        <v>Other</v>
      </c>
    </row>
    <row r="314" spans="1:15" x14ac:dyDescent="0.3">
      <c r="A314" t="s">
        <v>325</v>
      </c>
      <c r="B314" s="1">
        <v>42139</v>
      </c>
      <c r="C314" s="2">
        <v>65064</v>
      </c>
      <c r="D314" s="3">
        <v>1311</v>
      </c>
      <c r="E314" s="3">
        <v>255</v>
      </c>
      <c r="F314">
        <f>YEAR(B314)</f>
        <v>2015</v>
      </c>
      <c r="G314" t="str">
        <f>TEXT(B314,"MMMM")</f>
        <v>May</v>
      </c>
      <c r="H314" t="str">
        <f>TEXT(B314, "DDDD")</f>
        <v>Friday</v>
      </c>
      <c r="I314">
        <f>((D314+E314)/C314)*100</f>
        <v>2.4068609369236444</v>
      </c>
      <c r="J314">
        <f>(D314/C314)*1000</f>
        <v>20.149391368498708</v>
      </c>
      <c r="K314">
        <f>(E314/C314)*1000</f>
        <v>3.9192180007377351</v>
      </c>
      <c r="L314">
        <f>CORREL(C314:C812, D314:D812)</f>
        <v>0.9147416857652495</v>
      </c>
      <c r="M314">
        <f>CORREL(C314:C812,E314:E812)</f>
        <v>0.30595715553774866</v>
      </c>
      <c r="N314">
        <f>LEN(A314)</f>
        <v>47</v>
      </c>
      <c r="O314" t="str">
        <f>IF(ISNUMBER(SEARCH("$",A314)), "Money", IF(ISNUMBER(SEARCH("Win",A314)), "Challenge",IF(ISNUMBER(SEARCH("Challenge",A314)), "Challenge",IF(ISNUMBER(SEARCH("Last To Leave",A314)),"Challenge",IF(ISNUMBER(SEARCH("Giving Away", A314)),"Giveaway",IF(ISNUMBER(SEARCH("Stranded",A314)),"Survival", IF(ISNUMBER(SEARCH("Survive",A314)), "Survival", IF(ISNUMBER(SEARCH("Days",A314)),"Endurance","Other"))))))))</f>
        <v>Other</v>
      </c>
    </row>
    <row r="315" spans="1:15" x14ac:dyDescent="0.3">
      <c r="A315" t="s">
        <v>326</v>
      </c>
      <c r="B315" s="1">
        <v>42193</v>
      </c>
      <c r="C315" s="2">
        <v>65064</v>
      </c>
      <c r="D315" s="3">
        <v>2211</v>
      </c>
      <c r="E315" s="3">
        <v>509</v>
      </c>
      <c r="F315">
        <f>YEAR(B315)</f>
        <v>2015</v>
      </c>
      <c r="G315" t="str">
        <f>TEXT(B315,"MMMM")</f>
        <v>July</v>
      </c>
      <c r="H315" t="str">
        <f>TEXT(B315, "DDDD")</f>
        <v>Wednesday</v>
      </c>
      <c r="I315">
        <f>((D315+E315)/C315)*100</f>
        <v>4.1804992007869179</v>
      </c>
      <c r="J315">
        <f>(D315/C315)*1000</f>
        <v>33.981925488749539</v>
      </c>
      <c r="K315">
        <f>(E315/C315)*1000</f>
        <v>7.823066519119636</v>
      </c>
      <c r="L315">
        <f>CORREL(C315:C813, D315:D813)</f>
        <v>0.91458634042020059</v>
      </c>
      <c r="M315">
        <f>CORREL(C315:C813,E315:E813)</f>
        <v>0.30644753218682425</v>
      </c>
      <c r="N315">
        <f>LEN(A315)</f>
        <v>54</v>
      </c>
      <c r="O315" t="str">
        <f>IF(ISNUMBER(SEARCH("$",A315)), "Money", IF(ISNUMBER(SEARCH("Win",A315)), "Challenge",IF(ISNUMBER(SEARCH("Challenge",A315)), "Challenge",IF(ISNUMBER(SEARCH("Last To Leave",A315)),"Challenge",IF(ISNUMBER(SEARCH("Giving Away", A315)),"Giveaway",IF(ISNUMBER(SEARCH("Stranded",A315)),"Survival", IF(ISNUMBER(SEARCH("Survive",A315)), "Survival", IF(ISNUMBER(SEARCH("Days",A315)),"Endurance","Other"))))))))</f>
        <v>Other</v>
      </c>
    </row>
    <row r="316" spans="1:15" x14ac:dyDescent="0.3">
      <c r="A316" t="s">
        <v>327</v>
      </c>
      <c r="B316" s="1">
        <v>42211</v>
      </c>
      <c r="C316" s="2">
        <v>65063</v>
      </c>
      <c r="D316" s="3">
        <v>1756</v>
      </c>
      <c r="E316" s="3">
        <v>281</v>
      </c>
      <c r="F316">
        <f>YEAR(B316)</f>
        <v>2015</v>
      </c>
      <c r="G316" t="str">
        <f>TEXT(B316,"MMMM")</f>
        <v>July</v>
      </c>
      <c r="H316" t="str">
        <f>TEXT(B316, "DDDD")</f>
        <v>Sunday</v>
      </c>
      <c r="I316">
        <f>((D316+E316)/C316)*100</f>
        <v>3.1308116748382337</v>
      </c>
      <c r="J316">
        <f>(D316/C316)*1000</f>
        <v>26.989225827275103</v>
      </c>
      <c r="K316">
        <f>(E316/C316)*1000</f>
        <v>4.3188909211072346</v>
      </c>
      <c r="L316">
        <f>CORREL(C316:C814, D316:D814)</f>
        <v>0.91447109913832736</v>
      </c>
      <c r="M316">
        <f>CORREL(C316:C814,E316:E814)</f>
        <v>0.30596555512850365</v>
      </c>
      <c r="N316">
        <f>LEN(A316)</f>
        <v>27</v>
      </c>
      <c r="O316" t="str">
        <f>IF(ISNUMBER(SEARCH("$",A316)), "Money", IF(ISNUMBER(SEARCH("Win",A316)), "Challenge",IF(ISNUMBER(SEARCH("Challenge",A316)), "Challenge",IF(ISNUMBER(SEARCH("Last To Leave",A316)),"Challenge",IF(ISNUMBER(SEARCH("Giving Away", A316)),"Giveaway",IF(ISNUMBER(SEARCH("Stranded",A316)),"Survival", IF(ISNUMBER(SEARCH("Survive",A316)), "Survival", IF(ISNUMBER(SEARCH("Days",A316)),"Endurance","Other"))))))))</f>
        <v>Other</v>
      </c>
    </row>
    <row r="317" spans="1:15" x14ac:dyDescent="0.3">
      <c r="A317" t="s">
        <v>328</v>
      </c>
      <c r="B317" s="1">
        <v>42209</v>
      </c>
      <c r="C317" s="2">
        <v>65063</v>
      </c>
      <c r="D317" s="3">
        <v>2375</v>
      </c>
      <c r="E317" s="3">
        <v>1152</v>
      </c>
      <c r="F317">
        <f>YEAR(B317)</f>
        <v>2015</v>
      </c>
      <c r="G317" t="str">
        <f>TEXT(B317,"MMMM")</f>
        <v>July</v>
      </c>
      <c r="H317" t="str">
        <f>TEXT(B317, "DDDD")</f>
        <v>Friday</v>
      </c>
      <c r="I317">
        <f>((D317+E317)/C317)*100</f>
        <v>5.4208997433256991</v>
      </c>
      <c r="J317">
        <f>(D317/C317)*1000</f>
        <v>36.50308162857538</v>
      </c>
      <c r="K317">
        <f>(E317/C317)*1000</f>
        <v>17.705915804681617</v>
      </c>
      <c r="L317">
        <f>CORREL(C317:C815, D317:D815)</f>
        <v>0.91440368006102701</v>
      </c>
      <c r="M317">
        <f>CORREL(C317:C815,E317:E815)</f>
        <v>0.30439966089962456</v>
      </c>
      <c r="N317">
        <f>LEN(A317)</f>
        <v>31</v>
      </c>
      <c r="O317" t="str">
        <f>IF(ISNUMBER(SEARCH("$",A317)), "Money", IF(ISNUMBER(SEARCH("Win",A317)), "Challenge",IF(ISNUMBER(SEARCH("Challenge",A317)), "Challenge",IF(ISNUMBER(SEARCH("Last To Leave",A317)),"Challenge",IF(ISNUMBER(SEARCH("Giving Away", A317)),"Giveaway",IF(ISNUMBER(SEARCH("Stranded",A317)),"Survival", IF(ISNUMBER(SEARCH("Survive",A317)), "Survival", IF(ISNUMBER(SEARCH("Days",A317)),"Endurance","Other"))))))))</f>
        <v>Other</v>
      </c>
    </row>
    <row r="318" spans="1:15" x14ac:dyDescent="0.3">
      <c r="A318" t="s">
        <v>329</v>
      </c>
      <c r="B318" s="1">
        <v>42204</v>
      </c>
      <c r="C318" s="2">
        <v>65063</v>
      </c>
      <c r="D318" s="3">
        <v>2000</v>
      </c>
      <c r="E318" s="3">
        <v>516</v>
      </c>
      <c r="F318">
        <f>YEAR(B318)</f>
        <v>2015</v>
      </c>
      <c r="G318" t="str">
        <f>TEXT(B318,"MMMM")</f>
        <v>July</v>
      </c>
      <c r="H318" t="str">
        <f>TEXT(B318, "DDDD")</f>
        <v>Sunday</v>
      </c>
      <c r="I318">
        <f>((D318+E318)/C318)*100</f>
        <v>3.867021194841922</v>
      </c>
      <c r="J318">
        <f>(D318/C318)*1000</f>
        <v>30.739437160905585</v>
      </c>
      <c r="K318">
        <f>(E318/C318)*1000</f>
        <v>7.9307747875136405</v>
      </c>
      <c r="L318">
        <f>CORREL(C318:C816, D318:D816)</f>
        <v>0.9143980913660279</v>
      </c>
      <c r="M318">
        <f>CORREL(C318:C816,E318:E816)</f>
        <v>0.3029072277738088</v>
      </c>
      <c r="N318">
        <f>LEN(A318)</f>
        <v>42</v>
      </c>
      <c r="O318" t="str">
        <f>IF(ISNUMBER(SEARCH("$",A318)), "Money", IF(ISNUMBER(SEARCH("Win",A318)), "Challenge",IF(ISNUMBER(SEARCH("Challenge",A318)), "Challenge",IF(ISNUMBER(SEARCH("Last To Leave",A318)),"Challenge",IF(ISNUMBER(SEARCH("Giving Away", A318)),"Giveaway",IF(ISNUMBER(SEARCH("Stranded",A318)),"Survival", IF(ISNUMBER(SEARCH("Survive",A318)), "Survival", IF(ISNUMBER(SEARCH("Days",A318)),"Endurance","Other"))))))))</f>
        <v>Other</v>
      </c>
    </row>
    <row r="319" spans="1:15" x14ac:dyDescent="0.3">
      <c r="A319" t="s">
        <v>330</v>
      </c>
      <c r="B319" s="1">
        <v>42246</v>
      </c>
      <c r="C319" s="2">
        <v>65062</v>
      </c>
      <c r="D319" s="3">
        <v>1950</v>
      </c>
      <c r="E319" s="3">
        <v>539</v>
      </c>
      <c r="F319">
        <f>YEAR(B319)</f>
        <v>2015</v>
      </c>
      <c r="G319" t="str">
        <f>TEXT(B319,"MMMM")</f>
        <v>August</v>
      </c>
      <c r="H319" t="str">
        <f>TEXT(B319, "DDDD")</f>
        <v>Sunday</v>
      </c>
      <c r="I319">
        <f>((D319+E319)/C319)*100</f>
        <v>3.8255817527896467</v>
      </c>
      <c r="J319">
        <f>(D319/C319)*1000</f>
        <v>29.971411884049061</v>
      </c>
      <c r="K319">
        <f>(E319/C319)*1000</f>
        <v>8.284405643847407</v>
      </c>
      <c r="L319">
        <f>CORREL(C319:C817, D319:D817)</f>
        <v>0.91427303317748798</v>
      </c>
      <c r="M319">
        <f>CORREL(C319:C817,E319:E817)</f>
        <v>0.30175071014354699</v>
      </c>
      <c r="N319">
        <f>LEN(A319)</f>
        <v>42</v>
      </c>
      <c r="O319" t="str">
        <f>IF(ISNUMBER(SEARCH("$",A319)), "Money", IF(ISNUMBER(SEARCH("Win",A319)), "Challenge",IF(ISNUMBER(SEARCH("Challenge",A319)), "Challenge",IF(ISNUMBER(SEARCH("Last To Leave",A319)),"Challenge",IF(ISNUMBER(SEARCH("Giving Away", A319)),"Giveaway",IF(ISNUMBER(SEARCH("Stranded",A319)),"Survival", IF(ISNUMBER(SEARCH("Survive",A319)), "Survival", IF(ISNUMBER(SEARCH("Days",A319)),"Endurance","Other"))))))))</f>
        <v>Other</v>
      </c>
    </row>
    <row r="320" spans="1:15" x14ac:dyDescent="0.3">
      <c r="A320" t="s">
        <v>331</v>
      </c>
      <c r="B320" s="1">
        <v>42244</v>
      </c>
      <c r="C320" s="2">
        <v>65060</v>
      </c>
      <c r="D320" s="3">
        <v>1717</v>
      </c>
      <c r="E320" s="3">
        <v>282</v>
      </c>
      <c r="F320">
        <f>YEAR(B320)</f>
        <v>2015</v>
      </c>
      <c r="G320" t="str">
        <f>TEXT(B320,"MMMM")</f>
        <v>August</v>
      </c>
      <c r="H320" t="str">
        <f>TEXT(B320, "DDDD")</f>
        <v>Friday</v>
      </c>
      <c r="I320">
        <f>((D320+E320)/C320)*100</f>
        <v>3.0725484168459882</v>
      </c>
      <c r="J320">
        <f>(D320/C320)*1000</f>
        <v>26.39102367045804</v>
      </c>
      <c r="K320">
        <f>(E320/C320)*1000</f>
        <v>4.3344604980018451</v>
      </c>
      <c r="L320">
        <f>CORREL(C320:C818, D320:D818)</f>
        <v>0.91406245590762347</v>
      </c>
      <c r="M320">
        <f>CORREL(C320:C818,E320:E818)</f>
        <v>0.30083041152051543</v>
      </c>
      <c r="N320">
        <f>LEN(A320)</f>
        <v>38</v>
      </c>
      <c r="O320" t="str">
        <f>IF(ISNUMBER(SEARCH("$",A320)), "Money", IF(ISNUMBER(SEARCH("Win",A320)), "Challenge",IF(ISNUMBER(SEARCH("Challenge",A320)), "Challenge",IF(ISNUMBER(SEARCH("Last To Leave",A320)),"Challenge",IF(ISNUMBER(SEARCH("Giving Away", A320)),"Giveaway",IF(ISNUMBER(SEARCH("Stranded",A320)),"Survival", IF(ISNUMBER(SEARCH("Survive",A320)), "Survival", IF(ISNUMBER(SEARCH("Days",A320)),"Endurance","Other"))))))))</f>
        <v>Other</v>
      </c>
    </row>
    <row r="321" spans="1:15" x14ac:dyDescent="0.3">
      <c r="A321" t="s">
        <v>332</v>
      </c>
      <c r="B321" s="1">
        <v>42172</v>
      </c>
      <c r="C321" s="2">
        <v>65060</v>
      </c>
      <c r="D321" s="3">
        <v>1597</v>
      </c>
      <c r="E321" s="3">
        <v>388</v>
      </c>
      <c r="F321">
        <f>YEAR(B321)</f>
        <v>2015</v>
      </c>
      <c r="G321" t="str">
        <f>TEXT(B321,"MMMM")</f>
        <v>June</v>
      </c>
      <c r="H321" t="str">
        <f>TEXT(B321, "DDDD")</f>
        <v>Wednesday</v>
      </c>
      <c r="I321">
        <f>((D321+E321)/C321)*100</f>
        <v>3.0510298186289577</v>
      </c>
      <c r="J321">
        <f>(D321/C321)*1000</f>
        <v>24.546572394712573</v>
      </c>
      <c r="K321">
        <f>(E321/C321)*1000</f>
        <v>5.9637257915770059</v>
      </c>
      <c r="L321">
        <f>CORREL(C321:C819, D321:D819)</f>
        <v>0.913534141366658</v>
      </c>
      <c r="M321">
        <f>CORREL(C321:C819,E321:E819)</f>
        <v>0.29968050471593849</v>
      </c>
      <c r="N321">
        <f>LEN(A321)</f>
        <v>39</v>
      </c>
      <c r="O321" t="str">
        <f>IF(ISNUMBER(SEARCH("$",A321)), "Money", IF(ISNUMBER(SEARCH("Win",A321)), "Challenge",IF(ISNUMBER(SEARCH("Challenge",A321)), "Challenge",IF(ISNUMBER(SEARCH("Last To Leave",A321)),"Challenge",IF(ISNUMBER(SEARCH("Giving Away", A321)),"Giveaway",IF(ISNUMBER(SEARCH("Stranded",A321)),"Survival", IF(ISNUMBER(SEARCH("Survive",A321)), "Survival", IF(ISNUMBER(SEARCH("Days",A321)),"Endurance","Other"))))))))</f>
        <v>Other</v>
      </c>
    </row>
    <row r="322" spans="1:15" x14ac:dyDescent="0.3">
      <c r="A322" t="s">
        <v>333</v>
      </c>
      <c r="B322" s="1">
        <v>42255</v>
      </c>
      <c r="C322" s="2">
        <v>65059</v>
      </c>
      <c r="D322" s="3">
        <v>4673</v>
      </c>
      <c r="E322" s="3">
        <v>920</v>
      </c>
      <c r="F322">
        <f>YEAR(B322)</f>
        <v>2015</v>
      </c>
      <c r="G322" t="str">
        <f>TEXT(B322,"MMMM")</f>
        <v>September</v>
      </c>
      <c r="H322" t="str">
        <f>TEXT(B322, "DDDD")</f>
        <v>Tuesday</v>
      </c>
      <c r="I322">
        <f>((D322+E322)/C322)*100</f>
        <v>8.5968121243794098</v>
      </c>
      <c r="J322">
        <f>(D322/C322)*1000</f>
        <v>71.827110776372223</v>
      </c>
      <c r="K322">
        <f>(E322/C322)*1000</f>
        <v>14.141010467421879</v>
      </c>
      <c r="L322">
        <f>CORREL(C322:C820, D322:D820)</f>
        <v>0.913443431428417</v>
      </c>
      <c r="M322">
        <f>CORREL(C322:C820,E322:E820)</f>
        <v>0.29854417417214252</v>
      </c>
      <c r="N322">
        <f>LEN(A322)</f>
        <v>46</v>
      </c>
      <c r="O322" t="str">
        <f>IF(ISNUMBER(SEARCH("$",A322)), "Money", IF(ISNUMBER(SEARCH("Win",A322)), "Challenge",IF(ISNUMBER(SEARCH("Challenge",A322)), "Challenge",IF(ISNUMBER(SEARCH("Last To Leave",A322)),"Challenge",IF(ISNUMBER(SEARCH("Giving Away", A322)),"Giveaway",IF(ISNUMBER(SEARCH("Stranded",A322)),"Survival", IF(ISNUMBER(SEARCH("Survive",A322)), "Survival", IF(ISNUMBER(SEARCH("Days",A322)),"Endurance","Other"))))))))</f>
        <v>Other</v>
      </c>
    </row>
    <row r="323" spans="1:15" x14ac:dyDescent="0.3">
      <c r="A323" t="s">
        <v>334</v>
      </c>
      <c r="B323" s="1">
        <v>42186</v>
      </c>
      <c r="C323" s="2">
        <v>65058</v>
      </c>
      <c r="D323" s="3">
        <v>1572</v>
      </c>
      <c r="E323" s="3">
        <v>357</v>
      </c>
      <c r="F323">
        <f>YEAR(B323)</f>
        <v>2015</v>
      </c>
      <c r="G323" t="str">
        <f>TEXT(B323,"MMMM")</f>
        <v>July</v>
      </c>
      <c r="H323" t="str">
        <f>TEXT(B323, "DDDD")</f>
        <v>Wednesday</v>
      </c>
      <c r="I323">
        <f>((D323+E323)/C323)*100</f>
        <v>2.9650465738264318</v>
      </c>
      <c r="J323">
        <f>(D323/C323)*1000</f>
        <v>24.163054505210734</v>
      </c>
      <c r="K323">
        <f>(E323/C323)*1000</f>
        <v>5.4874112330535825</v>
      </c>
      <c r="L323">
        <f>CORREL(C323:C821, D323:D821)</f>
        <v>0.91341013665609694</v>
      </c>
      <c r="M323">
        <f>CORREL(C323:C821,E323:E821)</f>
        <v>0.29700040426981755</v>
      </c>
      <c r="N323">
        <f>LEN(A323)</f>
        <v>37</v>
      </c>
      <c r="O323" t="str">
        <f>IF(ISNUMBER(SEARCH("$",A323)), "Money", IF(ISNUMBER(SEARCH("Win",A323)), "Challenge",IF(ISNUMBER(SEARCH("Challenge",A323)), "Challenge",IF(ISNUMBER(SEARCH("Last To Leave",A323)),"Challenge",IF(ISNUMBER(SEARCH("Giving Away", A323)),"Giveaway",IF(ISNUMBER(SEARCH("Stranded",A323)),"Survival", IF(ISNUMBER(SEARCH("Survive",A323)), "Survival", IF(ISNUMBER(SEARCH("Days",A323)),"Endurance","Other"))))))))</f>
        <v>Challenge</v>
      </c>
    </row>
    <row r="324" spans="1:15" x14ac:dyDescent="0.3">
      <c r="A324" t="s">
        <v>335</v>
      </c>
      <c r="B324" s="1">
        <v>42252</v>
      </c>
      <c r="C324" s="2">
        <v>65056</v>
      </c>
      <c r="D324" s="3">
        <v>2228</v>
      </c>
      <c r="E324" s="3">
        <v>373</v>
      </c>
      <c r="F324">
        <f>YEAR(B324)</f>
        <v>2015</v>
      </c>
      <c r="G324" t="str">
        <f>TEXT(B324,"MMMM")</f>
        <v>September</v>
      </c>
      <c r="H324" t="str">
        <f>TEXT(B324, "DDDD")</f>
        <v>Saturday</v>
      </c>
      <c r="I324">
        <f>((D324+E324)/C324)*100</f>
        <v>3.9980939498278403</v>
      </c>
      <c r="J324">
        <f>(D324/C324)*1000</f>
        <v>34.24741760944417</v>
      </c>
      <c r="K324">
        <f>(E324/C324)*1000</f>
        <v>5.7335218888342352</v>
      </c>
      <c r="L324">
        <f>CORREL(C324:C822, D324:D822)</f>
        <v>0.91323636384286255</v>
      </c>
      <c r="M324">
        <f>CORREL(C324:C822,E324:E822)</f>
        <v>0.29612178343112083</v>
      </c>
      <c r="N324">
        <f>LEN(A324)</f>
        <v>51</v>
      </c>
      <c r="O324" t="str">
        <f>IF(ISNUMBER(SEARCH("$",A324)), "Money", IF(ISNUMBER(SEARCH("Win",A324)), "Challenge",IF(ISNUMBER(SEARCH("Challenge",A324)), "Challenge",IF(ISNUMBER(SEARCH("Last To Leave",A324)),"Challenge",IF(ISNUMBER(SEARCH("Giving Away", A324)),"Giveaway",IF(ISNUMBER(SEARCH("Stranded",A324)),"Survival", IF(ISNUMBER(SEARCH("Survive",A324)), "Survival", IF(ISNUMBER(SEARCH("Days",A324)),"Endurance","Other"))))))))</f>
        <v>Other</v>
      </c>
    </row>
    <row r="325" spans="1:15" x14ac:dyDescent="0.3">
      <c r="A325" t="s">
        <v>336</v>
      </c>
      <c r="B325" s="1">
        <v>42196</v>
      </c>
      <c r="C325" s="2">
        <v>65055</v>
      </c>
      <c r="D325" s="3">
        <v>0</v>
      </c>
      <c r="E325" s="3">
        <v>396</v>
      </c>
      <c r="F325">
        <f>YEAR(B325)</f>
        <v>2015</v>
      </c>
      <c r="G325" t="str">
        <f>TEXT(B325,"MMMM")</f>
        <v>July</v>
      </c>
      <c r="H325" t="str">
        <f>TEXT(B325, "DDDD")</f>
        <v>Saturday</v>
      </c>
      <c r="I325">
        <f>((D325+E325)/C325)*100</f>
        <v>0.60871570209822456</v>
      </c>
      <c r="J325">
        <f>(D325/C325)*1000</f>
        <v>0</v>
      </c>
      <c r="K325">
        <f>(E325/C325)*1000</f>
        <v>6.0871570209822456</v>
      </c>
      <c r="L325">
        <f>CORREL(C325:C823, D325:D823)</f>
        <v>0.9131909377711146</v>
      </c>
      <c r="M325">
        <f>CORREL(C325:C823,E325:E823)</f>
        <v>0.29485618020521354</v>
      </c>
      <c r="N325">
        <f>LEN(A325)</f>
        <v>54</v>
      </c>
      <c r="O325" t="str">
        <f>IF(ISNUMBER(SEARCH("$",A325)), "Money", IF(ISNUMBER(SEARCH("Win",A325)), "Challenge",IF(ISNUMBER(SEARCH("Challenge",A325)), "Challenge",IF(ISNUMBER(SEARCH("Last To Leave",A325)),"Challenge",IF(ISNUMBER(SEARCH("Giving Away", A325)),"Giveaway",IF(ISNUMBER(SEARCH("Stranded",A325)),"Survival", IF(ISNUMBER(SEARCH("Survive",A325)), "Survival", IF(ISNUMBER(SEARCH("Days",A325)),"Endurance","Other"))))))))</f>
        <v>Other</v>
      </c>
    </row>
    <row r="326" spans="1:15" x14ac:dyDescent="0.3">
      <c r="A326" t="s">
        <v>337</v>
      </c>
      <c r="B326" s="1">
        <v>42197</v>
      </c>
      <c r="C326" s="2">
        <v>65054</v>
      </c>
      <c r="D326" s="3">
        <v>2105</v>
      </c>
      <c r="E326" s="3">
        <v>685</v>
      </c>
      <c r="F326">
        <f>YEAR(B326)</f>
        <v>2015</v>
      </c>
      <c r="G326" t="str">
        <f>TEXT(B326,"MMMM")</f>
        <v>July</v>
      </c>
      <c r="H326" t="str">
        <f>TEXT(B326, "DDDD")</f>
        <v>Sunday</v>
      </c>
      <c r="I326">
        <f>((D326+E326)/C326)*100</f>
        <v>4.2887447351431112</v>
      </c>
      <c r="J326">
        <f>(D326/C326)*1000</f>
        <v>32.357733575183694</v>
      </c>
      <c r="K326">
        <f>(E326/C326)*1000</f>
        <v>10.529713776247425</v>
      </c>
      <c r="L326">
        <f>CORREL(C326:C824, D326:D824)</f>
        <v>0.91306946320974813</v>
      </c>
      <c r="M326">
        <f>CORREL(C326:C824,E326:E824)</f>
        <v>0.29445978953996055</v>
      </c>
      <c r="N326">
        <f>LEN(A326)</f>
        <v>22</v>
      </c>
      <c r="O326" t="str">
        <f>IF(ISNUMBER(SEARCH("$",A326)), "Money", IF(ISNUMBER(SEARCH("Win",A326)), "Challenge",IF(ISNUMBER(SEARCH("Challenge",A326)), "Challenge",IF(ISNUMBER(SEARCH("Last To Leave",A326)),"Challenge",IF(ISNUMBER(SEARCH("Giving Away", A326)),"Giveaway",IF(ISNUMBER(SEARCH("Stranded",A326)),"Survival", IF(ISNUMBER(SEARCH("Survive",A326)), "Survival", IF(ISNUMBER(SEARCH("Days",A326)),"Endurance","Other"))))))))</f>
        <v>Other</v>
      </c>
    </row>
    <row r="327" spans="1:15" x14ac:dyDescent="0.3">
      <c r="A327" t="s">
        <v>338</v>
      </c>
      <c r="B327" s="1">
        <v>42340</v>
      </c>
      <c r="C327" s="2">
        <v>65054</v>
      </c>
      <c r="D327" s="3">
        <v>1495</v>
      </c>
      <c r="E327" s="3">
        <v>291</v>
      </c>
      <c r="F327">
        <f>YEAR(B327)</f>
        <v>2015</v>
      </c>
      <c r="G327" t="str">
        <f>TEXT(B327,"MMMM")</f>
        <v>December</v>
      </c>
      <c r="H327" t="str">
        <f>TEXT(B327, "DDDD")</f>
        <v>Wednesday</v>
      </c>
      <c r="I327">
        <f>((D327+E327)/C327)*100</f>
        <v>2.7454115042887448</v>
      </c>
      <c r="J327">
        <f>(D327/C327)*1000</f>
        <v>22.980908168598393</v>
      </c>
      <c r="K327">
        <f>(E327/C327)*1000</f>
        <v>4.4732068742890521</v>
      </c>
      <c r="L327">
        <f>CORREL(C327:C825, D327:D825)</f>
        <v>0.91301630507117537</v>
      </c>
      <c r="M327">
        <f>CORREL(C327:C825,E327:E825)</f>
        <v>0.29334902263692286</v>
      </c>
      <c r="N327">
        <f>LEN(A327)</f>
        <v>42</v>
      </c>
      <c r="O327" t="str">
        <f>IF(ISNUMBER(SEARCH("$",A327)), "Money", IF(ISNUMBER(SEARCH("Win",A327)), "Challenge",IF(ISNUMBER(SEARCH("Challenge",A327)), "Challenge",IF(ISNUMBER(SEARCH("Last To Leave",A327)),"Challenge",IF(ISNUMBER(SEARCH("Giving Away", A327)),"Giveaway",IF(ISNUMBER(SEARCH("Stranded",A327)),"Survival", IF(ISNUMBER(SEARCH("Survive",A327)), "Survival", IF(ISNUMBER(SEARCH("Days",A327)),"Endurance","Other"))))))))</f>
        <v>Other</v>
      </c>
    </row>
    <row r="328" spans="1:15" x14ac:dyDescent="0.3">
      <c r="A328" t="s">
        <v>339</v>
      </c>
      <c r="B328" s="1">
        <v>42168</v>
      </c>
      <c r="C328" s="2">
        <v>65054</v>
      </c>
      <c r="D328" s="3">
        <v>1372</v>
      </c>
      <c r="E328" s="3">
        <v>187</v>
      </c>
      <c r="F328">
        <f>YEAR(B328)</f>
        <v>2015</v>
      </c>
      <c r="G328" t="str">
        <f>TEXT(B328,"MMMM")</f>
        <v>June</v>
      </c>
      <c r="H328" t="str">
        <f>TEXT(B328, "DDDD")</f>
        <v>Saturday</v>
      </c>
      <c r="I328">
        <f>((D328+E328)/C328)*100</f>
        <v>2.396470624404341</v>
      </c>
      <c r="J328">
        <f>(D328/C328)*1000</f>
        <v>21.090171242352508</v>
      </c>
      <c r="K328">
        <f>(E328/C328)*1000</f>
        <v>2.8745350016909028</v>
      </c>
      <c r="L328">
        <f>CORREL(C328:C826, D328:D826)</f>
        <v>0.91194211771073697</v>
      </c>
      <c r="M328">
        <f>CORREL(C328:C826,E328:E826)</f>
        <v>0.29247778381748035</v>
      </c>
      <c r="N328">
        <f>LEN(A328)</f>
        <v>63</v>
      </c>
      <c r="O328" t="str">
        <f>IF(ISNUMBER(SEARCH("$",A328)), "Money", IF(ISNUMBER(SEARCH("Win",A328)), "Challenge",IF(ISNUMBER(SEARCH("Challenge",A328)), "Challenge",IF(ISNUMBER(SEARCH("Last To Leave",A328)),"Challenge",IF(ISNUMBER(SEARCH("Giving Away", A328)),"Giveaway",IF(ISNUMBER(SEARCH("Stranded",A328)),"Survival", IF(ISNUMBER(SEARCH("Survive",A328)), "Survival", IF(ISNUMBER(SEARCH("Days",A328)),"Endurance","Other"))))))))</f>
        <v>Other</v>
      </c>
    </row>
    <row r="329" spans="1:15" x14ac:dyDescent="0.3">
      <c r="A329" t="s">
        <v>340</v>
      </c>
      <c r="B329" s="1">
        <v>42222</v>
      </c>
      <c r="C329" s="2">
        <v>65053</v>
      </c>
      <c r="D329" s="3">
        <v>1522</v>
      </c>
      <c r="E329" s="3">
        <v>343</v>
      </c>
      <c r="F329">
        <f>YEAR(B329)</f>
        <v>2015</v>
      </c>
      <c r="G329" t="str">
        <f>TEXT(B329,"MMMM")</f>
        <v>August</v>
      </c>
      <c r="H329" t="str">
        <f>TEXT(B329, "DDDD")</f>
        <v>Thursday</v>
      </c>
      <c r="I329">
        <f>((D329+E329)/C329)*100</f>
        <v>2.8668931486633973</v>
      </c>
      <c r="J329">
        <f>(D329/C329)*1000</f>
        <v>23.396307626089499</v>
      </c>
      <c r="K329">
        <f>(E329/C329)*1000</f>
        <v>5.2726238605444795</v>
      </c>
      <c r="L329">
        <f>CORREL(C329:C827, D329:D827)</f>
        <v>0.91187860011623323</v>
      </c>
      <c r="M329">
        <f>CORREL(C329:C827,E329:E827)</f>
        <v>0.29122887726084778</v>
      </c>
      <c r="N329">
        <f>LEN(A329)</f>
        <v>30</v>
      </c>
      <c r="O329" t="str">
        <f>IF(ISNUMBER(SEARCH("$",A329)), "Money", IF(ISNUMBER(SEARCH("Win",A329)), "Challenge",IF(ISNUMBER(SEARCH("Challenge",A329)), "Challenge",IF(ISNUMBER(SEARCH("Last To Leave",A329)),"Challenge",IF(ISNUMBER(SEARCH("Giving Away", A329)),"Giveaway",IF(ISNUMBER(SEARCH("Stranded",A329)),"Survival", IF(ISNUMBER(SEARCH("Survive",A329)), "Survival", IF(ISNUMBER(SEARCH("Days",A329)),"Endurance","Other"))))))))</f>
        <v>Other</v>
      </c>
    </row>
    <row r="330" spans="1:15" x14ac:dyDescent="0.3">
      <c r="A330" t="s">
        <v>341</v>
      </c>
      <c r="B330" s="1">
        <v>42223</v>
      </c>
      <c r="C330" s="2">
        <v>65053</v>
      </c>
      <c r="D330" s="3">
        <v>2240</v>
      </c>
      <c r="E330" s="3">
        <v>564</v>
      </c>
      <c r="F330">
        <f>YEAR(B330)</f>
        <v>2015</v>
      </c>
      <c r="G330" t="str">
        <f>TEXT(B330,"MMMM")</f>
        <v>August</v>
      </c>
      <c r="H330" t="str">
        <f>TEXT(B330, "DDDD")</f>
        <v>Friday</v>
      </c>
      <c r="I330">
        <f>((D330+E330)/C330)*100</f>
        <v>4.3103315757920466</v>
      </c>
      <c r="J330">
        <f>(D330/C330)*1000</f>
        <v>34.433461946412926</v>
      </c>
      <c r="K330">
        <f>(E330/C330)*1000</f>
        <v>8.6698538115075401</v>
      </c>
      <c r="L330">
        <f>CORREL(C330:C828, D330:D828)</f>
        <v>0.91174171809397764</v>
      </c>
      <c r="M330">
        <f>CORREL(C330:C828,E330:E828)</f>
        <v>0.2903635107227116</v>
      </c>
      <c r="N330">
        <f>LEN(A330)</f>
        <v>37</v>
      </c>
      <c r="O330" t="str">
        <f>IF(ISNUMBER(SEARCH("$",A330)), "Money", IF(ISNUMBER(SEARCH("Win",A330)), "Challenge",IF(ISNUMBER(SEARCH("Challenge",A330)), "Challenge",IF(ISNUMBER(SEARCH("Last To Leave",A330)),"Challenge",IF(ISNUMBER(SEARCH("Giving Away", A330)),"Giveaway",IF(ISNUMBER(SEARCH("Stranded",A330)),"Survival", IF(ISNUMBER(SEARCH("Survive",A330)), "Survival", IF(ISNUMBER(SEARCH("Days",A330)),"Endurance","Other"))))))))</f>
        <v>Other</v>
      </c>
    </row>
    <row r="331" spans="1:15" x14ac:dyDescent="0.3">
      <c r="A331" t="s">
        <v>342</v>
      </c>
      <c r="B331" s="1">
        <v>42265</v>
      </c>
      <c r="C331" s="2">
        <v>65053</v>
      </c>
      <c r="D331" s="3">
        <v>2387</v>
      </c>
      <c r="E331" s="3">
        <v>340</v>
      </c>
      <c r="F331">
        <f>YEAR(B331)</f>
        <v>2015</v>
      </c>
      <c r="G331" t="str">
        <f>TEXT(B331,"MMMM")</f>
        <v>September</v>
      </c>
      <c r="H331" t="str">
        <f>TEXT(B331, "DDDD")</f>
        <v>Friday</v>
      </c>
      <c r="I331">
        <f>((D331+E331)/C331)*100</f>
        <v>4.1919665503512515</v>
      </c>
      <c r="J331">
        <f>(D331/C331)*1000</f>
        <v>36.693157886646276</v>
      </c>
      <c r="K331">
        <f>(E331/C331)*1000</f>
        <v>5.2265076168662477</v>
      </c>
      <c r="L331">
        <f>CORREL(C331:C829, D331:D829)</f>
        <v>0.91115491103224311</v>
      </c>
      <c r="M331">
        <f>CORREL(C331:C829,E331:E829)</f>
        <v>0.28932420388771574</v>
      </c>
      <c r="N331">
        <f>LEN(A331)</f>
        <v>42</v>
      </c>
      <c r="O331" t="str">
        <f>IF(ISNUMBER(SEARCH("$",A331)), "Money", IF(ISNUMBER(SEARCH("Win",A331)), "Challenge",IF(ISNUMBER(SEARCH("Challenge",A331)), "Challenge",IF(ISNUMBER(SEARCH("Last To Leave",A331)),"Challenge",IF(ISNUMBER(SEARCH("Giving Away", A331)),"Giveaway",IF(ISNUMBER(SEARCH("Stranded",A331)),"Survival", IF(ISNUMBER(SEARCH("Survive",A331)), "Survival", IF(ISNUMBER(SEARCH("Days",A331)),"Endurance","Other"))))))))</f>
        <v>Other</v>
      </c>
    </row>
    <row r="332" spans="1:15" x14ac:dyDescent="0.3">
      <c r="A332" t="s">
        <v>343</v>
      </c>
      <c r="B332" s="1">
        <v>42274</v>
      </c>
      <c r="C332" s="2">
        <v>65053</v>
      </c>
      <c r="D332" s="3">
        <v>1903</v>
      </c>
      <c r="E332" s="3">
        <v>316</v>
      </c>
      <c r="F332">
        <f>YEAR(B332)</f>
        <v>2015</v>
      </c>
      <c r="G332" t="str">
        <f>TEXT(B332,"MMMM")</f>
        <v>September</v>
      </c>
      <c r="H332" t="str">
        <f>TEXT(B332, "DDDD")</f>
        <v>Sunday</v>
      </c>
      <c r="I332">
        <f>((D332+E332)/C332)*100</f>
        <v>3.4110648240665302</v>
      </c>
      <c r="J332">
        <f>(D332/C332)*1000</f>
        <v>29.253070573224907</v>
      </c>
      <c r="K332">
        <f>(E332/C332)*1000</f>
        <v>4.8575776674403945</v>
      </c>
      <c r="L332">
        <f>CORREL(C332:C830, D332:D830)</f>
        <v>0.91106548483921868</v>
      </c>
      <c r="M332">
        <f>CORREL(C332:C830,E332:E830)</f>
        <v>0.28827077901839027</v>
      </c>
      <c r="N332">
        <f>LEN(A332)</f>
        <v>72</v>
      </c>
      <c r="O332" t="str">
        <f>IF(ISNUMBER(SEARCH("$",A332)), "Money", IF(ISNUMBER(SEARCH("Win",A332)), "Challenge",IF(ISNUMBER(SEARCH("Challenge",A332)), "Challenge",IF(ISNUMBER(SEARCH("Last To Leave",A332)),"Challenge",IF(ISNUMBER(SEARCH("Giving Away", A332)),"Giveaway",IF(ISNUMBER(SEARCH("Stranded",A332)),"Survival", IF(ISNUMBER(SEARCH("Survive",A332)), "Survival", IF(ISNUMBER(SEARCH("Days",A332)),"Endurance","Other"))))))))</f>
        <v>Other</v>
      </c>
    </row>
    <row r="333" spans="1:15" x14ac:dyDescent="0.3">
      <c r="A333" t="s">
        <v>344</v>
      </c>
      <c r="B333" s="1">
        <v>42178</v>
      </c>
      <c r="C333" s="2">
        <v>65052</v>
      </c>
      <c r="D333" s="3">
        <v>1622</v>
      </c>
      <c r="E333" s="3">
        <v>264</v>
      </c>
      <c r="F333">
        <f>YEAR(B333)</f>
        <v>2015</v>
      </c>
      <c r="G333" t="str">
        <f>TEXT(B333,"MMMM")</f>
        <v>June</v>
      </c>
      <c r="H333" t="str">
        <f>TEXT(B333, "DDDD")</f>
        <v>Tuesday</v>
      </c>
      <c r="I333">
        <f>((D333+E333)/C333)*100</f>
        <v>2.8992190862694458</v>
      </c>
      <c r="J333">
        <f>(D333/C333)*1000</f>
        <v>24.933899034618459</v>
      </c>
      <c r="K333">
        <f>(E333/C333)*1000</f>
        <v>4.0582918280760003</v>
      </c>
      <c r="L333">
        <f>CORREL(C333:C831, D333:D831)</f>
        <v>0.91092385322236269</v>
      </c>
      <c r="M333">
        <f>CORREL(C333:C831,E333:E831)</f>
        <v>0.28733123114065973</v>
      </c>
      <c r="N333">
        <f>LEN(A333)</f>
        <v>36</v>
      </c>
      <c r="O333" t="str">
        <f>IF(ISNUMBER(SEARCH("$",A333)), "Money", IF(ISNUMBER(SEARCH("Win",A333)), "Challenge",IF(ISNUMBER(SEARCH("Challenge",A333)), "Challenge",IF(ISNUMBER(SEARCH("Last To Leave",A333)),"Challenge",IF(ISNUMBER(SEARCH("Giving Away", A333)),"Giveaway",IF(ISNUMBER(SEARCH("Stranded",A333)),"Survival", IF(ISNUMBER(SEARCH("Survive",A333)), "Survival", IF(ISNUMBER(SEARCH("Days",A333)),"Endurance","Other"))))))))</f>
        <v>Challenge</v>
      </c>
    </row>
    <row r="334" spans="1:15" x14ac:dyDescent="0.3">
      <c r="A334" t="s">
        <v>345</v>
      </c>
      <c r="B334" s="1">
        <v>42173</v>
      </c>
      <c r="C334" s="2">
        <v>65051</v>
      </c>
      <c r="D334" s="3">
        <v>1921</v>
      </c>
      <c r="E334" s="3">
        <v>491</v>
      </c>
      <c r="F334">
        <f>YEAR(B334)</f>
        <v>2015</v>
      </c>
      <c r="G334" t="str">
        <f>TEXT(B334,"MMMM")</f>
        <v>June</v>
      </c>
      <c r="H334" t="str">
        <f>TEXT(B334, "DDDD")</f>
        <v>Thursday</v>
      </c>
      <c r="I334">
        <f>((D334+E334)/C334)*100</f>
        <v>3.7078599867796038</v>
      </c>
      <c r="J334">
        <f>(D334/C334)*1000</f>
        <v>29.530675931192448</v>
      </c>
      <c r="K334">
        <f>(E334/C334)*1000</f>
        <v>7.5479239366035875</v>
      </c>
      <c r="L334">
        <f>CORREL(C334:C832, D334:D832)</f>
        <v>0.91084054631125944</v>
      </c>
      <c r="M334">
        <f>CORREL(C334:C832,E334:E832)</f>
        <v>0.28647987836691569</v>
      </c>
      <c r="N334">
        <f>LEN(A334)</f>
        <v>35</v>
      </c>
      <c r="O334" t="str">
        <f>IF(ISNUMBER(SEARCH("$",A334)), "Money", IF(ISNUMBER(SEARCH("Win",A334)), "Challenge",IF(ISNUMBER(SEARCH("Challenge",A334)), "Challenge",IF(ISNUMBER(SEARCH("Last To Leave",A334)),"Challenge",IF(ISNUMBER(SEARCH("Giving Away", A334)),"Giveaway",IF(ISNUMBER(SEARCH("Stranded",A334)),"Survival", IF(ISNUMBER(SEARCH("Survive",A334)), "Survival", IF(ISNUMBER(SEARCH("Days",A334)),"Endurance","Other"))))))))</f>
        <v>Other</v>
      </c>
    </row>
    <row r="335" spans="1:15" x14ac:dyDescent="0.3">
      <c r="A335" t="s">
        <v>346</v>
      </c>
      <c r="B335" s="1">
        <v>42203</v>
      </c>
      <c r="C335" s="2">
        <v>65051</v>
      </c>
      <c r="D335" s="3">
        <v>11498</v>
      </c>
      <c r="E335" s="3">
        <v>3347</v>
      </c>
      <c r="F335">
        <f>YEAR(B335)</f>
        <v>2015</v>
      </c>
      <c r="G335" t="str">
        <f>TEXT(B335,"MMMM")</f>
        <v>July</v>
      </c>
      <c r="H335" t="str">
        <f>TEXT(B335, "DDDD")</f>
        <v>Saturday</v>
      </c>
      <c r="I335">
        <f>((D335+E335)/C335)*100</f>
        <v>22.820556178998018</v>
      </c>
      <c r="J335">
        <f>(D335/C335)*1000</f>
        <v>176.75362407956834</v>
      </c>
      <c r="K335">
        <f>(E335/C335)*1000</f>
        <v>51.451937710411826</v>
      </c>
      <c r="L335">
        <f>CORREL(C335:C833, D335:D833)</f>
        <v>0.91076239021704508</v>
      </c>
      <c r="M335">
        <f>CORREL(C335:C833,E335:E833)</f>
        <v>0.28566501117814569</v>
      </c>
      <c r="N335">
        <f>LEN(A335)</f>
        <v>41</v>
      </c>
      <c r="O335" t="str">
        <f>IF(ISNUMBER(SEARCH("$",A335)), "Money", IF(ISNUMBER(SEARCH("Win",A335)), "Challenge",IF(ISNUMBER(SEARCH("Challenge",A335)), "Challenge",IF(ISNUMBER(SEARCH("Last To Leave",A335)),"Challenge",IF(ISNUMBER(SEARCH("Giving Away", A335)),"Giveaway",IF(ISNUMBER(SEARCH("Stranded",A335)),"Survival", IF(ISNUMBER(SEARCH("Survive",A335)), "Survival", IF(ISNUMBER(SEARCH("Days",A335)),"Endurance","Other"))))))))</f>
        <v>Other</v>
      </c>
    </row>
    <row r="336" spans="1:15" x14ac:dyDescent="0.3">
      <c r="A336" t="s">
        <v>347</v>
      </c>
      <c r="B336" s="1">
        <v>42243</v>
      </c>
      <c r="C336" s="2">
        <v>65047</v>
      </c>
      <c r="D336" s="3">
        <v>2071</v>
      </c>
      <c r="E336" s="3">
        <v>493</v>
      </c>
      <c r="F336">
        <f>YEAR(B336)</f>
        <v>2015</v>
      </c>
      <c r="G336" t="str">
        <f>TEXT(B336,"MMMM")</f>
        <v>August</v>
      </c>
      <c r="H336" t="str">
        <f>TEXT(B336, "DDDD")</f>
        <v>Thursday</v>
      </c>
      <c r="I336">
        <f>((D336+E336)/C336)*100</f>
        <v>3.9417651851737978</v>
      </c>
      <c r="J336">
        <f>(D336/C336)*1000</f>
        <v>31.838516764800836</v>
      </c>
      <c r="K336">
        <f>(E336/C336)*1000</f>
        <v>7.5791350869371383</v>
      </c>
      <c r="L336">
        <f>CORREL(C336:C834, D336:D834)</f>
        <v>0.91068551131758402</v>
      </c>
      <c r="M336">
        <f>CORREL(C336:C834,E336:E834)</f>
        <v>0.28484233307645107</v>
      </c>
      <c r="N336">
        <f>LEN(A336)</f>
        <v>70</v>
      </c>
      <c r="O336" t="str">
        <f>IF(ISNUMBER(SEARCH("$",A336)), "Money", IF(ISNUMBER(SEARCH("Win",A336)), "Challenge",IF(ISNUMBER(SEARCH("Challenge",A336)), "Challenge",IF(ISNUMBER(SEARCH("Last To Leave",A336)),"Challenge",IF(ISNUMBER(SEARCH("Giving Away", A336)),"Giveaway",IF(ISNUMBER(SEARCH("Stranded",A336)),"Survival", IF(ISNUMBER(SEARCH("Survive",A336)), "Survival", IF(ISNUMBER(SEARCH("Days",A336)),"Endurance","Other"))))))))</f>
        <v>Other</v>
      </c>
    </row>
    <row r="337" spans="1:15" x14ac:dyDescent="0.3">
      <c r="A337" t="s">
        <v>348</v>
      </c>
      <c r="B337" s="1">
        <v>42126</v>
      </c>
      <c r="C337" s="2">
        <v>65046</v>
      </c>
      <c r="D337" s="3">
        <v>1638</v>
      </c>
      <c r="E337" s="3">
        <v>284</v>
      </c>
      <c r="F337">
        <f>YEAR(B337)</f>
        <v>2015</v>
      </c>
      <c r="G337" t="str">
        <f>TEXT(B337,"MMMM")</f>
        <v>May</v>
      </c>
      <c r="H337" t="str">
        <f>TEXT(B337, "DDDD")</f>
        <v>Saturday</v>
      </c>
      <c r="I337">
        <f>((D337+E337)/C337)*100</f>
        <v>2.954831965070873</v>
      </c>
      <c r="J337">
        <f>(D337/C337)*1000</f>
        <v>25.182178765796511</v>
      </c>
      <c r="K337">
        <f>(E337/C337)*1000</f>
        <v>4.3661408849122161</v>
      </c>
      <c r="L337">
        <f>CORREL(C337:C835, D337:D835)</f>
        <v>0.91042840221118659</v>
      </c>
      <c r="M337">
        <f>CORREL(C337:C835,E337:E835)</f>
        <v>0.28397190978486836</v>
      </c>
      <c r="N337">
        <f>LEN(A337)</f>
        <v>13</v>
      </c>
      <c r="O337" t="str">
        <f>IF(ISNUMBER(SEARCH("$",A337)), "Money", IF(ISNUMBER(SEARCH("Win",A337)), "Challenge",IF(ISNUMBER(SEARCH("Challenge",A337)), "Challenge",IF(ISNUMBER(SEARCH("Last To Leave",A337)),"Challenge",IF(ISNUMBER(SEARCH("Giving Away", A337)),"Giveaway",IF(ISNUMBER(SEARCH("Stranded",A337)),"Survival", IF(ISNUMBER(SEARCH("Survive",A337)), "Survival", IF(ISNUMBER(SEARCH("Days",A337)),"Endurance","Other"))))))))</f>
        <v>Other</v>
      </c>
    </row>
    <row r="338" spans="1:15" x14ac:dyDescent="0.3">
      <c r="A338" t="s">
        <v>349</v>
      </c>
      <c r="B338" s="1">
        <v>42139</v>
      </c>
      <c r="C338" s="2">
        <v>65046</v>
      </c>
      <c r="D338" s="3">
        <v>1954</v>
      </c>
      <c r="E338" s="3">
        <v>366</v>
      </c>
      <c r="F338">
        <f>YEAR(B338)</f>
        <v>2015</v>
      </c>
      <c r="G338" t="str">
        <f>TEXT(B338,"MMMM")</f>
        <v>May</v>
      </c>
      <c r="H338" t="str">
        <f>TEXT(B338, "DDDD")</f>
        <v>Friday</v>
      </c>
      <c r="I338">
        <f>((D338+E338)/C338)*100</f>
        <v>3.5667066383789936</v>
      </c>
      <c r="J338">
        <f>(D338/C338)*1000</f>
        <v>30.040279187036866</v>
      </c>
      <c r="K338">
        <f>(E338/C338)*1000</f>
        <v>5.6267871967530674</v>
      </c>
      <c r="L338">
        <f>CORREL(C338:C836, D338:D836)</f>
        <v>0.91033550101271787</v>
      </c>
      <c r="M338">
        <f>CORREL(C338:C836,E338:E836)</f>
        <v>0.28309777012231946</v>
      </c>
      <c r="N338">
        <f>LEN(A338)</f>
        <v>39</v>
      </c>
      <c r="O338" t="str">
        <f>IF(ISNUMBER(SEARCH("$",A338)), "Money", IF(ISNUMBER(SEARCH("Win",A338)), "Challenge",IF(ISNUMBER(SEARCH("Challenge",A338)), "Challenge",IF(ISNUMBER(SEARCH("Last To Leave",A338)),"Challenge",IF(ISNUMBER(SEARCH("Giving Away", A338)),"Giveaway",IF(ISNUMBER(SEARCH("Stranded",A338)),"Survival", IF(ISNUMBER(SEARCH("Survive",A338)), "Survival", IF(ISNUMBER(SEARCH("Days",A338)),"Endurance","Other"))))))))</f>
        <v>Other</v>
      </c>
    </row>
    <row r="339" spans="1:15" x14ac:dyDescent="0.3">
      <c r="A339" t="s">
        <v>350</v>
      </c>
      <c r="B339" s="1">
        <v>42195</v>
      </c>
      <c r="C339" s="2">
        <v>65046</v>
      </c>
      <c r="D339" s="3">
        <v>2372</v>
      </c>
      <c r="E339" s="3">
        <v>587</v>
      </c>
      <c r="F339">
        <f>YEAR(B339)</f>
        <v>2015</v>
      </c>
      <c r="G339" t="str">
        <f>TEXT(B339,"MMMM")</f>
        <v>July</v>
      </c>
      <c r="H339" t="str">
        <f>TEXT(B339, "DDDD")</f>
        <v>Friday</v>
      </c>
      <c r="I339">
        <f>((D339+E339)/C339)*100</f>
        <v>4.5490883374842417</v>
      </c>
      <c r="J339">
        <f>(D339/C339)*1000</f>
        <v>36.466500630323154</v>
      </c>
      <c r="K339">
        <f>(E339/C339)*1000</f>
        <v>9.0243827445192633</v>
      </c>
      <c r="L339">
        <f>CORREL(C339:C837, D339:D837)</f>
        <v>0.91025534180217038</v>
      </c>
      <c r="M339">
        <f>CORREL(C339:C837,E339:E837)</f>
        <v>0.28223159810937243</v>
      </c>
      <c r="N339">
        <f>LEN(A339)</f>
        <v>48</v>
      </c>
      <c r="O339" t="str">
        <f>IF(ISNUMBER(SEARCH("$",A339)), "Money", IF(ISNUMBER(SEARCH("Win",A339)), "Challenge",IF(ISNUMBER(SEARCH("Challenge",A339)), "Challenge",IF(ISNUMBER(SEARCH("Last To Leave",A339)),"Challenge",IF(ISNUMBER(SEARCH("Giving Away", A339)),"Giveaway",IF(ISNUMBER(SEARCH("Stranded",A339)),"Survival", IF(ISNUMBER(SEARCH("Survive",A339)), "Survival", IF(ISNUMBER(SEARCH("Days",A339)),"Endurance","Other"))))))))</f>
        <v>Other</v>
      </c>
    </row>
    <row r="340" spans="1:15" x14ac:dyDescent="0.3">
      <c r="A340" t="s">
        <v>351</v>
      </c>
      <c r="B340" s="1">
        <v>42288</v>
      </c>
      <c r="C340" s="2">
        <v>65044</v>
      </c>
      <c r="D340" s="3">
        <v>2117</v>
      </c>
      <c r="E340" s="3">
        <v>374</v>
      </c>
      <c r="F340">
        <f>YEAR(B340)</f>
        <v>2015</v>
      </c>
      <c r="G340" t="str">
        <f>TEXT(B340,"MMMM")</f>
        <v>October</v>
      </c>
      <c r="H340" t="str">
        <f>TEXT(B340, "DDDD")</f>
        <v>Sunday</v>
      </c>
      <c r="I340">
        <f>((D340+E340)/C340)*100</f>
        <v>3.8297152696636125</v>
      </c>
      <c r="J340">
        <f>(D340/C340)*1000</f>
        <v>32.547198819260814</v>
      </c>
      <c r="K340">
        <f>(E340/C340)*1000</f>
        <v>5.7499538773753152</v>
      </c>
      <c r="L340">
        <f>CORREL(C340:C838, D340:D838)</f>
        <v>0.91017668323461054</v>
      </c>
      <c r="M340">
        <f>CORREL(C340:C838,E340:E838)</f>
        <v>0.28135497137344534</v>
      </c>
      <c r="N340">
        <f>LEN(A340)</f>
        <v>72</v>
      </c>
      <c r="O340" t="str">
        <f>IF(ISNUMBER(SEARCH("$",A340)), "Money", IF(ISNUMBER(SEARCH("Win",A340)), "Challenge",IF(ISNUMBER(SEARCH("Challenge",A340)), "Challenge",IF(ISNUMBER(SEARCH("Last To Leave",A340)),"Challenge",IF(ISNUMBER(SEARCH("Giving Away", A340)),"Giveaway",IF(ISNUMBER(SEARCH("Stranded",A340)),"Survival", IF(ISNUMBER(SEARCH("Survive",A340)), "Survival", IF(ISNUMBER(SEARCH("Days",A340)),"Endurance","Other"))))))))</f>
        <v>Other</v>
      </c>
    </row>
    <row r="341" spans="1:15" x14ac:dyDescent="0.3">
      <c r="A341" t="s">
        <v>352</v>
      </c>
      <c r="B341" s="1">
        <v>42193</v>
      </c>
      <c r="C341" s="2">
        <v>65043</v>
      </c>
      <c r="D341" s="3">
        <v>1387</v>
      </c>
      <c r="E341" s="3">
        <v>262</v>
      </c>
      <c r="F341">
        <f>YEAR(B341)</f>
        <v>2015</v>
      </c>
      <c r="G341" t="str">
        <f>TEXT(B341,"MMMM")</f>
        <v>July</v>
      </c>
      <c r="H341" t="str">
        <f>TEXT(B341, "DDDD")</f>
        <v>Wednesday</v>
      </c>
      <c r="I341">
        <f>((D341+E341)/C341)*100</f>
        <v>2.5352459142413482</v>
      </c>
      <c r="J341">
        <f>(D341/C341)*1000</f>
        <v>21.324354657687991</v>
      </c>
      <c r="K341">
        <f>(E341/C341)*1000</f>
        <v>4.028104484725489</v>
      </c>
      <c r="L341">
        <f>CORREL(C341:C839, D341:D839)</f>
        <v>0.89766811630593502</v>
      </c>
      <c r="M341">
        <f>CORREL(C341:C839,E341:E839)</f>
        <v>0.28811056658489498</v>
      </c>
      <c r="N341">
        <f>LEN(A341)</f>
        <v>67</v>
      </c>
      <c r="O341" t="str">
        <f>IF(ISNUMBER(SEARCH("$",A341)), "Money", IF(ISNUMBER(SEARCH("Win",A341)), "Challenge",IF(ISNUMBER(SEARCH("Challenge",A341)), "Challenge",IF(ISNUMBER(SEARCH("Last To Leave",A341)),"Challenge",IF(ISNUMBER(SEARCH("Giving Away", A341)),"Giveaway",IF(ISNUMBER(SEARCH("Stranded",A341)),"Survival", IF(ISNUMBER(SEARCH("Survive",A341)), "Survival", IF(ISNUMBER(SEARCH("Days",A341)),"Endurance","Other"))))))))</f>
        <v>Other</v>
      </c>
    </row>
    <row r="342" spans="1:15" x14ac:dyDescent="0.3">
      <c r="A342" t="s">
        <v>353</v>
      </c>
      <c r="B342" s="1">
        <v>42221</v>
      </c>
      <c r="C342" s="2">
        <v>65041</v>
      </c>
      <c r="D342" s="3">
        <v>1720</v>
      </c>
      <c r="E342" s="3">
        <v>325</v>
      </c>
      <c r="F342">
        <f>YEAR(B342)</f>
        <v>2015</v>
      </c>
      <c r="G342" t="str">
        <f>TEXT(B342,"MMMM")</f>
        <v>August</v>
      </c>
      <c r="H342" t="str">
        <f>TEXT(B342, "DDDD")</f>
        <v>Wednesday</v>
      </c>
      <c r="I342">
        <f>((D342+E342)/C342)*100</f>
        <v>3.1441706000830245</v>
      </c>
      <c r="J342">
        <f>(D342/C342)*1000</f>
        <v>26.444857858889009</v>
      </c>
      <c r="K342">
        <f>(E342/C342)*1000</f>
        <v>4.9968481419412374</v>
      </c>
      <c r="L342">
        <f>CORREL(C342:C840, D342:D840)</f>
        <v>0.88912176852662994</v>
      </c>
      <c r="M342">
        <f>CORREL(C342:C840,E342:E840)</f>
        <v>0.27920383332038534</v>
      </c>
      <c r="N342">
        <f>LEN(A342)</f>
        <v>30</v>
      </c>
      <c r="O342" t="str">
        <f>IF(ISNUMBER(SEARCH("$",A342)), "Money", IF(ISNUMBER(SEARCH("Win",A342)), "Challenge",IF(ISNUMBER(SEARCH("Challenge",A342)), "Challenge",IF(ISNUMBER(SEARCH("Last To Leave",A342)),"Challenge",IF(ISNUMBER(SEARCH("Giving Away", A342)),"Giveaway",IF(ISNUMBER(SEARCH("Stranded",A342)),"Survival", IF(ISNUMBER(SEARCH("Survive",A342)), "Survival", IF(ISNUMBER(SEARCH("Days",A342)),"Endurance","Other"))))))))</f>
        <v>Other</v>
      </c>
    </row>
    <row r="343" spans="1:15" x14ac:dyDescent="0.3">
      <c r="A343" t="s">
        <v>354</v>
      </c>
      <c r="B343" s="1">
        <v>42176</v>
      </c>
      <c r="C343" s="2">
        <v>65041</v>
      </c>
      <c r="D343" s="3">
        <v>2375</v>
      </c>
      <c r="E343" s="3">
        <v>591</v>
      </c>
      <c r="F343">
        <f>YEAR(B343)</f>
        <v>2015</v>
      </c>
      <c r="G343" t="str">
        <f>TEXT(B343,"MMMM")</f>
        <v>June</v>
      </c>
      <c r="H343" t="str">
        <f>TEXT(B343, "DDDD")</f>
        <v>Sunday</v>
      </c>
      <c r="I343">
        <f>((D343+E343)/C343)*100</f>
        <v>4.560200488922372</v>
      </c>
      <c r="J343">
        <f>(D343/C343)*1000</f>
        <v>36.51542872957058</v>
      </c>
      <c r="K343">
        <f>(E343/C343)*1000</f>
        <v>9.0865761596531414</v>
      </c>
      <c r="L343">
        <f>CORREL(C343:C841, D343:D841)</f>
        <v>0.8851237362013058</v>
      </c>
      <c r="M343">
        <f>CORREL(C343:C841,E343:E841)</f>
        <v>0.27380605956722409</v>
      </c>
      <c r="N343">
        <f>LEN(A343)</f>
        <v>33</v>
      </c>
      <c r="O343" t="str">
        <f>IF(ISNUMBER(SEARCH("$",A343)), "Money", IF(ISNUMBER(SEARCH("Win",A343)), "Challenge",IF(ISNUMBER(SEARCH("Challenge",A343)), "Challenge",IF(ISNUMBER(SEARCH("Last To Leave",A343)),"Challenge",IF(ISNUMBER(SEARCH("Giving Away", A343)),"Giveaway",IF(ISNUMBER(SEARCH("Stranded",A343)),"Survival", IF(ISNUMBER(SEARCH("Survive",A343)), "Survival", IF(ISNUMBER(SEARCH("Days",A343)),"Endurance","Other"))))))))</f>
        <v>Other</v>
      </c>
    </row>
    <row r="344" spans="1:15" x14ac:dyDescent="0.3">
      <c r="A344" t="s">
        <v>355</v>
      </c>
      <c r="B344" s="1">
        <v>42118</v>
      </c>
      <c r="C344" s="2">
        <v>65040</v>
      </c>
      <c r="D344" s="3">
        <v>1809</v>
      </c>
      <c r="E344" s="3">
        <v>413</v>
      </c>
      <c r="F344">
        <f>YEAR(B344)</f>
        <v>2015</v>
      </c>
      <c r="G344" t="str">
        <f>TEXT(B344,"MMMM")</f>
        <v>April</v>
      </c>
      <c r="H344" t="str">
        <f>TEXT(B344, "DDDD")</f>
        <v>Friday</v>
      </c>
      <c r="I344">
        <f>((D344+E344)/C344)*100</f>
        <v>3.4163591635916362</v>
      </c>
      <c r="J344">
        <f>(D344/C344)*1000</f>
        <v>27.813653136531368</v>
      </c>
      <c r="K344">
        <f>(E344/C344)*1000</f>
        <v>6.3499384993849937</v>
      </c>
      <c r="L344">
        <f>CORREL(C344:C842, D344:D842)</f>
        <v>0.88066077677689703</v>
      </c>
      <c r="M344">
        <f>CORREL(C344:C842,E344:E842)</f>
        <v>0.26778070507385521</v>
      </c>
      <c r="N344">
        <f>LEN(A344)</f>
        <v>14</v>
      </c>
      <c r="O344" t="str">
        <f>IF(ISNUMBER(SEARCH("$",A344)), "Money", IF(ISNUMBER(SEARCH("Win",A344)), "Challenge",IF(ISNUMBER(SEARCH("Challenge",A344)), "Challenge",IF(ISNUMBER(SEARCH("Last To Leave",A344)),"Challenge",IF(ISNUMBER(SEARCH("Giving Away", A344)),"Giveaway",IF(ISNUMBER(SEARCH("Stranded",A344)),"Survival", IF(ISNUMBER(SEARCH("Survive",A344)), "Survival", IF(ISNUMBER(SEARCH("Days",A344)),"Endurance","Other"))))))))</f>
        <v>Other</v>
      </c>
    </row>
    <row r="345" spans="1:15" x14ac:dyDescent="0.3">
      <c r="A345" t="s">
        <v>356</v>
      </c>
      <c r="B345" s="1">
        <v>42245</v>
      </c>
      <c r="C345" s="2">
        <v>65040</v>
      </c>
      <c r="D345" s="3">
        <v>2335</v>
      </c>
      <c r="E345" s="3">
        <v>542</v>
      </c>
      <c r="F345">
        <f>YEAR(B345)</f>
        <v>2015</v>
      </c>
      <c r="G345" t="str">
        <f>TEXT(B345,"MMMM")</f>
        <v>August</v>
      </c>
      <c r="H345" t="str">
        <f>TEXT(B345, "DDDD")</f>
        <v>Saturday</v>
      </c>
      <c r="I345">
        <f>((D345+E345)/C345)*100</f>
        <v>4.4234317343173428</v>
      </c>
      <c r="J345">
        <f>(D345/C345)*1000</f>
        <v>35.900984009840101</v>
      </c>
      <c r="K345">
        <f>(E345/C345)*1000</f>
        <v>8.3333333333333339</v>
      </c>
      <c r="L345">
        <f>CORREL(C345:C843, D345:D843)</f>
        <v>0.88131100797105322</v>
      </c>
      <c r="M345">
        <f>CORREL(C345:C843,E345:E843)</f>
        <v>0.26237164212580405</v>
      </c>
      <c r="N345">
        <f>LEN(A345)</f>
        <v>25</v>
      </c>
      <c r="O345" t="str">
        <f>IF(ISNUMBER(SEARCH("$",A345)), "Money", IF(ISNUMBER(SEARCH("Win",A345)), "Challenge",IF(ISNUMBER(SEARCH("Challenge",A345)), "Challenge",IF(ISNUMBER(SEARCH("Last To Leave",A345)),"Challenge",IF(ISNUMBER(SEARCH("Giving Away", A345)),"Giveaway",IF(ISNUMBER(SEARCH("Stranded",A345)),"Survival", IF(ISNUMBER(SEARCH("Survive",A345)), "Survival", IF(ISNUMBER(SEARCH("Days",A345)),"Endurance","Other"))))))))</f>
        <v>Other</v>
      </c>
    </row>
    <row r="346" spans="1:15" x14ac:dyDescent="0.3">
      <c r="A346" t="s">
        <v>357</v>
      </c>
      <c r="B346" s="1">
        <v>42160</v>
      </c>
      <c r="C346" s="2">
        <v>65040</v>
      </c>
      <c r="D346" s="3">
        <v>2053</v>
      </c>
      <c r="E346" s="3">
        <v>581</v>
      </c>
      <c r="F346">
        <f>YEAR(B346)</f>
        <v>2015</v>
      </c>
      <c r="G346" t="str">
        <f>TEXT(B346,"MMMM")</f>
        <v>June</v>
      </c>
      <c r="H346" t="str">
        <f>TEXT(B346, "DDDD")</f>
        <v>Friday</v>
      </c>
      <c r="I346">
        <f>((D346+E346)/C346)*100</f>
        <v>4.0498154981549819</v>
      </c>
      <c r="J346">
        <f>(D346/C346)*1000</f>
        <v>31.565190651906523</v>
      </c>
      <c r="K346">
        <f>(E346/C346)*1000</f>
        <v>8.9329643296432977</v>
      </c>
      <c r="L346">
        <f>CORREL(C346:C844, D346:D844)</f>
        <v>0.88023182252468801</v>
      </c>
      <c r="M346">
        <f>CORREL(C346:C844,E346:E844)</f>
        <v>0.26002933275508305</v>
      </c>
      <c r="N346">
        <f>LEN(A346)</f>
        <v>37</v>
      </c>
      <c r="O346" t="str">
        <f>IF(ISNUMBER(SEARCH("$",A346)), "Money", IF(ISNUMBER(SEARCH("Win",A346)), "Challenge",IF(ISNUMBER(SEARCH("Challenge",A346)), "Challenge",IF(ISNUMBER(SEARCH("Last To Leave",A346)),"Challenge",IF(ISNUMBER(SEARCH("Giving Away", A346)),"Giveaway",IF(ISNUMBER(SEARCH("Stranded",A346)),"Survival", IF(ISNUMBER(SEARCH("Survive",A346)), "Survival", IF(ISNUMBER(SEARCH("Days",A346)),"Endurance","Other"))))))))</f>
        <v>Other</v>
      </c>
    </row>
    <row r="347" spans="1:15" x14ac:dyDescent="0.3">
      <c r="A347" t="s">
        <v>358</v>
      </c>
      <c r="B347" s="1">
        <v>42177</v>
      </c>
      <c r="C347" s="2">
        <v>65040</v>
      </c>
      <c r="D347" s="3">
        <v>2231</v>
      </c>
      <c r="E347" s="3">
        <v>893</v>
      </c>
      <c r="F347">
        <f>YEAR(B347)</f>
        <v>2015</v>
      </c>
      <c r="G347" t="str">
        <f>TEXT(B347,"MMMM")</f>
        <v>June</v>
      </c>
      <c r="H347" t="str">
        <f>TEXT(B347, "DDDD")</f>
        <v>Monday</v>
      </c>
      <c r="I347">
        <f>((D347+E347)/C347)*100</f>
        <v>4.8031980319803198</v>
      </c>
      <c r="J347">
        <f>(D347/C347)*1000</f>
        <v>34.301968019680196</v>
      </c>
      <c r="K347">
        <f>(E347/C347)*1000</f>
        <v>13.730012300123001</v>
      </c>
      <c r="L347">
        <f>CORREL(C347:C845, D347:D845)</f>
        <v>0.87999709474093035</v>
      </c>
      <c r="M347">
        <f>CORREL(C347:C845,E347:E845)</f>
        <v>0.25575519204052932</v>
      </c>
      <c r="N347">
        <f>LEN(A347)</f>
        <v>38</v>
      </c>
      <c r="O347" t="str">
        <f>IF(ISNUMBER(SEARCH("$",A347)), "Money", IF(ISNUMBER(SEARCH("Win",A347)), "Challenge",IF(ISNUMBER(SEARCH("Challenge",A347)), "Challenge",IF(ISNUMBER(SEARCH("Last To Leave",A347)),"Challenge",IF(ISNUMBER(SEARCH("Giving Away", A347)),"Giveaway",IF(ISNUMBER(SEARCH("Stranded",A347)),"Survival", IF(ISNUMBER(SEARCH("Survive",A347)), "Survival", IF(ISNUMBER(SEARCH("Days",A347)),"Endurance","Other"))))))))</f>
        <v>Other</v>
      </c>
    </row>
    <row r="348" spans="1:15" x14ac:dyDescent="0.3">
      <c r="A348" t="s">
        <v>359</v>
      </c>
      <c r="B348" s="1">
        <v>42252</v>
      </c>
      <c r="C348" s="2">
        <v>65040</v>
      </c>
      <c r="D348" s="3">
        <v>2097</v>
      </c>
      <c r="E348" s="3">
        <v>436</v>
      </c>
      <c r="F348">
        <f>YEAR(B348)</f>
        <v>2015</v>
      </c>
      <c r="G348" t="str">
        <f>TEXT(B348,"MMMM")</f>
        <v>September</v>
      </c>
      <c r="H348" t="str">
        <f>TEXT(B348, "DDDD")</f>
        <v>Saturday</v>
      </c>
      <c r="I348">
        <f>((D348+E348)/C348)*100</f>
        <v>3.8945264452644528</v>
      </c>
      <c r="J348">
        <f>(D348/C348)*1000</f>
        <v>32.241697416974169</v>
      </c>
      <c r="K348">
        <f>(E348/C348)*1000</f>
        <v>6.7035670356703569</v>
      </c>
      <c r="L348">
        <f>CORREL(C348:C846, D348:D846)</f>
        <v>0.88046252759787025</v>
      </c>
      <c r="M348">
        <f>CORREL(C348:C846,E348:E846)</f>
        <v>0.25261406543350445</v>
      </c>
      <c r="N348">
        <f>LEN(A348)</f>
        <v>43</v>
      </c>
      <c r="O348" t="str">
        <f>IF(ISNUMBER(SEARCH("$",A348)), "Money", IF(ISNUMBER(SEARCH("Win",A348)), "Challenge",IF(ISNUMBER(SEARCH("Challenge",A348)), "Challenge",IF(ISNUMBER(SEARCH("Last To Leave",A348)),"Challenge",IF(ISNUMBER(SEARCH("Giving Away", A348)),"Giveaway",IF(ISNUMBER(SEARCH("Stranded",A348)),"Survival", IF(ISNUMBER(SEARCH("Survive",A348)), "Survival", IF(ISNUMBER(SEARCH("Days",A348)),"Endurance","Other"))))))))</f>
        <v>Other</v>
      </c>
    </row>
    <row r="349" spans="1:15" x14ac:dyDescent="0.3">
      <c r="A349" t="s">
        <v>360</v>
      </c>
      <c r="B349" s="1">
        <v>42220</v>
      </c>
      <c r="C349" s="2">
        <v>65039</v>
      </c>
      <c r="D349" s="3">
        <v>1869</v>
      </c>
      <c r="E349" s="3">
        <v>696</v>
      </c>
      <c r="F349">
        <f>YEAR(B349)</f>
        <v>2015</v>
      </c>
      <c r="G349" t="str">
        <f>TEXT(B349,"MMMM")</f>
        <v>August</v>
      </c>
      <c r="H349" t="str">
        <f>TEXT(B349, "DDDD")</f>
        <v>Tuesday</v>
      </c>
      <c r="I349">
        <f>((D349+E349)/C349)*100</f>
        <v>3.9437875736096806</v>
      </c>
      <c r="J349">
        <f>(D349/C349)*1000</f>
        <v>28.736604191331356</v>
      </c>
      <c r="K349">
        <f>(E349/C349)*1000</f>
        <v>10.701271544765449</v>
      </c>
      <c r="L349">
        <f>CORREL(C349:C847, D349:D847)</f>
        <v>0.88060249555207382</v>
      </c>
      <c r="M349">
        <f>CORREL(C349:C847,E349:E847)</f>
        <v>0.24885655774535215</v>
      </c>
      <c r="N349">
        <f>LEN(A349)</f>
        <v>25</v>
      </c>
      <c r="O349" t="str">
        <f>IF(ISNUMBER(SEARCH("$",A349)), "Money", IF(ISNUMBER(SEARCH("Win",A349)), "Challenge",IF(ISNUMBER(SEARCH("Challenge",A349)), "Challenge",IF(ISNUMBER(SEARCH("Last To Leave",A349)),"Challenge",IF(ISNUMBER(SEARCH("Giving Away", A349)),"Giveaway",IF(ISNUMBER(SEARCH("Stranded",A349)),"Survival", IF(ISNUMBER(SEARCH("Survive",A349)), "Survival", IF(ISNUMBER(SEARCH("Days",A349)),"Endurance","Other"))))))))</f>
        <v>Other</v>
      </c>
    </row>
    <row r="350" spans="1:15" x14ac:dyDescent="0.3">
      <c r="A350" t="s">
        <v>361</v>
      </c>
      <c r="B350" s="1">
        <v>42162</v>
      </c>
      <c r="C350" s="2">
        <v>65039</v>
      </c>
      <c r="D350" s="3">
        <v>1977</v>
      </c>
      <c r="E350" s="3">
        <v>401</v>
      </c>
      <c r="F350">
        <f>YEAR(B350)</f>
        <v>2015</v>
      </c>
      <c r="G350" t="str">
        <f>TEXT(B350,"MMMM")</f>
        <v>June</v>
      </c>
      <c r="H350" t="str">
        <f>TEXT(B350, "DDDD")</f>
        <v>Sunday</v>
      </c>
      <c r="I350">
        <f>((D350+E350)/C350)*100</f>
        <v>3.6562677777948616</v>
      </c>
      <c r="J350">
        <f>(D350/C350)*1000</f>
        <v>30.397146327588064</v>
      </c>
      <c r="K350">
        <f>(E350/C350)*1000</f>
        <v>6.1655314503605529</v>
      </c>
      <c r="L350">
        <f>CORREL(C350:C848, D350:D848)</f>
        <v>0.87883532201393466</v>
      </c>
      <c r="M350">
        <f>CORREL(C350:C848,E350:E848)</f>
        <v>0.2446868624691188</v>
      </c>
      <c r="N350">
        <f>LEN(A350)</f>
        <v>31</v>
      </c>
      <c r="O350" t="str">
        <f>IF(ISNUMBER(SEARCH("$",A350)), "Money", IF(ISNUMBER(SEARCH("Win",A350)), "Challenge",IF(ISNUMBER(SEARCH("Challenge",A350)), "Challenge",IF(ISNUMBER(SEARCH("Last To Leave",A350)),"Challenge",IF(ISNUMBER(SEARCH("Giving Away", A350)),"Giveaway",IF(ISNUMBER(SEARCH("Stranded",A350)),"Survival", IF(ISNUMBER(SEARCH("Survive",A350)), "Survival", IF(ISNUMBER(SEARCH("Days",A350)),"Endurance","Other"))))))))</f>
        <v>Other</v>
      </c>
    </row>
    <row r="351" spans="1:15" x14ac:dyDescent="0.3">
      <c r="A351" t="s">
        <v>362</v>
      </c>
      <c r="B351" s="1">
        <v>42200</v>
      </c>
      <c r="C351" s="2">
        <v>65038</v>
      </c>
      <c r="D351" s="3">
        <v>1529</v>
      </c>
      <c r="E351" s="3">
        <v>377</v>
      </c>
      <c r="F351">
        <f>YEAR(B351)</f>
        <v>2015</v>
      </c>
      <c r="G351" t="str">
        <f>TEXT(B351,"MMMM")</f>
        <v>July</v>
      </c>
      <c r="H351" t="str">
        <f>TEXT(B351, "DDDD")</f>
        <v>Wednesday</v>
      </c>
      <c r="I351">
        <f>((D351+E351)/C351)*100</f>
        <v>2.9305944217226854</v>
      </c>
      <c r="J351">
        <f>(D351/C351)*1000</f>
        <v>23.509333005319967</v>
      </c>
      <c r="K351">
        <f>(E351/C351)*1000</f>
        <v>5.7966112119068853</v>
      </c>
      <c r="L351">
        <f>CORREL(C351:C849, D351:D849)</f>
        <v>0.87891486934369822</v>
      </c>
      <c r="M351">
        <f>CORREL(C351:C849,E351:E849)</f>
        <v>0.24086706028204444</v>
      </c>
      <c r="N351">
        <f>LEN(A351)</f>
        <v>20</v>
      </c>
      <c r="O351" t="str">
        <f>IF(ISNUMBER(SEARCH("$",A351)), "Money", IF(ISNUMBER(SEARCH("Win",A351)), "Challenge",IF(ISNUMBER(SEARCH("Challenge",A351)), "Challenge",IF(ISNUMBER(SEARCH("Last To Leave",A351)),"Challenge",IF(ISNUMBER(SEARCH("Giving Away", A351)),"Giveaway",IF(ISNUMBER(SEARCH("Stranded",A351)),"Survival", IF(ISNUMBER(SEARCH("Survive",A351)), "Survival", IF(ISNUMBER(SEARCH("Days",A351)),"Endurance","Other"))))))))</f>
        <v>Other</v>
      </c>
    </row>
    <row r="352" spans="1:15" x14ac:dyDescent="0.3">
      <c r="A352" t="s">
        <v>363</v>
      </c>
      <c r="B352" s="1">
        <v>42182</v>
      </c>
      <c r="C352" s="2">
        <v>65038</v>
      </c>
      <c r="D352" s="3">
        <v>2294</v>
      </c>
      <c r="E352" s="3">
        <v>492</v>
      </c>
      <c r="F352">
        <f>YEAR(B352)</f>
        <v>2015</v>
      </c>
      <c r="G352" t="str">
        <f>TEXT(B352,"MMMM")</f>
        <v>June</v>
      </c>
      <c r="H352" t="str">
        <f>TEXT(B352, "DDDD")</f>
        <v>Saturday</v>
      </c>
      <c r="I352">
        <f>((D352+E352)/C352)*100</f>
        <v>4.2836495587195174</v>
      </c>
      <c r="J352">
        <f>(D352/C352)*1000</f>
        <v>35.271687321258341</v>
      </c>
      <c r="K352">
        <f>(E352/C352)*1000</f>
        <v>7.5648082659368372</v>
      </c>
      <c r="L352">
        <f>CORREL(C352:C850, D352:D850)</f>
        <v>0.87824642588379365</v>
      </c>
      <c r="M352">
        <f>CORREL(C352:C850,E352:E850)</f>
        <v>0.23720881703320698</v>
      </c>
      <c r="N352">
        <f>LEN(A352)</f>
        <v>33</v>
      </c>
      <c r="O352" t="str">
        <f>IF(ISNUMBER(SEARCH("$",A352)), "Money", IF(ISNUMBER(SEARCH("Win",A352)), "Challenge",IF(ISNUMBER(SEARCH("Challenge",A352)), "Challenge",IF(ISNUMBER(SEARCH("Last To Leave",A352)),"Challenge",IF(ISNUMBER(SEARCH("Giving Away", A352)),"Giveaway",IF(ISNUMBER(SEARCH("Stranded",A352)),"Survival", IF(ISNUMBER(SEARCH("Survive",A352)), "Survival", IF(ISNUMBER(SEARCH("Days",A352)),"Endurance","Other"))))))))</f>
        <v>Other</v>
      </c>
    </row>
    <row r="353" spans="1:15" x14ac:dyDescent="0.3">
      <c r="A353" t="s">
        <v>364</v>
      </c>
      <c r="B353" s="1">
        <v>42173</v>
      </c>
      <c r="C353" s="2">
        <v>65038</v>
      </c>
      <c r="D353" s="3">
        <v>2063</v>
      </c>
      <c r="E353" s="3">
        <v>707</v>
      </c>
      <c r="F353">
        <f>YEAR(B353)</f>
        <v>2015</v>
      </c>
      <c r="G353" t="str">
        <f>TEXT(B353,"MMMM")</f>
        <v>June</v>
      </c>
      <c r="H353" t="str">
        <f>TEXT(B353, "DDDD")</f>
        <v>Thursday</v>
      </c>
      <c r="I353">
        <f>((D353+E353)/C353)*100</f>
        <v>4.2590485562286666</v>
      </c>
      <c r="J353">
        <f>(D353/C353)*1000</f>
        <v>31.71991758664166</v>
      </c>
      <c r="K353">
        <f>(E353/C353)*1000</f>
        <v>10.870567975645006</v>
      </c>
      <c r="L353">
        <f>CORREL(C353:C851, D353:D851)</f>
        <v>0.87731838758096259</v>
      </c>
      <c r="M353">
        <f>CORREL(C353:C851,E353:E851)</f>
        <v>0.23361972114802596</v>
      </c>
      <c r="N353">
        <f>LEN(A353)</f>
        <v>38</v>
      </c>
      <c r="O353" t="str">
        <f>IF(ISNUMBER(SEARCH("$",A353)), "Money", IF(ISNUMBER(SEARCH("Win",A353)), "Challenge",IF(ISNUMBER(SEARCH("Challenge",A353)), "Challenge",IF(ISNUMBER(SEARCH("Last To Leave",A353)),"Challenge",IF(ISNUMBER(SEARCH("Giving Away", A353)),"Giveaway",IF(ISNUMBER(SEARCH("Stranded",A353)),"Survival", IF(ISNUMBER(SEARCH("Survive",A353)), "Survival", IF(ISNUMBER(SEARCH("Days",A353)),"Endurance","Other"))))))))</f>
        <v>Other</v>
      </c>
    </row>
    <row r="354" spans="1:15" x14ac:dyDescent="0.3">
      <c r="A354" t="s">
        <v>290</v>
      </c>
      <c r="B354" s="1">
        <v>42119</v>
      </c>
      <c r="C354" s="2">
        <v>65037</v>
      </c>
      <c r="D354" s="3">
        <v>1627</v>
      </c>
      <c r="E354" s="3">
        <v>246</v>
      </c>
      <c r="F354">
        <f>YEAR(B354)</f>
        <v>2015</v>
      </c>
      <c r="G354" t="str">
        <f>TEXT(B354,"MMMM")</f>
        <v>April</v>
      </c>
      <c r="H354" t="str">
        <f>TEXT(B354, "DDDD")</f>
        <v>Saturday</v>
      </c>
      <c r="I354">
        <f>((D354+E354)/C354)*100</f>
        <v>2.8798991343389146</v>
      </c>
      <c r="J354">
        <f>(D354/C354)*1000</f>
        <v>25.01652905269308</v>
      </c>
      <c r="K354">
        <f>(E354/C354)*1000</f>
        <v>3.7824622906960652</v>
      </c>
      <c r="L354">
        <f>CORREL(C354:C852, D354:D852)</f>
        <v>0.87617500682600979</v>
      </c>
      <c r="M354">
        <f>CORREL(C354:C852,E354:E852)</f>
        <v>0.23028753883707259</v>
      </c>
      <c r="N354">
        <f>LEN(A354)</f>
        <v>20</v>
      </c>
      <c r="O354" t="str">
        <f>IF(ISNUMBER(SEARCH("$",A354)), "Money", IF(ISNUMBER(SEARCH("Win",A354)), "Challenge",IF(ISNUMBER(SEARCH("Challenge",A354)), "Challenge",IF(ISNUMBER(SEARCH("Last To Leave",A354)),"Challenge",IF(ISNUMBER(SEARCH("Giving Away", A354)),"Giveaway",IF(ISNUMBER(SEARCH("Stranded",A354)),"Survival", IF(ISNUMBER(SEARCH("Survive",A354)), "Survival", IF(ISNUMBER(SEARCH("Days",A354)),"Endurance","Other"))))))))</f>
        <v>Other</v>
      </c>
    </row>
    <row r="355" spans="1:15" x14ac:dyDescent="0.3">
      <c r="A355" t="s">
        <v>365</v>
      </c>
      <c r="B355" s="1">
        <v>42142</v>
      </c>
      <c r="C355" s="2">
        <v>65037</v>
      </c>
      <c r="D355" s="3">
        <v>1860</v>
      </c>
      <c r="E355" s="3">
        <v>420</v>
      </c>
      <c r="F355">
        <f>YEAR(B355)</f>
        <v>2015</v>
      </c>
      <c r="G355" t="str">
        <f>TEXT(B355,"MMMM")</f>
        <v>May</v>
      </c>
      <c r="H355" t="str">
        <f>TEXT(B355, "DDDD")</f>
        <v>Monday</v>
      </c>
      <c r="I355">
        <f>((D355+E355)/C355)*100</f>
        <v>3.5056967572304996</v>
      </c>
      <c r="J355">
        <f>(D355/C355)*1000</f>
        <v>28.599105124775129</v>
      </c>
      <c r="K355">
        <f>(E355/C355)*1000</f>
        <v>6.4578624475298669</v>
      </c>
      <c r="L355">
        <f>CORREL(C355:C853, D355:D853)</f>
        <v>0.87566962337775522</v>
      </c>
      <c r="M355">
        <f>CORREL(C355:C853,E355:E853)</f>
        <v>0.22731583451002665</v>
      </c>
      <c r="N355">
        <f>LEN(A355)</f>
        <v>46</v>
      </c>
      <c r="O355" t="str">
        <f>IF(ISNUMBER(SEARCH("$",A355)), "Money", IF(ISNUMBER(SEARCH("Win",A355)), "Challenge",IF(ISNUMBER(SEARCH("Challenge",A355)), "Challenge",IF(ISNUMBER(SEARCH("Last To Leave",A355)),"Challenge",IF(ISNUMBER(SEARCH("Giving Away", A355)),"Giveaway",IF(ISNUMBER(SEARCH("Stranded",A355)),"Survival", IF(ISNUMBER(SEARCH("Survive",A355)), "Survival", IF(ISNUMBER(SEARCH("Days",A355)),"Endurance","Other"))))))))</f>
        <v>Other</v>
      </c>
    </row>
    <row r="356" spans="1:15" x14ac:dyDescent="0.3">
      <c r="A356" t="s">
        <v>366</v>
      </c>
      <c r="B356" s="1">
        <v>42311</v>
      </c>
      <c r="C356" s="2">
        <v>65036</v>
      </c>
      <c r="D356" s="3">
        <v>1988</v>
      </c>
      <c r="E356" s="3">
        <v>273</v>
      </c>
      <c r="F356">
        <f>YEAR(B356)</f>
        <v>2015</v>
      </c>
      <c r="G356" t="str">
        <f>TEXT(B356,"MMMM")</f>
        <v>November</v>
      </c>
      <c r="H356" t="str">
        <f>TEXT(B356, "DDDD")</f>
        <v>Tuesday</v>
      </c>
      <c r="I356">
        <f>((D356+E356)/C356)*100</f>
        <v>3.4765360723291714</v>
      </c>
      <c r="J356">
        <f>(D356/C356)*1000</f>
        <v>30.567685589519648</v>
      </c>
      <c r="K356">
        <f>(E356/C356)*1000</f>
        <v>4.1976751337720639</v>
      </c>
      <c r="L356">
        <f>CORREL(C356:C854, D356:D854)</f>
        <v>0.87391408490119737</v>
      </c>
      <c r="M356">
        <f>CORREL(C356:C854,E356:E854)</f>
        <v>0.22419554611900935</v>
      </c>
      <c r="N356">
        <f>LEN(A356)</f>
        <v>32</v>
      </c>
      <c r="O356" t="str">
        <f>IF(ISNUMBER(SEARCH("$",A356)), "Money", IF(ISNUMBER(SEARCH("Win",A356)), "Challenge",IF(ISNUMBER(SEARCH("Challenge",A356)), "Challenge",IF(ISNUMBER(SEARCH("Last To Leave",A356)),"Challenge",IF(ISNUMBER(SEARCH("Giving Away", A356)),"Giveaway",IF(ISNUMBER(SEARCH("Stranded",A356)),"Survival", IF(ISNUMBER(SEARCH("Survive",A356)), "Survival", IF(ISNUMBER(SEARCH("Days",A356)),"Endurance","Other"))))))))</f>
        <v>Other</v>
      </c>
    </row>
    <row r="357" spans="1:15" x14ac:dyDescent="0.3">
      <c r="A357" t="s">
        <v>367</v>
      </c>
      <c r="B357" s="1">
        <v>42208</v>
      </c>
      <c r="C357" s="2">
        <v>65036</v>
      </c>
      <c r="D357" s="3">
        <v>1997</v>
      </c>
      <c r="E357" s="3">
        <v>338</v>
      </c>
      <c r="F357">
        <f>YEAR(B357)</f>
        <v>2015</v>
      </c>
      <c r="G357" t="str">
        <f>TEXT(B357,"MMMM")</f>
        <v>July</v>
      </c>
      <c r="H357" t="str">
        <f>TEXT(B357, "DDDD")</f>
        <v>Thursday</v>
      </c>
      <c r="I357">
        <f>((D357+E357)/C357)*100</f>
        <v>3.5903192078233594</v>
      </c>
      <c r="J357">
        <f>(D357/C357)*1000</f>
        <v>30.706070484039611</v>
      </c>
      <c r="K357">
        <f>(E357/C357)*1000</f>
        <v>5.1971215941939848</v>
      </c>
      <c r="L357">
        <f>CORREL(C357:C855, D357:D855)</f>
        <v>0.87338000657249482</v>
      </c>
      <c r="M357">
        <f>CORREL(C357:C855,E357:E855)</f>
        <v>0.22168086041597737</v>
      </c>
      <c r="N357">
        <f>LEN(A357)</f>
        <v>41</v>
      </c>
      <c r="O357" t="str">
        <f>IF(ISNUMBER(SEARCH("$",A357)), "Money", IF(ISNUMBER(SEARCH("Win",A357)), "Challenge",IF(ISNUMBER(SEARCH("Challenge",A357)), "Challenge",IF(ISNUMBER(SEARCH("Last To Leave",A357)),"Challenge",IF(ISNUMBER(SEARCH("Giving Away", A357)),"Giveaway",IF(ISNUMBER(SEARCH("Stranded",A357)),"Survival", IF(ISNUMBER(SEARCH("Survive",A357)), "Survival", IF(ISNUMBER(SEARCH("Days",A357)),"Endurance","Other"))))))))</f>
        <v>Other</v>
      </c>
    </row>
    <row r="358" spans="1:15" x14ac:dyDescent="0.3">
      <c r="A358" t="s">
        <v>368</v>
      </c>
      <c r="B358" s="1">
        <v>42216</v>
      </c>
      <c r="C358" s="2">
        <v>65035</v>
      </c>
      <c r="D358" s="3">
        <v>2868</v>
      </c>
      <c r="E358" s="3">
        <v>555</v>
      </c>
      <c r="F358">
        <f>YEAR(B358)</f>
        <v>2015</v>
      </c>
      <c r="G358" t="str">
        <f>TEXT(B358,"MMMM")</f>
        <v>July</v>
      </c>
      <c r="H358" t="str">
        <f>TEXT(B358, "DDDD")</f>
        <v>Friday</v>
      </c>
      <c r="I358">
        <f>((D358+E358)/C358)*100</f>
        <v>5.26331975090336</v>
      </c>
      <c r="J358">
        <f>(D358/C358)*1000</f>
        <v>44.099331129391864</v>
      </c>
      <c r="K358">
        <f>(E358/C358)*1000</f>
        <v>8.5338663796417311</v>
      </c>
      <c r="L358">
        <f>CORREL(C358:C856, D358:D856)</f>
        <v>0.87208205239251357</v>
      </c>
      <c r="M358">
        <f>CORREL(C358:C856,E358:E856)</f>
        <v>0.21930958593171451</v>
      </c>
      <c r="N358">
        <f>LEN(A358)</f>
        <v>22</v>
      </c>
      <c r="O358" t="str">
        <f>IF(ISNUMBER(SEARCH("$",A358)), "Money", IF(ISNUMBER(SEARCH("Win",A358)), "Challenge",IF(ISNUMBER(SEARCH("Challenge",A358)), "Challenge",IF(ISNUMBER(SEARCH("Last To Leave",A358)),"Challenge",IF(ISNUMBER(SEARCH("Giving Away", A358)),"Giveaway",IF(ISNUMBER(SEARCH("Stranded",A358)),"Survival", IF(ISNUMBER(SEARCH("Survive",A358)), "Survival", IF(ISNUMBER(SEARCH("Days",A358)),"Endurance","Other"))))))))</f>
        <v>Other</v>
      </c>
    </row>
    <row r="359" spans="1:15" x14ac:dyDescent="0.3">
      <c r="A359" t="s">
        <v>369</v>
      </c>
      <c r="B359" s="1">
        <v>42207</v>
      </c>
      <c r="C359" s="2">
        <v>65035</v>
      </c>
      <c r="D359" s="3">
        <v>2459</v>
      </c>
      <c r="E359" s="3">
        <v>618</v>
      </c>
      <c r="F359">
        <f>YEAR(B359)</f>
        <v>2015</v>
      </c>
      <c r="G359" t="str">
        <f>TEXT(B359,"MMMM")</f>
        <v>July</v>
      </c>
      <c r="H359" t="str">
        <f>TEXT(B359, "DDDD")</f>
        <v>Wednesday</v>
      </c>
      <c r="I359">
        <f>((D359+E359)/C359)*100</f>
        <v>4.7312985315599292</v>
      </c>
      <c r="J359">
        <f>(D359/C359)*1000</f>
        <v>37.810409779349584</v>
      </c>
      <c r="K359">
        <f>(E359/C359)*1000</f>
        <v>9.5025755362497115</v>
      </c>
      <c r="L359">
        <f>CORREL(C359:C857, D359:D857)</f>
        <v>0.87205863060364042</v>
      </c>
      <c r="M359">
        <f>CORREL(C359:C857,E359:E857)</f>
        <v>0.21728127556693649</v>
      </c>
      <c r="N359">
        <f>LEN(A359)</f>
        <v>33</v>
      </c>
      <c r="O359" t="str">
        <f>IF(ISNUMBER(SEARCH("$",A359)), "Money", IF(ISNUMBER(SEARCH("Win",A359)), "Challenge",IF(ISNUMBER(SEARCH("Challenge",A359)), "Challenge",IF(ISNUMBER(SEARCH("Last To Leave",A359)),"Challenge",IF(ISNUMBER(SEARCH("Giving Away", A359)),"Giveaway",IF(ISNUMBER(SEARCH("Stranded",A359)),"Survival", IF(ISNUMBER(SEARCH("Survive",A359)), "Survival", IF(ISNUMBER(SEARCH("Days",A359)),"Endurance","Other"))))))))</f>
        <v>Challenge</v>
      </c>
    </row>
    <row r="360" spans="1:15" x14ac:dyDescent="0.3">
      <c r="A360" t="s">
        <v>370</v>
      </c>
      <c r="B360" s="1">
        <v>42154</v>
      </c>
      <c r="C360" s="2">
        <v>65035</v>
      </c>
      <c r="D360" s="3">
        <v>1695</v>
      </c>
      <c r="E360" s="3">
        <v>420</v>
      </c>
      <c r="F360">
        <f>YEAR(B360)</f>
        <v>2015</v>
      </c>
      <c r="G360" t="str">
        <f>TEXT(B360,"MMMM")</f>
        <v>May</v>
      </c>
      <c r="H360" t="str">
        <f>TEXT(B360, "DDDD")</f>
        <v>Saturday</v>
      </c>
      <c r="I360">
        <f>((D360+E360)/C360)*100</f>
        <v>3.2520950257553625</v>
      </c>
      <c r="J360">
        <f>(D360/C360)*1000</f>
        <v>26.062889213500423</v>
      </c>
      <c r="K360">
        <f>(E360/C360)*1000</f>
        <v>6.4580610440532018</v>
      </c>
      <c r="L360">
        <f>CORREL(C360:C858, D360:D858)</f>
        <v>0.87117551405001226</v>
      </c>
      <c r="M360">
        <f>CORREL(C360:C858,E360:E858)</f>
        <v>0.21488192057718625</v>
      </c>
      <c r="N360">
        <f>LEN(A360)</f>
        <v>45</v>
      </c>
      <c r="O360" t="str">
        <f>IF(ISNUMBER(SEARCH("$",A360)), "Money", IF(ISNUMBER(SEARCH("Win",A360)), "Challenge",IF(ISNUMBER(SEARCH("Challenge",A360)), "Challenge",IF(ISNUMBER(SEARCH("Last To Leave",A360)),"Challenge",IF(ISNUMBER(SEARCH("Giving Away", A360)),"Giveaway",IF(ISNUMBER(SEARCH("Stranded",A360)),"Survival", IF(ISNUMBER(SEARCH("Survive",A360)), "Survival", IF(ISNUMBER(SEARCH("Days",A360)),"Endurance","Other"))))))))</f>
        <v>Other</v>
      </c>
    </row>
    <row r="361" spans="1:15" x14ac:dyDescent="0.3">
      <c r="A361" t="s">
        <v>371</v>
      </c>
      <c r="B361" s="1">
        <v>42159</v>
      </c>
      <c r="C361" s="2">
        <v>65034</v>
      </c>
      <c r="D361" s="3">
        <v>1898</v>
      </c>
      <c r="E361" s="3">
        <v>288</v>
      </c>
      <c r="F361">
        <f>YEAR(B361)</f>
        <v>2015</v>
      </c>
      <c r="G361" t="str">
        <f>TEXT(B361,"MMMM")</f>
        <v>June</v>
      </c>
      <c r="H361" t="str">
        <f>TEXT(B361, "DDDD")</f>
        <v>Thursday</v>
      </c>
      <c r="I361">
        <f>((D361+E361)/C361)*100</f>
        <v>3.3613186948365472</v>
      </c>
      <c r="J361">
        <f>(D361/C361)*1000</f>
        <v>29.184734139065721</v>
      </c>
      <c r="K361">
        <f>(E361/C361)*1000</f>
        <v>4.4284528092997508</v>
      </c>
      <c r="L361">
        <f>CORREL(C361:C859, D361:D859)</f>
        <v>0.87108558056118979</v>
      </c>
      <c r="M361">
        <f>CORREL(C361:C859,E361:E859)</f>
        <v>0.21294191678494512</v>
      </c>
      <c r="N361">
        <f>LEN(A361)</f>
        <v>32</v>
      </c>
      <c r="O361" t="str">
        <f>IF(ISNUMBER(SEARCH("$",A361)), "Money", IF(ISNUMBER(SEARCH("Win",A361)), "Challenge",IF(ISNUMBER(SEARCH("Challenge",A361)), "Challenge",IF(ISNUMBER(SEARCH("Last To Leave",A361)),"Challenge",IF(ISNUMBER(SEARCH("Giving Away", A361)),"Giveaway",IF(ISNUMBER(SEARCH("Stranded",A361)),"Survival", IF(ISNUMBER(SEARCH("Survive",A361)), "Survival", IF(ISNUMBER(SEARCH("Days",A361)),"Endurance","Other"))))))))</f>
        <v>Other</v>
      </c>
    </row>
    <row r="362" spans="1:15" x14ac:dyDescent="0.3">
      <c r="A362" t="s">
        <v>372</v>
      </c>
      <c r="B362" s="1">
        <v>42210</v>
      </c>
      <c r="C362" s="2">
        <v>65034</v>
      </c>
      <c r="D362" s="3">
        <v>1587</v>
      </c>
      <c r="E362" s="3">
        <v>301</v>
      </c>
      <c r="F362">
        <f>YEAR(B362)</f>
        <v>2015</v>
      </c>
      <c r="G362" t="str">
        <f>TEXT(B362,"MMMM")</f>
        <v>July</v>
      </c>
      <c r="H362" t="str">
        <f>TEXT(B362, "DDDD")</f>
        <v>Saturday</v>
      </c>
      <c r="I362">
        <f>((D362+E362)/C362)*100</f>
        <v>2.9030968416520588</v>
      </c>
      <c r="J362">
        <f>(D362/C362)*1000</f>
        <v>24.402620167912168</v>
      </c>
      <c r="K362">
        <f>(E362/C362)*1000</f>
        <v>4.62834824860842</v>
      </c>
      <c r="L362">
        <f>CORREL(C362:C860, D362:D860)</f>
        <v>0.87092022892128107</v>
      </c>
      <c r="M362">
        <f>CORREL(C362:C860,E362:E860)</f>
        <v>0.2107327551491871</v>
      </c>
      <c r="N362">
        <f>LEN(A362)</f>
        <v>33</v>
      </c>
      <c r="O362" t="str">
        <f>IF(ISNUMBER(SEARCH("$",A362)), "Money", IF(ISNUMBER(SEARCH("Win",A362)), "Challenge",IF(ISNUMBER(SEARCH("Challenge",A362)), "Challenge",IF(ISNUMBER(SEARCH("Last To Leave",A362)),"Challenge",IF(ISNUMBER(SEARCH("Giving Away", A362)),"Giveaway",IF(ISNUMBER(SEARCH("Stranded",A362)),"Survival", IF(ISNUMBER(SEARCH("Survive",A362)), "Survival", IF(ISNUMBER(SEARCH("Days",A362)),"Endurance","Other"))))))))</f>
        <v>Other</v>
      </c>
    </row>
    <row r="363" spans="1:15" x14ac:dyDescent="0.3">
      <c r="A363" t="s">
        <v>373</v>
      </c>
      <c r="B363" s="1">
        <v>42174</v>
      </c>
      <c r="C363" s="2">
        <v>65033</v>
      </c>
      <c r="D363" s="3">
        <v>1763</v>
      </c>
      <c r="E363" s="3">
        <v>404</v>
      </c>
      <c r="F363">
        <f>YEAR(B363)</f>
        <v>2015</v>
      </c>
      <c r="G363" t="str">
        <f>TEXT(B363,"MMMM")</f>
        <v>June</v>
      </c>
      <c r="H363" t="str">
        <f>TEXT(B363, "DDDD")</f>
        <v>Friday</v>
      </c>
      <c r="I363">
        <f>((D363+E363)/C363)*100</f>
        <v>3.3321544446665539</v>
      </c>
      <c r="J363">
        <f>(D363/C363)*1000</f>
        <v>27.109313733027847</v>
      </c>
      <c r="K363">
        <f>(E363/C363)*1000</f>
        <v>6.2122307136376911</v>
      </c>
      <c r="L363">
        <f>CORREL(C363:C861, D363:D861)</f>
        <v>0.87039620992434086</v>
      </c>
      <c r="M363">
        <f>CORREL(C363:C861,E363:E861)</f>
        <v>0.20865733720344443</v>
      </c>
      <c r="N363">
        <f>LEN(A363)</f>
        <v>43</v>
      </c>
      <c r="O363" t="str">
        <f>IF(ISNUMBER(SEARCH("$",A363)), "Money", IF(ISNUMBER(SEARCH("Win",A363)), "Challenge",IF(ISNUMBER(SEARCH("Challenge",A363)), "Challenge",IF(ISNUMBER(SEARCH("Last To Leave",A363)),"Challenge",IF(ISNUMBER(SEARCH("Giving Away", A363)),"Giveaway",IF(ISNUMBER(SEARCH("Stranded",A363)),"Survival", IF(ISNUMBER(SEARCH("Survive",A363)), "Survival", IF(ISNUMBER(SEARCH("Days",A363)),"Endurance","Other"))))))))</f>
        <v>Other</v>
      </c>
    </row>
    <row r="364" spans="1:15" x14ac:dyDescent="0.3">
      <c r="A364" t="s">
        <v>374</v>
      </c>
      <c r="B364" s="1">
        <v>42235</v>
      </c>
      <c r="C364" s="2">
        <v>65033</v>
      </c>
      <c r="D364" s="3">
        <v>1823</v>
      </c>
      <c r="E364" s="3">
        <v>442</v>
      </c>
      <c r="F364">
        <f>YEAR(B364)</f>
        <v>2015</v>
      </c>
      <c r="G364" t="str">
        <f>TEXT(B364,"MMMM")</f>
        <v>August</v>
      </c>
      <c r="H364" t="str">
        <f>TEXT(B364, "DDDD")</f>
        <v>Wednesday</v>
      </c>
      <c r="I364">
        <f>((D364+E364)/C364)*100</f>
        <v>3.4828471698983594</v>
      </c>
      <c r="J364">
        <f>(D364/C364)*1000</f>
        <v>28.031922254855228</v>
      </c>
      <c r="K364">
        <f>(E364/C364)*1000</f>
        <v>6.7965494441283658</v>
      </c>
      <c r="L364">
        <f>CORREL(C364:C862, D364:D862)</f>
        <v>0.86945571675041455</v>
      </c>
      <c r="M364">
        <f>CORREL(C364:C862,E364:E862)</f>
        <v>0.20663823033705003</v>
      </c>
      <c r="N364">
        <f>LEN(A364)</f>
        <v>44</v>
      </c>
      <c r="O364" t="str">
        <f>IF(ISNUMBER(SEARCH("$",A364)), "Money", IF(ISNUMBER(SEARCH("Win",A364)), "Challenge",IF(ISNUMBER(SEARCH("Challenge",A364)), "Challenge",IF(ISNUMBER(SEARCH("Last To Leave",A364)),"Challenge",IF(ISNUMBER(SEARCH("Giving Away", A364)),"Giveaway",IF(ISNUMBER(SEARCH("Stranded",A364)),"Survival", IF(ISNUMBER(SEARCH("Survive",A364)), "Survival", IF(ISNUMBER(SEARCH("Days",A364)),"Endurance","Other"))))))))</f>
        <v>Other</v>
      </c>
    </row>
    <row r="365" spans="1:15" x14ac:dyDescent="0.3">
      <c r="A365" t="s">
        <v>375</v>
      </c>
      <c r="B365" s="1">
        <v>42155</v>
      </c>
      <c r="C365" s="2">
        <v>65033</v>
      </c>
      <c r="D365" s="3">
        <v>1435</v>
      </c>
      <c r="E365" s="3">
        <v>225</v>
      </c>
      <c r="F365">
        <f>YEAR(B365)</f>
        <v>2015</v>
      </c>
      <c r="G365" t="str">
        <f>TEXT(B365,"MMMM")</f>
        <v>May</v>
      </c>
      <c r="H365" t="str">
        <f>TEXT(B365, "DDDD")</f>
        <v>Sunday</v>
      </c>
      <c r="I365">
        <f>((D365+E365)/C365)*100</f>
        <v>2.5525502437224179</v>
      </c>
      <c r="J365">
        <f>(D365/C365)*1000</f>
        <v>22.065720480371503</v>
      </c>
      <c r="K365">
        <f>(E365/C365)*1000</f>
        <v>3.4597819568526749</v>
      </c>
      <c r="L365">
        <f>CORREL(C365:C863, D365:D863)</f>
        <v>0.86921225732119922</v>
      </c>
      <c r="M365">
        <f>CORREL(C365:C863,E365:E863)</f>
        <v>0.2048203498563215</v>
      </c>
      <c r="N365">
        <f>LEN(A365)</f>
        <v>50</v>
      </c>
      <c r="O365" t="str">
        <f>IF(ISNUMBER(SEARCH("$",A365)), "Money", IF(ISNUMBER(SEARCH("Win",A365)), "Challenge",IF(ISNUMBER(SEARCH("Challenge",A365)), "Challenge",IF(ISNUMBER(SEARCH("Last To Leave",A365)),"Challenge",IF(ISNUMBER(SEARCH("Giving Away", A365)),"Giveaway",IF(ISNUMBER(SEARCH("Stranded",A365)),"Survival", IF(ISNUMBER(SEARCH("Survive",A365)), "Survival", IF(ISNUMBER(SEARCH("Days",A365)),"Endurance","Other"))))))))</f>
        <v>Other</v>
      </c>
    </row>
    <row r="366" spans="1:15" x14ac:dyDescent="0.3">
      <c r="A366" t="s">
        <v>376</v>
      </c>
      <c r="B366" s="1">
        <v>42175</v>
      </c>
      <c r="C366" s="2">
        <v>65033</v>
      </c>
      <c r="D366" s="3">
        <v>1624</v>
      </c>
      <c r="E366" s="3">
        <v>358</v>
      </c>
      <c r="F366">
        <f>YEAR(B366)</f>
        <v>2015</v>
      </c>
      <c r="G366" t="str">
        <f>TEXT(B366,"MMMM")</f>
        <v>June</v>
      </c>
      <c r="H366" t="str">
        <f>TEXT(B366, "DDDD")</f>
        <v>Saturday</v>
      </c>
      <c r="I366">
        <f>((D366+E366)/C366)*100</f>
        <v>3.0476834837697786</v>
      </c>
      <c r="J366">
        <f>(D366/C366)*1000</f>
        <v>24.971937324127751</v>
      </c>
      <c r="K366">
        <f>(E366/C366)*1000</f>
        <v>5.5048975135700333</v>
      </c>
      <c r="L366">
        <f>CORREL(C366:C864, D366:D864)</f>
        <v>0.86894269209560127</v>
      </c>
      <c r="M366">
        <f>CORREL(C366:C864,E366:E864)</f>
        <v>0.20323176016181616</v>
      </c>
      <c r="N366">
        <f>LEN(A366)</f>
        <v>56</v>
      </c>
      <c r="O366" t="str">
        <f>IF(ISNUMBER(SEARCH("$",A366)), "Money", IF(ISNUMBER(SEARCH("Win",A366)), "Challenge",IF(ISNUMBER(SEARCH("Challenge",A366)), "Challenge",IF(ISNUMBER(SEARCH("Last To Leave",A366)),"Challenge",IF(ISNUMBER(SEARCH("Giving Away", A366)),"Giveaway",IF(ISNUMBER(SEARCH("Stranded",A366)),"Survival", IF(ISNUMBER(SEARCH("Survive",A366)), "Survival", IF(ISNUMBER(SEARCH("Days",A366)),"Endurance","Other"))))))))</f>
        <v>Other</v>
      </c>
    </row>
    <row r="367" spans="1:15" x14ac:dyDescent="0.3">
      <c r="A367" t="s">
        <v>377</v>
      </c>
      <c r="B367" s="1">
        <v>42217</v>
      </c>
      <c r="C367" s="2">
        <v>65031</v>
      </c>
      <c r="D367" s="3">
        <v>1963</v>
      </c>
      <c r="E367" s="3">
        <v>466</v>
      </c>
      <c r="F367">
        <f>YEAR(B367)</f>
        <v>2015</v>
      </c>
      <c r="G367" t="str">
        <f>TEXT(B367,"MMMM")</f>
        <v>August</v>
      </c>
      <c r="H367" t="str">
        <f>TEXT(B367, "DDDD")</f>
        <v>Saturday</v>
      </c>
      <c r="I367">
        <f>((D367+E367)/C367)*100</f>
        <v>3.7351417016499822</v>
      </c>
      <c r="J367">
        <f>(D367/C367)*1000</f>
        <v>30.185603788962187</v>
      </c>
      <c r="K367">
        <f>(E367/C367)*1000</f>
        <v>7.1658132275376358</v>
      </c>
      <c r="L367">
        <f>CORREL(C367:C865, D367:D865)</f>
        <v>0.8684317205851072</v>
      </c>
      <c r="M367">
        <f>CORREL(C367:C865,E367:E865)</f>
        <v>0.2014384322305969</v>
      </c>
      <c r="N367">
        <f>LEN(A367)</f>
        <v>61</v>
      </c>
      <c r="O367" t="str">
        <f>IF(ISNUMBER(SEARCH("$",A367)), "Money", IF(ISNUMBER(SEARCH("Win",A367)), "Challenge",IF(ISNUMBER(SEARCH("Challenge",A367)), "Challenge",IF(ISNUMBER(SEARCH("Last To Leave",A367)),"Challenge",IF(ISNUMBER(SEARCH("Giving Away", A367)),"Giveaway",IF(ISNUMBER(SEARCH("Stranded",A367)),"Survival", IF(ISNUMBER(SEARCH("Survive",A367)), "Survival", IF(ISNUMBER(SEARCH("Days",A367)),"Endurance","Other"))))))))</f>
        <v>Other</v>
      </c>
    </row>
    <row r="368" spans="1:15" x14ac:dyDescent="0.3">
      <c r="A368" t="s">
        <v>378</v>
      </c>
      <c r="B368" s="1">
        <v>42401</v>
      </c>
      <c r="C368" s="2">
        <v>68466482</v>
      </c>
      <c r="D368" s="3">
        <v>709586</v>
      </c>
      <c r="E368" s="3">
        <v>56965</v>
      </c>
      <c r="F368">
        <f>YEAR(B368)</f>
        <v>2016</v>
      </c>
      <c r="G368" t="str">
        <f>TEXT(B368,"MMMM")</f>
        <v>February</v>
      </c>
      <c r="H368" t="str">
        <f>TEXT(B368, "DDDD")</f>
        <v>Monday</v>
      </c>
      <c r="I368">
        <f>((D368+E368)/C368)*100</f>
        <v>1.1196003907430208</v>
      </c>
      <c r="J368">
        <f>(D368/C368)*1000</f>
        <v>10.363990952536454</v>
      </c>
      <c r="K368">
        <f>(E368/C368)*1000</f>
        <v>0.83201295489375371</v>
      </c>
      <c r="L368">
        <f>CORREL(C368:C866, D368:D866)</f>
        <v>0.86158150507726849</v>
      </c>
      <c r="M368">
        <f>CORREL(C368:C866,E368:E866)</f>
        <v>0.20074952215143729</v>
      </c>
      <c r="N368">
        <f>LEN(A368)</f>
        <v>32</v>
      </c>
      <c r="O368" t="str">
        <f>IF(ISNUMBER(SEARCH("$",A368)), "Money", IF(ISNUMBER(SEARCH("Win",A368)), "Challenge",IF(ISNUMBER(SEARCH("Challenge",A368)), "Challenge",IF(ISNUMBER(SEARCH("Last To Leave",A368)),"Challenge",IF(ISNUMBER(SEARCH("Giving Away", A368)),"Giveaway",IF(ISNUMBER(SEARCH("Stranded",A368)),"Survival", IF(ISNUMBER(SEARCH("Survive",A368)), "Survival", IF(ISNUMBER(SEARCH("Days",A368)),"Endurance","Other"))))))))</f>
        <v>Other</v>
      </c>
    </row>
    <row r="369" spans="1:15" x14ac:dyDescent="0.3">
      <c r="A369" t="s">
        <v>379</v>
      </c>
      <c r="B369" s="1">
        <v>42522</v>
      </c>
      <c r="C369" s="2">
        <v>28588613</v>
      </c>
      <c r="D369" s="3">
        <v>810565</v>
      </c>
      <c r="E369" s="3">
        <v>27300</v>
      </c>
      <c r="F369">
        <f>YEAR(B369)</f>
        <v>2016</v>
      </c>
      <c r="G369" t="str">
        <f>TEXT(B369,"MMMM")</f>
        <v>June</v>
      </c>
      <c r="H369" t="str">
        <f>TEXT(B369, "DDDD")</f>
        <v>Wednesday</v>
      </c>
      <c r="I369">
        <f>((D369+E369)/C369)*100</f>
        <v>2.9307647768711269</v>
      </c>
      <c r="J369">
        <f>(D369/C369)*1000</f>
        <v>28.352722113521214</v>
      </c>
      <c r="K369">
        <f>(E369/C369)*1000</f>
        <v>0.95492565519005757</v>
      </c>
      <c r="L369">
        <f>CORREL(C369:C867, D369:D867)</f>
        <v>0.86149128228626015</v>
      </c>
      <c r="M369">
        <f>CORREL(C369:C867,E369:E867)</f>
        <v>0.20037072728656266</v>
      </c>
      <c r="N369">
        <f>LEN(A369)</f>
        <v>25</v>
      </c>
      <c r="O369" t="str">
        <f>IF(ISNUMBER(SEARCH("$",A369)), "Money", IF(ISNUMBER(SEARCH("Win",A369)), "Challenge",IF(ISNUMBER(SEARCH("Challenge",A369)), "Challenge",IF(ISNUMBER(SEARCH("Last To Leave",A369)),"Challenge",IF(ISNUMBER(SEARCH("Giving Away", A369)),"Giveaway",IF(ISNUMBER(SEARCH("Stranded",A369)),"Survival", IF(ISNUMBER(SEARCH("Survive",A369)), "Survival", IF(ISNUMBER(SEARCH("Days",A369)),"Endurance","Other"))))))))</f>
        <v>Other</v>
      </c>
    </row>
    <row r="370" spans="1:15" x14ac:dyDescent="0.3">
      <c r="A370" t="s">
        <v>380</v>
      </c>
      <c r="B370" s="1">
        <v>42725</v>
      </c>
      <c r="C370" s="2">
        <v>23181784</v>
      </c>
      <c r="D370" s="3">
        <v>579711</v>
      </c>
      <c r="E370" s="3">
        <v>33174</v>
      </c>
      <c r="F370">
        <f>YEAR(B370)</f>
        <v>2016</v>
      </c>
      <c r="G370" t="str">
        <f>TEXT(B370,"MMMM")</f>
        <v>December</v>
      </c>
      <c r="H370" t="str">
        <f>TEXT(B370, "DDDD")</f>
        <v>Wednesday</v>
      </c>
      <c r="I370">
        <f>((D370+E370)/C370)*100</f>
        <v>2.6438215453996121</v>
      </c>
      <c r="J370">
        <f>(D370/C370)*1000</f>
        <v>25.007178049799791</v>
      </c>
      <c r="K370">
        <f>(E370/C370)*1000</f>
        <v>1.4310374041963294</v>
      </c>
      <c r="L370">
        <f>CORREL(C370:C868, D370:D868)</f>
        <v>0.8610745050732419</v>
      </c>
      <c r="M370">
        <f>CORREL(C370:C868,E370:E868)</f>
        <v>0.19942610498916105</v>
      </c>
      <c r="N370">
        <f>LEN(A370)</f>
        <v>45</v>
      </c>
      <c r="O370" t="str">
        <f>IF(ISNUMBER(SEARCH("$",A370)), "Money", IF(ISNUMBER(SEARCH("Win",A370)), "Challenge",IF(ISNUMBER(SEARCH("Challenge",A370)), "Challenge",IF(ISNUMBER(SEARCH("Last To Leave",A370)),"Challenge",IF(ISNUMBER(SEARCH("Giving Away", A370)),"Giveaway",IF(ISNUMBER(SEARCH("Stranded",A370)),"Survival", IF(ISNUMBER(SEARCH("Survive",A370)), "Survival", IF(ISNUMBER(SEARCH("Days",A370)),"Endurance","Other"))))))))</f>
        <v>Other</v>
      </c>
    </row>
    <row r="371" spans="1:15" x14ac:dyDescent="0.3">
      <c r="A371" t="s">
        <v>381</v>
      </c>
      <c r="B371" s="1">
        <v>42704</v>
      </c>
      <c r="C371" s="2">
        <v>16562150</v>
      </c>
      <c r="D371" s="3">
        <v>453555</v>
      </c>
      <c r="E371" s="3">
        <v>15783</v>
      </c>
      <c r="F371">
        <f>YEAR(B371)</f>
        <v>2016</v>
      </c>
      <c r="G371" t="str">
        <f>TEXT(B371,"MMMM")</f>
        <v>November</v>
      </c>
      <c r="H371" t="str">
        <f>TEXT(B371, "DDDD")</f>
        <v>Wednesday</v>
      </c>
      <c r="I371">
        <f>((D371+E371)/C371)*100</f>
        <v>2.8337987519736267</v>
      </c>
      <c r="J371">
        <f>(D371/C371)*1000</f>
        <v>27.385031532741824</v>
      </c>
      <c r="K371">
        <f>(E371/C371)*1000</f>
        <v>0.95295598699444217</v>
      </c>
      <c r="L371">
        <f>CORREL(C371:C869, D371:D869)</f>
        <v>0.86080365195874742</v>
      </c>
      <c r="M371">
        <f>CORREL(C371:C869,E371:E869)</f>
        <v>0.19866670686622881</v>
      </c>
      <c r="N371">
        <f>LEN(A371)</f>
        <v>67</v>
      </c>
      <c r="O371" t="str">
        <f>IF(ISNUMBER(SEARCH("$",A371)), "Money", IF(ISNUMBER(SEARCH("Win",A371)), "Challenge",IF(ISNUMBER(SEARCH("Challenge",A371)), "Challenge",IF(ISNUMBER(SEARCH("Last To Leave",A371)),"Challenge",IF(ISNUMBER(SEARCH("Giving Away", A371)),"Giveaway",IF(ISNUMBER(SEARCH("Stranded",A371)),"Survival", IF(ISNUMBER(SEARCH("Survive",A371)), "Survival", IF(ISNUMBER(SEARCH("Days",A371)),"Endurance","Other"))))))))</f>
        <v>Challenge</v>
      </c>
    </row>
    <row r="372" spans="1:15" x14ac:dyDescent="0.3">
      <c r="A372" t="s">
        <v>382</v>
      </c>
      <c r="B372" s="1">
        <v>42677</v>
      </c>
      <c r="C372" s="2">
        <v>13459378</v>
      </c>
      <c r="D372" s="3">
        <v>352607</v>
      </c>
      <c r="E372" s="3">
        <v>7766</v>
      </c>
      <c r="F372">
        <f>YEAR(B372)</f>
        <v>2016</v>
      </c>
      <c r="G372" t="str">
        <f>TEXT(B372,"MMMM")</f>
        <v>November</v>
      </c>
      <c r="H372" t="str">
        <f>TEXT(B372, "DDDD")</f>
        <v>Thursday</v>
      </c>
      <c r="I372">
        <f>((D372+E372)/C372)*100</f>
        <v>2.6774862850274359</v>
      </c>
      <c r="J372">
        <f>(D372/C372)*1000</f>
        <v>26.197867390305852</v>
      </c>
      <c r="K372">
        <f>(E372/C372)*1000</f>
        <v>0.57699545996850676</v>
      </c>
      <c r="L372">
        <f>CORREL(C372:C870, D372:D870)</f>
        <v>0.8606747591231606</v>
      </c>
      <c r="M372">
        <f>CORREL(C372:C870,E372:E870)</f>
        <v>0.19801240953460042</v>
      </c>
      <c r="N372">
        <f>LEN(A372)</f>
        <v>33</v>
      </c>
      <c r="O372" t="str">
        <f>IF(ISNUMBER(SEARCH("$",A372)), "Money", IF(ISNUMBER(SEARCH("Win",A372)), "Challenge",IF(ISNUMBER(SEARCH("Challenge",A372)), "Challenge",IF(ISNUMBER(SEARCH("Last To Leave",A372)),"Challenge",IF(ISNUMBER(SEARCH("Giving Away", A372)),"Giveaway",IF(ISNUMBER(SEARCH("Stranded",A372)),"Survival", IF(ISNUMBER(SEARCH("Survive",A372)), "Survival", IF(ISNUMBER(SEARCH("Days",A372)),"Endurance","Other"))))))))</f>
        <v>Money</v>
      </c>
    </row>
    <row r="373" spans="1:15" x14ac:dyDescent="0.3">
      <c r="A373" t="s">
        <v>383</v>
      </c>
      <c r="B373" s="1">
        <v>42713</v>
      </c>
      <c r="C373" s="2">
        <v>11907923</v>
      </c>
      <c r="D373" s="3">
        <v>438881</v>
      </c>
      <c r="E373" s="3">
        <v>41094</v>
      </c>
      <c r="F373">
        <f>YEAR(B373)</f>
        <v>2016</v>
      </c>
      <c r="G373" t="str">
        <f>TEXT(B373,"MMMM")</f>
        <v>December</v>
      </c>
      <c r="H373" t="str">
        <f>TEXT(B373, "DDDD")</f>
        <v>Friday</v>
      </c>
      <c r="I373">
        <f>((D373+E373)/C373)*100</f>
        <v>4.0307197149326548</v>
      </c>
      <c r="J373">
        <f>(D373/C373)*1000</f>
        <v>36.856217494856153</v>
      </c>
      <c r="K373">
        <f>(E373/C373)*1000</f>
        <v>3.4509796544703892</v>
      </c>
      <c r="L373">
        <f>CORREL(C373:C871, D373:D871)</f>
        <v>0.86025345980125789</v>
      </c>
      <c r="M373">
        <f>CORREL(C373:C871,E373:E871)</f>
        <v>0.19685410314829804</v>
      </c>
      <c r="N373">
        <f>LEN(A373)</f>
        <v>23</v>
      </c>
      <c r="O373" t="str">
        <f>IF(ISNUMBER(SEARCH("$",A373)), "Money", IF(ISNUMBER(SEARCH("Win",A373)), "Challenge",IF(ISNUMBER(SEARCH("Challenge",A373)), "Challenge",IF(ISNUMBER(SEARCH("Last To Leave",A373)),"Challenge",IF(ISNUMBER(SEARCH("Giving Away", A373)),"Giveaway",IF(ISNUMBER(SEARCH("Stranded",A373)),"Survival", IF(ISNUMBER(SEARCH("Survive",A373)), "Survival", IF(ISNUMBER(SEARCH("Days",A373)),"Endurance","Other"))))))))</f>
        <v>Other</v>
      </c>
    </row>
    <row r="374" spans="1:15" x14ac:dyDescent="0.3">
      <c r="A374" t="s">
        <v>384</v>
      </c>
      <c r="B374" s="1">
        <v>42699</v>
      </c>
      <c r="C374" s="2">
        <v>11028616</v>
      </c>
      <c r="D374" s="3">
        <v>215572</v>
      </c>
      <c r="E374" s="3">
        <v>11781</v>
      </c>
      <c r="F374">
        <f>YEAR(B374)</f>
        <v>2016</v>
      </c>
      <c r="G374" t="str">
        <f>TEXT(B374,"MMMM")</f>
        <v>November</v>
      </c>
      <c r="H374" t="str">
        <f>TEXT(B374, "DDDD")</f>
        <v>Friday</v>
      </c>
      <c r="I374">
        <f>((D374+E374)/C374)*100</f>
        <v>2.0614826012620258</v>
      </c>
      <c r="J374">
        <f>(D374/C374)*1000</f>
        <v>19.546604941182103</v>
      </c>
      <c r="K374">
        <f>(E374/C374)*1000</f>
        <v>1.0682210714381568</v>
      </c>
      <c r="L374">
        <f>CORREL(C374:C872, D374:D872)</f>
        <v>0.86005062983537284</v>
      </c>
      <c r="M374">
        <f>CORREL(C374:C872,E374:E872)</f>
        <v>0.19624534156367021</v>
      </c>
      <c r="N374">
        <f>LEN(A374)</f>
        <v>95</v>
      </c>
      <c r="O374" t="str">
        <f>IF(ISNUMBER(SEARCH("$",A374)), "Money", IF(ISNUMBER(SEARCH("Win",A374)), "Challenge",IF(ISNUMBER(SEARCH("Challenge",A374)), "Challenge",IF(ISNUMBER(SEARCH("Last To Leave",A374)),"Challenge",IF(ISNUMBER(SEARCH("Giving Away", A374)),"Giveaway",IF(ISNUMBER(SEARCH("Stranded",A374)),"Survival", IF(ISNUMBER(SEARCH("Survive",A374)), "Survival", IF(ISNUMBER(SEARCH("Days",A374)),"Endurance","Other"))))))))</f>
        <v>Other</v>
      </c>
    </row>
    <row r="375" spans="1:15" x14ac:dyDescent="0.3">
      <c r="A375" t="s">
        <v>385</v>
      </c>
      <c r="B375" s="1">
        <v>42659</v>
      </c>
      <c r="C375" s="2">
        <v>9907166</v>
      </c>
      <c r="D375" s="3">
        <v>575329</v>
      </c>
      <c r="E375" s="3">
        <v>17612</v>
      </c>
      <c r="F375">
        <f>YEAR(B375)</f>
        <v>2016</v>
      </c>
      <c r="G375" t="str">
        <f>TEXT(B375,"MMMM")</f>
        <v>October</v>
      </c>
      <c r="H375" t="str">
        <f>TEXT(B375, "DDDD")</f>
        <v>Sunday</v>
      </c>
      <c r="I375">
        <f>((D375+E375)/C375)*100</f>
        <v>5.984970878654905</v>
      </c>
      <c r="J375">
        <f>(D375/C375)*1000</f>
        <v>58.072005657319153</v>
      </c>
      <c r="K375">
        <f>(E375/C375)*1000</f>
        <v>1.7777031292298926</v>
      </c>
      <c r="L375">
        <f>CORREL(C375:C873, D375:D873)</f>
        <v>0.85986027053809366</v>
      </c>
      <c r="M375">
        <f>CORREL(C375:C873,E375:E873)</f>
        <v>0.19519737432390011</v>
      </c>
      <c r="N375">
        <f>LEN(A375)</f>
        <v>23</v>
      </c>
      <c r="O375" t="str">
        <f>IF(ISNUMBER(SEARCH("$",A375)), "Money", IF(ISNUMBER(SEARCH("Win",A375)), "Challenge",IF(ISNUMBER(SEARCH("Challenge",A375)), "Challenge",IF(ISNUMBER(SEARCH("Last To Leave",A375)),"Challenge",IF(ISNUMBER(SEARCH("Giving Away", A375)),"Giveaway",IF(ISNUMBER(SEARCH("Stranded",A375)),"Survival", IF(ISNUMBER(SEARCH("Survive",A375)), "Survival", IF(ISNUMBER(SEARCH("Days",A375)),"Endurance","Other"))))))))</f>
        <v>Other</v>
      </c>
    </row>
    <row r="376" spans="1:15" x14ac:dyDescent="0.3">
      <c r="A376" t="s">
        <v>386</v>
      </c>
      <c r="B376" s="1">
        <v>42722</v>
      </c>
      <c r="C376" s="2">
        <v>8869396</v>
      </c>
      <c r="D376" s="3">
        <v>713680</v>
      </c>
      <c r="E376" s="3">
        <v>12994</v>
      </c>
      <c r="F376">
        <f>YEAR(B376)</f>
        <v>2016</v>
      </c>
      <c r="G376" t="str">
        <f>TEXT(B376,"MMMM")</f>
        <v>December</v>
      </c>
      <c r="H376" t="str">
        <f>TEXT(B376, "DDDD")</f>
        <v>Sunday</v>
      </c>
      <c r="I376">
        <f>((D376+E376)/C376)*100</f>
        <v>8.1930494477865246</v>
      </c>
      <c r="J376">
        <f>(D376/C376)*1000</f>
        <v>80.46545672332141</v>
      </c>
      <c r="K376">
        <f>(E376/C376)*1000</f>
        <v>1.4650377545438269</v>
      </c>
      <c r="L376">
        <f>CORREL(C376:C874, D376:D874)</f>
        <v>0.8597299077835111</v>
      </c>
      <c r="M376">
        <f>CORREL(C376:C874,E376:E874)</f>
        <v>0.19445582249373705</v>
      </c>
      <c r="N376">
        <f>LEN(A376)</f>
        <v>32</v>
      </c>
      <c r="O376" t="str">
        <f>IF(ISNUMBER(SEARCH("$",A376)), "Money", IF(ISNUMBER(SEARCH("Win",A376)), "Challenge",IF(ISNUMBER(SEARCH("Challenge",A376)), "Challenge",IF(ISNUMBER(SEARCH("Last To Leave",A376)),"Challenge",IF(ISNUMBER(SEARCH("Giving Away", A376)),"Giveaway",IF(ISNUMBER(SEARCH("Stranded",A376)),"Survival", IF(ISNUMBER(SEARCH("Survive",A376)), "Survival", IF(ISNUMBER(SEARCH("Days",A376)),"Endurance","Other"))))))))</f>
        <v>Other</v>
      </c>
    </row>
    <row r="377" spans="1:15" x14ac:dyDescent="0.3">
      <c r="A377" t="s">
        <v>387</v>
      </c>
      <c r="B377" s="1">
        <v>42727</v>
      </c>
      <c r="C377" s="2">
        <v>4989659</v>
      </c>
      <c r="D377" s="3">
        <v>89510</v>
      </c>
      <c r="E377" s="3">
        <v>14920</v>
      </c>
      <c r="F377">
        <f>YEAR(B377)</f>
        <v>2016</v>
      </c>
      <c r="G377" t="str">
        <f>TEXT(B377,"MMMM")</f>
        <v>December</v>
      </c>
      <c r="H377" t="str">
        <f>TEXT(B377, "DDDD")</f>
        <v>Friday</v>
      </c>
      <c r="I377">
        <f>((D377+E377)/C377)*100</f>
        <v>2.0929285949200134</v>
      </c>
      <c r="J377">
        <f>(D377/C377)*1000</f>
        <v>17.939101650032597</v>
      </c>
      <c r="K377">
        <f>(E377/C377)*1000</f>
        <v>2.9901842991675385</v>
      </c>
      <c r="L377">
        <f>CORREL(C377:C875, D377:D875)</f>
        <v>0.8595659071841375</v>
      </c>
      <c r="M377">
        <f>CORREL(C377:C875,E377:E875)</f>
        <v>0.19360603325352169</v>
      </c>
      <c r="N377">
        <f>LEN(A377)</f>
        <v>45</v>
      </c>
      <c r="O377" t="str">
        <f>IF(ISNUMBER(SEARCH("$",A377)), "Money", IF(ISNUMBER(SEARCH("Win",A377)), "Challenge",IF(ISNUMBER(SEARCH("Challenge",A377)), "Challenge",IF(ISNUMBER(SEARCH("Last To Leave",A377)),"Challenge",IF(ISNUMBER(SEARCH("Giving Away", A377)),"Giveaway",IF(ISNUMBER(SEARCH("Stranded",A377)),"Survival", IF(ISNUMBER(SEARCH("Survive",A377)), "Survival", IF(ISNUMBER(SEARCH("Days",A377)),"Endurance","Other"))))))))</f>
        <v>Other</v>
      </c>
    </row>
    <row r="378" spans="1:15" x14ac:dyDescent="0.3">
      <c r="A378" t="s">
        <v>388</v>
      </c>
      <c r="B378" s="1">
        <v>42685</v>
      </c>
      <c r="C378" s="2">
        <v>3891564</v>
      </c>
      <c r="D378" s="3">
        <v>225088</v>
      </c>
      <c r="E378" s="3">
        <v>4878</v>
      </c>
      <c r="F378">
        <f>YEAR(B378)</f>
        <v>2016</v>
      </c>
      <c r="G378" t="str">
        <f>TEXT(B378,"MMMM")</f>
        <v>November</v>
      </c>
      <c r="H378" t="str">
        <f>TEXT(B378, "DDDD")</f>
        <v>Friday</v>
      </c>
      <c r="I378">
        <f>((D378+E378)/C378)*100</f>
        <v>5.9093464735515076</v>
      </c>
      <c r="J378">
        <f>(D378/C378)*1000</f>
        <v>57.839984129774045</v>
      </c>
      <c r="K378">
        <f>(E378/C378)*1000</f>
        <v>1.2534806057410337</v>
      </c>
      <c r="L378">
        <f>CORREL(C378:C876, D378:D876)</f>
        <v>0.85931858394577898</v>
      </c>
      <c r="M378">
        <f>CORREL(C378:C876,E378:E876)</f>
        <v>0.19272672200544219</v>
      </c>
      <c r="N378">
        <f>LEN(A378)</f>
        <v>38</v>
      </c>
      <c r="O378" t="str">
        <f>IF(ISNUMBER(SEARCH("$",A378)), "Money", IF(ISNUMBER(SEARCH("Win",A378)), "Challenge",IF(ISNUMBER(SEARCH("Challenge",A378)), "Challenge",IF(ISNUMBER(SEARCH("Last To Leave",A378)),"Challenge",IF(ISNUMBER(SEARCH("Giving Away", A378)),"Giveaway",IF(ISNUMBER(SEARCH("Stranded",A378)),"Survival", IF(ISNUMBER(SEARCH("Survive",A378)), "Survival", IF(ISNUMBER(SEARCH("Days",A378)),"Endurance","Other"))))))))</f>
        <v>Money</v>
      </c>
    </row>
    <row r="379" spans="1:15" x14ac:dyDescent="0.3">
      <c r="A379" t="s">
        <v>389</v>
      </c>
      <c r="B379" s="1">
        <v>42693</v>
      </c>
      <c r="C379" s="2">
        <v>3820036</v>
      </c>
      <c r="D379" s="3">
        <v>326445</v>
      </c>
      <c r="E379" s="3">
        <v>18071</v>
      </c>
      <c r="F379">
        <f>YEAR(B379)</f>
        <v>2016</v>
      </c>
      <c r="G379" t="str">
        <f>TEXT(B379,"MMMM")</f>
        <v>November</v>
      </c>
      <c r="H379" t="str">
        <f>TEXT(B379, "DDDD")</f>
        <v>Saturday</v>
      </c>
      <c r="I379">
        <f>((D379+E379)/C379)*100</f>
        <v>9.0186584629045381</v>
      </c>
      <c r="J379">
        <f>(D379/C379)*1000</f>
        <v>85.456000938211048</v>
      </c>
      <c r="K379">
        <f>(E379/C379)*1000</f>
        <v>4.7305836908343268</v>
      </c>
      <c r="L379">
        <f>CORREL(C379:C877, D379:D877)</f>
        <v>0.85911669233268928</v>
      </c>
      <c r="M379">
        <f>CORREL(C379:C877,E379:E877)</f>
        <v>0.1917063752164859</v>
      </c>
      <c r="N379">
        <f>LEN(A379)</f>
        <v>30</v>
      </c>
      <c r="O379" t="str">
        <f>IF(ISNUMBER(SEARCH("$",A379)), "Money", IF(ISNUMBER(SEARCH("Win",A379)), "Challenge",IF(ISNUMBER(SEARCH("Challenge",A379)), "Challenge",IF(ISNUMBER(SEARCH("Last To Leave",A379)),"Challenge",IF(ISNUMBER(SEARCH("Giving Away", A379)),"Giveaway",IF(ISNUMBER(SEARCH("Stranded",A379)),"Survival", IF(ISNUMBER(SEARCH("Survive",A379)), "Survival", IF(ISNUMBER(SEARCH("Days",A379)),"Endurance","Other"))))))))</f>
        <v>Other</v>
      </c>
    </row>
    <row r="380" spans="1:15" x14ac:dyDescent="0.3">
      <c r="A380" t="s">
        <v>390</v>
      </c>
      <c r="B380" s="1">
        <v>42525</v>
      </c>
      <c r="C380" s="2">
        <v>3790080</v>
      </c>
      <c r="D380" s="3">
        <v>166052</v>
      </c>
      <c r="E380" s="3">
        <v>6903</v>
      </c>
      <c r="F380">
        <f>YEAR(B380)</f>
        <v>2016</v>
      </c>
      <c r="G380" t="str">
        <f>TEXT(B380,"MMMM")</f>
        <v>June</v>
      </c>
      <c r="H380" t="str">
        <f>TEXT(B380, "DDDD")</f>
        <v>Saturday</v>
      </c>
      <c r="I380">
        <f>((D380+E380)/C380)*100</f>
        <v>4.5633601401553525</v>
      </c>
      <c r="J380">
        <f>(D380/C380)*1000</f>
        <v>43.812267814927388</v>
      </c>
      <c r="K380">
        <f>(E380/C380)*1000</f>
        <v>1.82133358662614</v>
      </c>
      <c r="L380">
        <f>CORREL(C380:C878, D380:D878)</f>
        <v>0.85892751134294121</v>
      </c>
      <c r="M380">
        <f>CORREL(C380:C878,E380:E878)</f>
        <v>0.19086666081854872</v>
      </c>
      <c r="N380">
        <f>LEN(A380)</f>
        <v>41</v>
      </c>
      <c r="O380" t="str">
        <f>IF(ISNUMBER(SEARCH("$",A380)), "Money", IF(ISNUMBER(SEARCH("Win",A380)), "Challenge",IF(ISNUMBER(SEARCH("Challenge",A380)), "Challenge",IF(ISNUMBER(SEARCH("Last To Leave",A380)),"Challenge",IF(ISNUMBER(SEARCH("Giving Away", A380)),"Giveaway",IF(ISNUMBER(SEARCH("Stranded",A380)),"Survival", IF(ISNUMBER(SEARCH("Survive",A380)), "Survival", IF(ISNUMBER(SEARCH("Days",A380)),"Endurance","Other"))))))))</f>
        <v>Other</v>
      </c>
    </row>
    <row r="381" spans="1:15" x14ac:dyDescent="0.3">
      <c r="A381" t="s">
        <v>391</v>
      </c>
      <c r="B381" s="1">
        <v>42584</v>
      </c>
      <c r="C381" s="2">
        <v>3631816</v>
      </c>
      <c r="D381" s="3">
        <v>120354</v>
      </c>
      <c r="E381" s="3">
        <v>7311</v>
      </c>
      <c r="F381">
        <f>YEAR(B381)</f>
        <v>2016</v>
      </c>
      <c r="G381" t="str">
        <f>TEXT(B381,"MMMM")</f>
        <v>August</v>
      </c>
      <c r="H381" t="str">
        <f>TEXT(B381, "DDDD")</f>
        <v>Tuesday</v>
      </c>
      <c r="I381">
        <f>((D381+E381)/C381)*100</f>
        <v>3.5151835885958977</v>
      </c>
      <c r="J381">
        <f>(D381/C381)*1000</f>
        <v>33.138793374994769</v>
      </c>
      <c r="K381">
        <f>(E381/C381)*1000</f>
        <v>2.0130425109642118</v>
      </c>
      <c r="L381">
        <f>CORREL(C381:C879, D381:D879)</f>
        <v>0.85875373113822473</v>
      </c>
      <c r="M381">
        <f>CORREL(C381:C879,E381:E879)</f>
        <v>0.18986158816584861</v>
      </c>
      <c r="N381">
        <f>LEN(A381)</f>
        <v>29</v>
      </c>
      <c r="O381" t="str">
        <f>IF(ISNUMBER(SEARCH("$",A381)), "Money", IF(ISNUMBER(SEARCH("Win",A381)), "Challenge",IF(ISNUMBER(SEARCH("Challenge",A381)), "Challenge",IF(ISNUMBER(SEARCH("Last To Leave",A381)),"Challenge",IF(ISNUMBER(SEARCH("Giving Away", A381)),"Giveaway",IF(ISNUMBER(SEARCH("Stranded",A381)),"Survival", IF(ISNUMBER(SEARCH("Survive",A381)), "Survival", IF(ISNUMBER(SEARCH("Days",A381)),"Endurance","Other"))))))))</f>
        <v>Money</v>
      </c>
    </row>
    <row r="382" spans="1:15" x14ac:dyDescent="0.3">
      <c r="A382" t="s">
        <v>392</v>
      </c>
      <c r="B382" s="1">
        <v>42605</v>
      </c>
      <c r="C382" s="2">
        <v>3378245</v>
      </c>
      <c r="D382" s="3">
        <v>139231</v>
      </c>
      <c r="E382" s="3">
        <v>6764</v>
      </c>
      <c r="F382">
        <f>YEAR(B382)</f>
        <v>2016</v>
      </c>
      <c r="G382" t="str">
        <f>TEXT(B382,"MMMM")</f>
        <v>August</v>
      </c>
      <c r="H382" t="str">
        <f>TEXT(B382, "DDDD")</f>
        <v>Tuesday</v>
      </c>
      <c r="I382">
        <f>((D382+E382)/C382)*100</f>
        <v>4.3216226176609451</v>
      </c>
      <c r="J382">
        <f>(D382/C382)*1000</f>
        <v>41.214003128843522</v>
      </c>
      <c r="K382">
        <f>(E382/C382)*1000</f>
        <v>2.0022230477659257</v>
      </c>
      <c r="L382">
        <f>CORREL(C382:C880, D382:D880)</f>
        <v>0.85856559406683219</v>
      </c>
      <c r="M382">
        <f>CORREL(C382:C880,E382:E880)</f>
        <v>0.18886726569172899</v>
      </c>
      <c r="N382">
        <f>LEN(A382)</f>
        <v>41</v>
      </c>
      <c r="O382" t="str">
        <f>IF(ISNUMBER(SEARCH("$",A382)), "Money", IF(ISNUMBER(SEARCH("Win",A382)), "Challenge",IF(ISNUMBER(SEARCH("Challenge",A382)), "Challenge",IF(ISNUMBER(SEARCH("Last To Leave",A382)),"Challenge",IF(ISNUMBER(SEARCH("Giving Away", A382)),"Giveaway",IF(ISNUMBER(SEARCH("Stranded",A382)),"Survival", IF(ISNUMBER(SEARCH("Survive",A382)), "Survival", IF(ISNUMBER(SEARCH("Days",A382)),"Endurance","Other"))))))))</f>
        <v>Other</v>
      </c>
    </row>
    <row r="383" spans="1:15" x14ac:dyDescent="0.3">
      <c r="A383" t="s">
        <v>393</v>
      </c>
      <c r="B383" s="1">
        <v>42596</v>
      </c>
      <c r="C383" s="2">
        <v>3157501</v>
      </c>
      <c r="D383" s="3">
        <v>151452</v>
      </c>
      <c r="E383" s="3">
        <v>5447</v>
      </c>
      <c r="F383">
        <f>YEAR(B383)</f>
        <v>2016</v>
      </c>
      <c r="G383" t="str">
        <f>TEXT(B383,"MMMM")</f>
        <v>August</v>
      </c>
      <c r="H383" t="str">
        <f>TEXT(B383, "DDDD")</f>
        <v>Sunday</v>
      </c>
      <c r="I383">
        <f>((D383+E383)/C383)*100</f>
        <v>4.9690878957758047</v>
      </c>
      <c r="J383">
        <f>(D383/C383)*1000</f>
        <v>47.965780533402842</v>
      </c>
      <c r="K383">
        <f>(E383/C383)*1000</f>
        <v>1.7250984243552101</v>
      </c>
      <c r="L383">
        <f>CORREL(C383:C881, D383:D881)</f>
        <v>0.85839631155403706</v>
      </c>
      <c r="M383">
        <f>CORREL(C383:C881,E383:E881)</f>
        <v>0.1878933088851775</v>
      </c>
      <c r="N383">
        <f>LEN(A383)</f>
        <v>33</v>
      </c>
      <c r="O383" t="str">
        <f>IF(ISNUMBER(SEARCH("$",A383)), "Money", IF(ISNUMBER(SEARCH("Win",A383)), "Challenge",IF(ISNUMBER(SEARCH("Challenge",A383)), "Challenge",IF(ISNUMBER(SEARCH("Last To Leave",A383)),"Challenge",IF(ISNUMBER(SEARCH("Giving Away", A383)),"Giveaway",IF(ISNUMBER(SEARCH("Stranded",A383)),"Survival", IF(ISNUMBER(SEARCH("Survive",A383)), "Survival", IF(ISNUMBER(SEARCH("Days",A383)),"Endurance","Other"))))))))</f>
        <v>Other</v>
      </c>
    </row>
    <row r="384" spans="1:15" x14ac:dyDescent="0.3">
      <c r="A384" t="s">
        <v>394</v>
      </c>
      <c r="B384" s="1">
        <v>42608</v>
      </c>
      <c r="C384" s="2">
        <v>3107818</v>
      </c>
      <c r="D384" s="3">
        <v>59732</v>
      </c>
      <c r="E384" s="3">
        <v>3400</v>
      </c>
      <c r="F384">
        <f>YEAR(B384)</f>
        <v>2016</v>
      </c>
      <c r="G384" t="str">
        <f>TEXT(B384,"MMMM")</f>
        <v>August</v>
      </c>
      <c r="H384" t="str">
        <f>TEXT(B384, "DDDD")</f>
        <v>Friday</v>
      </c>
      <c r="I384">
        <f>((D384+E384)/C384)*100</f>
        <v>2.0313930867251555</v>
      </c>
      <c r="J384">
        <f>(D384/C384)*1000</f>
        <v>19.219915709349774</v>
      </c>
      <c r="K384">
        <f>(E384/C384)*1000</f>
        <v>1.0940151579017821</v>
      </c>
      <c r="L384">
        <f>CORREL(C384:C882, D384:D882)</f>
        <v>0.85820626783907061</v>
      </c>
      <c r="M384">
        <f>CORREL(C384:C882,E384:E882)</f>
        <v>0.18666176088570791</v>
      </c>
      <c r="N384">
        <f>LEN(A384)</f>
        <v>39</v>
      </c>
      <c r="O384" t="str">
        <f>IF(ISNUMBER(SEARCH("$",A384)), "Money", IF(ISNUMBER(SEARCH("Win",A384)), "Challenge",IF(ISNUMBER(SEARCH("Challenge",A384)), "Challenge",IF(ISNUMBER(SEARCH("Last To Leave",A384)),"Challenge",IF(ISNUMBER(SEARCH("Giving Away", A384)),"Giveaway",IF(ISNUMBER(SEARCH("Stranded",A384)),"Survival", IF(ISNUMBER(SEARCH("Survive",A384)), "Survival", IF(ISNUMBER(SEARCH("Days",A384)),"Endurance","Other"))))))))</f>
        <v>Other</v>
      </c>
    </row>
    <row r="385" spans="1:15" x14ac:dyDescent="0.3">
      <c r="A385" t="s">
        <v>395</v>
      </c>
      <c r="B385" s="1">
        <v>42464</v>
      </c>
      <c r="C385" s="2">
        <v>2567477</v>
      </c>
      <c r="D385" s="3">
        <v>139094</v>
      </c>
      <c r="E385" s="3">
        <v>12835</v>
      </c>
      <c r="F385">
        <f>YEAR(B385)</f>
        <v>2016</v>
      </c>
      <c r="G385" t="str">
        <f>TEXT(B385,"MMMM")</f>
        <v>April</v>
      </c>
      <c r="H385" t="str">
        <f>TEXT(B385, "DDDD")</f>
        <v>Monday</v>
      </c>
      <c r="I385">
        <f>((D385+E385)/C385)*100</f>
        <v>5.917443466874289</v>
      </c>
      <c r="J385">
        <f>(D385/C385)*1000</f>
        <v>54.175363596246434</v>
      </c>
      <c r="K385">
        <f>(E385/C385)*1000</f>
        <v>4.9990710724964629</v>
      </c>
      <c r="L385">
        <f>CORREL(C385:C883, D385:D883)</f>
        <v>0.85801626939812159</v>
      </c>
      <c r="M385">
        <f>CORREL(C385:C883,E385:E883)</f>
        <v>0.18566706687416518</v>
      </c>
      <c r="N385">
        <f>LEN(A385)</f>
        <v>48</v>
      </c>
      <c r="O385" t="str">
        <f>IF(ISNUMBER(SEARCH("$",A385)), "Money", IF(ISNUMBER(SEARCH("Win",A385)), "Challenge",IF(ISNUMBER(SEARCH("Challenge",A385)), "Challenge",IF(ISNUMBER(SEARCH("Last To Leave",A385)),"Challenge",IF(ISNUMBER(SEARCH("Giving Away", A385)),"Giveaway",IF(ISNUMBER(SEARCH("Stranded",A385)),"Survival", IF(ISNUMBER(SEARCH("Survive",A385)), "Survival", IF(ISNUMBER(SEARCH("Days",A385)),"Endurance","Other"))))))))</f>
        <v>Other</v>
      </c>
    </row>
    <row r="386" spans="1:15" x14ac:dyDescent="0.3">
      <c r="A386" t="s">
        <v>396</v>
      </c>
      <c r="B386" s="1">
        <v>42702</v>
      </c>
      <c r="C386" s="2">
        <v>2538665</v>
      </c>
      <c r="D386" s="3">
        <v>183051</v>
      </c>
      <c r="E386" s="3">
        <v>12276</v>
      </c>
      <c r="F386">
        <f>YEAR(B386)</f>
        <v>2016</v>
      </c>
      <c r="G386" t="str">
        <f>TEXT(B386,"MMMM")</f>
        <v>November</v>
      </c>
      <c r="H386" t="str">
        <f>TEXT(B386, "DDDD")</f>
        <v>Monday</v>
      </c>
      <c r="I386">
        <f>((D386+E386)/C386)*100</f>
        <v>7.6940833075651973</v>
      </c>
      <c r="J386">
        <f>(D386/C386)*1000</f>
        <v>72.105220657313978</v>
      </c>
      <c r="K386">
        <f>(E386/C386)*1000</f>
        <v>4.8356124183379841</v>
      </c>
      <c r="L386">
        <f>CORREL(C386:C884, D386:D884)</f>
        <v>0.85785662173752664</v>
      </c>
      <c r="M386">
        <f>CORREL(C386:C884,E386:E884)</f>
        <v>0.18474795230255114</v>
      </c>
      <c r="N386">
        <f>LEN(A386)</f>
        <v>37</v>
      </c>
      <c r="O386" t="str">
        <f>IF(ISNUMBER(SEARCH("$",A386)), "Money", IF(ISNUMBER(SEARCH("Win",A386)), "Challenge",IF(ISNUMBER(SEARCH("Challenge",A386)), "Challenge",IF(ISNUMBER(SEARCH("Last To Leave",A386)),"Challenge",IF(ISNUMBER(SEARCH("Giving Away", A386)),"Giveaway",IF(ISNUMBER(SEARCH("Stranded",A386)),"Survival", IF(ISNUMBER(SEARCH("Survive",A386)), "Survival", IF(ISNUMBER(SEARCH("Days",A386)),"Endurance","Other"))))))))</f>
        <v>Other</v>
      </c>
    </row>
    <row r="387" spans="1:15" x14ac:dyDescent="0.3">
      <c r="A387" t="s">
        <v>397</v>
      </c>
      <c r="B387" s="1">
        <v>42565</v>
      </c>
      <c r="C387" s="2">
        <v>2332777</v>
      </c>
      <c r="D387" s="3">
        <v>64638</v>
      </c>
      <c r="E387" s="3">
        <v>2726</v>
      </c>
      <c r="F387">
        <f>YEAR(B387)</f>
        <v>2016</v>
      </c>
      <c r="G387" t="str">
        <f>TEXT(B387,"MMMM")</f>
        <v>July</v>
      </c>
      <c r="H387" t="str">
        <f>TEXT(B387, "DDDD")</f>
        <v>Thursday</v>
      </c>
      <c r="I387">
        <f>((D387+E387)/C387)*100</f>
        <v>2.8877170856880019</v>
      </c>
      <c r="J387">
        <f>(D387/C387)*1000</f>
        <v>27.708606523469665</v>
      </c>
      <c r="K387">
        <f>(E387/C387)*1000</f>
        <v>1.1685643334103517</v>
      </c>
      <c r="L387">
        <f>CORREL(C387:C885, D387:D885)</f>
        <v>0.85769397299225258</v>
      </c>
      <c r="M387">
        <f>CORREL(C387:C885,E387:E885)</f>
        <v>0.18383946340140866</v>
      </c>
      <c r="N387">
        <f>LEN(A387)</f>
        <v>22</v>
      </c>
      <c r="O387" t="str">
        <f>IF(ISNUMBER(SEARCH("$",A387)), "Money", IF(ISNUMBER(SEARCH("Win",A387)), "Challenge",IF(ISNUMBER(SEARCH("Challenge",A387)), "Challenge",IF(ISNUMBER(SEARCH("Last To Leave",A387)),"Challenge",IF(ISNUMBER(SEARCH("Giving Away", A387)),"Giveaway",IF(ISNUMBER(SEARCH("Stranded",A387)),"Survival", IF(ISNUMBER(SEARCH("Survive",A387)), "Survival", IF(ISNUMBER(SEARCH("Days",A387)),"Endurance","Other"))))))))</f>
        <v>Other</v>
      </c>
    </row>
    <row r="388" spans="1:15" x14ac:dyDescent="0.3">
      <c r="A388" t="s">
        <v>398</v>
      </c>
      <c r="B388" s="1">
        <v>42448</v>
      </c>
      <c r="C388" s="2">
        <v>2190055</v>
      </c>
      <c r="D388" s="3">
        <v>90226</v>
      </c>
      <c r="E388" s="3">
        <v>2938</v>
      </c>
      <c r="F388">
        <f>YEAR(B388)</f>
        <v>2016</v>
      </c>
      <c r="G388" t="str">
        <f>TEXT(B388,"MMMM")</f>
        <v>March</v>
      </c>
      <c r="H388" t="str">
        <f>TEXT(B388, "DDDD")</f>
        <v>Saturday</v>
      </c>
      <c r="I388">
        <f>((D388+E388)/C388)*100</f>
        <v>4.2539570924017891</v>
      </c>
      <c r="J388">
        <f>(D388/C388)*1000</f>
        <v>41.198052103714296</v>
      </c>
      <c r="K388">
        <f>(E388/C388)*1000</f>
        <v>1.3415188203035997</v>
      </c>
      <c r="L388">
        <f>CORREL(C388:C886, D388:D886)</f>
        <v>0.85751761316253183</v>
      </c>
      <c r="M388">
        <f>CORREL(C388:C886,E388:E886)</f>
        <v>0.18276612846580517</v>
      </c>
      <c r="N388">
        <f>LEN(A388)</f>
        <v>31</v>
      </c>
      <c r="O388" t="str">
        <f>IF(ISNUMBER(SEARCH("$",A388)), "Money", IF(ISNUMBER(SEARCH("Win",A388)), "Challenge",IF(ISNUMBER(SEARCH("Challenge",A388)), "Challenge",IF(ISNUMBER(SEARCH("Last To Leave",A388)),"Challenge",IF(ISNUMBER(SEARCH("Giving Away", A388)),"Giveaway",IF(ISNUMBER(SEARCH("Stranded",A388)),"Survival", IF(ISNUMBER(SEARCH("Survive",A388)), "Survival", IF(ISNUMBER(SEARCH("Days",A388)),"Endurance","Other"))))))))</f>
        <v>Other</v>
      </c>
    </row>
    <row r="389" spans="1:15" x14ac:dyDescent="0.3">
      <c r="A389" t="s">
        <v>399</v>
      </c>
      <c r="B389" s="1">
        <v>42447</v>
      </c>
      <c r="C389" s="2">
        <v>2067973</v>
      </c>
      <c r="D389" s="3">
        <v>72887</v>
      </c>
      <c r="E389" s="3">
        <v>3751</v>
      </c>
      <c r="F389">
        <f>YEAR(B389)</f>
        <v>2016</v>
      </c>
      <c r="G389" t="str">
        <f>TEXT(B389,"MMMM")</f>
        <v>March</v>
      </c>
      <c r="H389" t="str">
        <f>TEXT(B389, "DDDD")</f>
        <v>Friday</v>
      </c>
      <c r="I389">
        <f>((D389+E389)/C389)*100</f>
        <v>3.7059478049278205</v>
      </c>
      <c r="J389">
        <f>(D389/C389)*1000</f>
        <v>35.245624580204868</v>
      </c>
      <c r="K389">
        <f>(E389/C389)*1000</f>
        <v>1.813853469073339</v>
      </c>
      <c r="L389">
        <f>CORREL(C389:C887, D389:D887)</f>
        <v>0.85734837462531921</v>
      </c>
      <c r="M389">
        <f>CORREL(C389:C887,E389:E887)</f>
        <v>0.18178716450792709</v>
      </c>
      <c r="N389">
        <f>LEN(A389)</f>
        <v>40</v>
      </c>
      <c r="O389" t="str">
        <f>IF(ISNUMBER(SEARCH("$",A389)), "Money", IF(ISNUMBER(SEARCH("Win",A389)), "Challenge",IF(ISNUMBER(SEARCH("Challenge",A389)), "Challenge",IF(ISNUMBER(SEARCH("Last To Leave",A389)),"Challenge",IF(ISNUMBER(SEARCH("Giving Away", A389)),"Giveaway",IF(ISNUMBER(SEARCH("Stranded",A389)),"Survival", IF(ISNUMBER(SEARCH("Survive",A389)), "Survival", IF(ISNUMBER(SEARCH("Days",A389)),"Endurance","Other"))))))))</f>
        <v>Other</v>
      </c>
    </row>
    <row r="390" spans="1:15" x14ac:dyDescent="0.3">
      <c r="A390" t="s">
        <v>400</v>
      </c>
      <c r="B390" s="1">
        <v>42729</v>
      </c>
      <c r="C390" s="2">
        <v>1995502</v>
      </c>
      <c r="D390" s="3">
        <v>56233</v>
      </c>
      <c r="E390" s="3">
        <v>8185</v>
      </c>
      <c r="F390">
        <f>YEAR(B390)</f>
        <v>2016</v>
      </c>
      <c r="G390" t="str">
        <f>TEXT(B390,"MMMM")</f>
        <v>December</v>
      </c>
      <c r="H390" t="str">
        <f>TEXT(B390, "DDDD")</f>
        <v>Sunday</v>
      </c>
      <c r="I390">
        <f>((D390+E390)/C390)*100</f>
        <v>3.2281601321371762</v>
      </c>
      <c r="J390">
        <f>(D390/C390)*1000</f>
        <v>28.179876542343731</v>
      </c>
      <c r="K390">
        <f>(E390/C390)*1000</f>
        <v>4.101724779028034</v>
      </c>
      <c r="L390">
        <f>CORREL(C390:C888, D390:D888)</f>
        <v>0.85715749003381569</v>
      </c>
      <c r="M390">
        <f>CORREL(C390:C888,E390:E888)</f>
        <v>0.18083680036135497</v>
      </c>
      <c r="N390">
        <f>LEN(A390)</f>
        <v>46</v>
      </c>
      <c r="O390" t="str">
        <f>IF(ISNUMBER(SEARCH("$",A390)), "Money", IF(ISNUMBER(SEARCH("Win",A390)), "Challenge",IF(ISNUMBER(SEARCH("Challenge",A390)), "Challenge",IF(ISNUMBER(SEARCH("Last To Leave",A390)),"Challenge",IF(ISNUMBER(SEARCH("Giving Away", A390)),"Giveaway",IF(ISNUMBER(SEARCH("Stranded",A390)),"Survival", IF(ISNUMBER(SEARCH("Survive",A390)), "Survival", IF(ISNUMBER(SEARCH("Days",A390)),"Endurance","Other"))))))))</f>
        <v>Other</v>
      </c>
    </row>
    <row r="391" spans="1:15" x14ac:dyDescent="0.3">
      <c r="A391" t="s">
        <v>401</v>
      </c>
      <c r="B391" s="1">
        <v>42589</v>
      </c>
      <c r="C391" s="2">
        <v>1942610</v>
      </c>
      <c r="D391" s="3">
        <v>127408</v>
      </c>
      <c r="E391" s="3">
        <v>4537</v>
      </c>
      <c r="F391">
        <f>YEAR(B391)</f>
        <v>2016</v>
      </c>
      <c r="G391" t="str">
        <f>TEXT(B391,"MMMM")</f>
        <v>August</v>
      </c>
      <c r="H391" t="str">
        <f>TEXT(B391, "DDDD")</f>
        <v>Sunday</v>
      </c>
      <c r="I391">
        <f>((D391+E391)/C391)*100</f>
        <v>6.7921507662371763</v>
      </c>
      <c r="J391">
        <f>(D391/C391)*1000</f>
        <v>65.58598998254925</v>
      </c>
      <c r="K391">
        <f>(E391/C391)*1000</f>
        <v>2.335517679822507</v>
      </c>
      <c r="L391">
        <f>CORREL(C391:C889, D391:D889)</f>
        <v>0.85698738319980727</v>
      </c>
      <c r="M391">
        <f>CORREL(C391:C889,E391:E889)</f>
        <v>0.17990311717291052</v>
      </c>
      <c r="N391">
        <f>LEN(A391)</f>
        <v>35</v>
      </c>
      <c r="O391" t="str">
        <f>IF(ISNUMBER(SEARCH("$",A391)), "Money", IF(ISNUMBER(SEARCH("Win",A391)), "Challenge",IF(ISNUMBER(SEARCH("Challenge",A391)), "Challenge",IF(ISNUMBER(SEARCH("Last To Leave",A391)),"Challenge",IF(ISNUMBER(SEARCH("Giving Away", A391)),"Giveaway",IF(ISNUMBER(SEARCH("Stranded",A391)),"Survival", IF(ISNUMBER(SEARCH("Survive",A391)), "Survival", IF(ISNUMBER(SEARCH("Days",A391)),"Endurance","Other"))))))))</f>
        <v>Other</v>
      </c>
    </row>
    <row r="392" spans="1:15" x14ac:dyDescent="0.3">
      <c r="A392" t="s">
        <v>402</v>
      </c>
      <c r="B392" s="1">
        <v>42709</v>
      </c>
      <c r="C392" s="2">
        <v>1849382</v>
      </c>
      <c r="D392" s="3">
        <v>92644</v>
      </c>
      <c r="E392" s="3">
        <v>7558</v>
      </c>
      <c r="F392">
        <f>YEAR(B392)</f>
        <v>2016</v>
      </c>
      <c r="G392" t="str">
        <f>TEXT(B392,"MMMM")</f>
        <v>December</v>
      </c>
      <c r="H392" t="str">
        <f>TEXT(B392, "DDDD")</f>
        <v>Monday</v>
      </c>
      <c r="I392">
        <f>((D392+E392)/C392)*100</f>
        <v>5.418134274043978</v>
      </c>
      <c r="J392">
        <f>(D392/C392)*1000</f>
        <v>50.094572132744879</v>
      </c>
      <c r="K392">
        <f>(E392/C392)*1000</f>
        <v>4.0867706076948949</v>
      </c>
      <c r="L392">
        <f>CORREL(C392:C890, D392:D890)</f>
        <v>0.85683272459561965</v>
      </c>
      <c r="M392">
        <f>CORREL(C392:C890,E392:E890)</f>
        <v>0.17870370747981013</v>
      </c>
      <c r="N392">
        <f>LEN(A392)</f>
        <v>41</v>
      </c>
      <c r="O392" t="str">
        <f>IF(ISNUMBER(SEARCH("$",A392)), "Money", IF(ISNUMBER(SEARCH("Win",A392)), "Challenge",IF(ISNUMBER(SEARCH("Challenge",A392)), "Challenge",IF(ISNUMBER(SEARCH("Last To Leave",A392)),"Challenge",IF(ISNUMBER(SEARCH("Giving Away", A392)),"Giveaway",IF(ISNUMBER(SEARCH("Stranded",A392)),"Survival", IF(ISNUMBER(SEARCH("Survive",A392)), "Survival", IF(ISNUMBER(SEARCH("Days",A392)),"Endurance","Other"))))))))</f>
        <v>Other</v>
      </c>
    </row>
    <row r="393" spans="1:15" x14ac:dyDescent="0.3">
      <c r="A393" t="s">
        <v>403</v>
      </c>
      <c r="B393" s="1">
        <v>42647</v>
      </c>
      <c r="C393" s="2">
        <v>1845490</v>
      </c>
      <c r="D393" s="3">
        <v>58002</v>
      </c>
      <c r="E393" s="3">
        <v>4851</v>
      </c>
      <c r="F393">
        <f>YEAR(B393)</f>
        <v>2016</v>
      </c>
      <c r="G393" t="str">
        <f>TEXT(B393,"MMMM")</f>
        <v>October</v>
      </c>
      <c r="H393" t="str">
        <f>TEXT(B393, "DDDD")</f>
        <v>Tuesday</v>
      </c>
      <c r="I393">
        <f>((D393+E393)/C393)*100</f>
        <v>3.4057621553083464</v>
      </c>
      <c r="J393">
        <f>(D393/C393)*1000</f>
        <v>31.429051363052629</v>
      </c>
      <c r="K393">
        <f>(E393/C393)*1000</f>
        <v>2.6285701900308318</v>
      </c>
      <c r="L393">
        <f>CORREL(C393:C891, D393:D891)</f>
        <v>0.85667374670454133</v>
      </c>
      <c r="M393">
        <f>CORREL(C393:C891,E393:E891)</f>
        <v>0.17757197691358739</v>
      </c>
      <c r="N393">
        <f>LEN(A393)</f>
        <v>47</v>
      </c>
      <c r="O393" t="str">
        <f>IF(ISNUMBER(SEARCH("$",A393)), "Money", IF(ISNUMBER(SEARCH("Win",A393)), "Challenge",IF(ISNUMBER(SEARCH("Challenge",A393)), "Challenge",IF(ISNUMBER(SEARCH("Last To Leave",A393)),"Challenge",IF(ISNUMBER(SEARCH("Giving Away", A393)),"Giveaway",IF(ISNUMBER(SEARCH("Stranded",A393)),"Survival", IF(ISNUMBER(SEARCH("Survive",A393)), "Survival", IF(ISNUMBER(SEARCH("Days",A393)),"Endurance","Other"))))))))</f>
        <v>Other</v>
      </c>
    </row>
    <row r="394" spans="1:15" x14ac:dyDescent="0.3">
      <c r="A394" t="s">
        <v>404</v>
      </c>
      <c r="B394" s="1">
        <v>42603</v>
      </c>
      <c r="C394" s="2">
        <v>1661452</v>
      </c>
      <c r="D394" s="3">
        <v>124022</v>
      </c>
      <c r="E394" s="3">
        <v>3543</v>
      </c>
      <c r="F394">
        <f>YEAR(B394)</f>
        <v>2016</v>
      </c>
      <c r="G394" t="str">
        <f>TEXT(B394,"MMMM")</f>
        <v>August</v>
      </c>
      <c r="H394" t="str">
        <f>TEXT(B394, "DDDD")</f>
        <v>Sunday</v>
      </c>
      <c r="I394">
        <f>((D394+E394)/C394)*100</f>
        <v>7.6779226844952486</v>
      </c>
      <c r="J394">
        <f>(D394/C394)*1000</f>
        <v>74.646754766312839</v>
      </c>
      <c r="K394">
        <f>(E394/C394)*1000</f>
        <v>2.1324720786396476</v>
      </c>
      <c r="L394">
        <f>CORREL(C394:C892, D394:D892)</f>
        <v>0.85649728462657959</v>
      </c>
      <c r="M394">
        <f>CORREL(C394:C892,E394:E892)</f>
        <v>0.17667184347113268</v>
      </c>
      <c r="N394">
        <f>LEN(A394)</f>
        <v>34</v>
      </c>
      <c r="O394" t="str">
        <f>IF(ISNUMBER(SEARCH("$",A394)), "Money", IF(ISNUMBER(SEARCH("Win",A394)), "Challenge",IF(ISNUMBER(SEARCH("Challenge",A394)), "Challenge",IF(ISNUMBER(SEARCH("Last To Leave",A394)),"Challenge",IF(ISNUMBER(SEARCH("Giving Away", A394)),"Giveaway",IF(ISNUMBER(SEARCH("Stranded",A394)),"Survival", IF(ISNUMBER(SEARCH("Survive",A394)), "Survival", IF(ISNUMBER(SEARCH("Days",A394)),"Endurance","Other"))))))))</f>
        <v>Other</v>
      </c>
    </row>
    <row r="395" spans="1:15" x14ac:dyDescent="0.3">
      <c r="A395" t="s">
        <v>405</v>
      </c>
      <c r="B395" s="1">
        <v>42668</v>
      </c>
      <c r="C395" s="2">
        <v>1646489</v>
      </c>
      <c r="D395" s="3">
        <v>38419</v>
      </c>
      <c r="E395" s="3">
        <v>2784</v>
      </c>
      <c r="F395">
        <f>YEAR(B395)</f>
        <v>2016</v>
      </c>
      <c r="G395" t="str">
        <f>TEXT(B395,"MMMM")</f>
        <v>October</v>
      </c>
      <c r="H395" t="str">
        <f>TEXT(B395, "DDDD")</f>
        <v>Tuesday</v>
      </c>
      <c r="I395">
        <f>((D395+E395)/C395)*100</f>
        <v>2.5024764817742482</v>
      </c>
      <c r="J395">
        <f>(D395/C395)*1000</f>
        <v>23.333894122584482</v>
      </c>
      <c r="K395">
        <f>(E395/C395)*1000</f>
        <v>1.6908706951579999</v>
      </c>
      <c r="L395">
        <f>CORREL(C395:C893, D395:D893)</f>
        <v>0.85634167231751146</v>
      </c>
      <c r="M395">
        <f>CORREL(C395:C893,E395:E893)</f>
        <v>0.17570682884180219</v>
      </c>
      <c r="N395">
        <f>LEN(A395)</f>
        <v>25</v>
      </c>
      <c r="O395" t="str">
        <f>IF(ISNUMBER(SEARCH("$",A395)), "Money", IF(ISNUMBER(SEARCH("Win",A395)), "Challenge",IF(ISNUMBER(SEARCH("Challenge",A395)), "Challenge",IF(ISNUMBER(SEARCH("Last To Leave",A395)),"Challenge",IF(ISNUMBER(SEARCH("Giving Away", A395)),"Giveaway",IF(ISNUMBER(SEARCH("Stranded",A395)),"Survival", IF(ISNUMBER(SEARCH("Survive",A395)), "Survival", IF(ISNUMBER(SEARCH("Days",A395)),"Endurance","Other"))))))))</f>
        <v>Money</v>
      </c>
    </row>
    <row r="396" spans="1:15" x14ac:dyDescent="0.3">
      <c r="A396" t="s">
        <v>406</v>
      </c>
      <c r="B396" s="1">
        <v>42559</v>
      </c>
      <c r="C396" s="2">
        <v>1594343</v>
      </c>
      <c r="D396" s="3">
        <v>84462</v>
      </c>
      <c r="E396" s="3">
        <v>8570</v>
      </c>
      <c r="F396">
        <f>YEAR(B396)</f>
        <v>2016</v>
      </c>
      <c r="G396" t="str">
        <f>TEXT(B396,"MMMM")</f>
        <v>July</v>
      </c>
      <c r="H396" t="str">
        <f>TEXT(B396, "DDDD")</f>
        <v>Friday</v>
      </c>
      <c r="I396">
        <f>((D396+E396)/C396)*100</f>
        <v>5.8351308344565753</v>
      </c>
      <c r="J396">
        <f>(D396/C396)*1000</f>
        <v>52.97605345901102</v>
      </c>
      <c r="K396">
        <f>(E396/C396)*1000</f>
        <v>5.3752548855547388</v>
      </c>
      <c r="L396">
        <f>CORREL(C396:C894, D396:D894)</f>
        <v>0.85618279108539519</v>
      </c>
      <c r="M396">
        <f>CORREL(C396:C894,E396:E894)</f>
        <v>0.17475974594307794</v>
      </c>
      <c r="N396">
        <f>LEN(A396)</f>
        <v>23</v>
      </c>
      <c r="O396" t="str">
        <f>IF(ISNUMBER(SEARCH("$",A396)), "Money", IF(ISNUMBER(SEARCH("Win",A396)), "Challenge",IF(ISNUMBER(SEARCH("Challenge",A396)), "Challenge",IF(ISNUMBER(SEARCH("Last To Leave",A396)),"Challenge",IF(ISNUMBER(SEARCH("Giving Away", A396)),"Giveaway",IF(ISNUMBER(SEARCH("Stranded",A396)),"Survival", IF(ISNUMBER(SEARCH("Survive",A396)), "Survival", IF(ISNUMBER(SEARCH("Days",A396)),"Endurance","Other"))))))))</f>
        <v>Other</v>
      </c>
    </row>
    <row r="397" spans="1:15" x14ac:dyDescent="0.3">
      <c r="A397" t="s">
        <v>407</v>
      </c>
      <c r="B397" s="1">
        <v>42606</v>
      </c>
      <c r="C397" s="2">
        <v>1483253</v>
      </c>
      <c r="D397" s="3">
        <v>50674</v>
      </c>
      <c r="E397" s="3">
        <v>2983</v>
      </c>
      <c r="F397">
        <f>YEAR(B397)</f>
        <v>2016</v>
      </c>
      <c r="G397" t="str">
        <f>TEXT(B397,"MMMM")</f>
        <v>August</v>
      </c>
      <c r="H397" t="str">
        <f>TEXT(B397, "DDDD")</f>
        <v>Wednesday</v>
      </c>
      <c r="I397">
        <f>((D397+E397)/C397)*100</f>
        <v>3.6175217579199233</v>
      </c>
      <c r="J397">
        <f>(D397/C397)*1000</f>
        <v>34.164097426399948</v>
      </c>
      <c r="K397">
        <f>(E397/C397)*1000</f>
        <v>2.0111201527992866</v>
      </c>
      <c r="L397">
        <f>CORREL(C397:C895, D397:D895)</f>
        <v>0.8560286260411557</v>
      </c>
      <c r="M397">
        <f>CORREL(C397:C895,E397:E895)</f>
        <v>0.17395001113597133</v>
      </c>
      <c r="N397">
        <f>LEN(A397)</f>
        <v>30</v>
      </c>
      <c r="O397" t="str">
        <f>IF(ISNUMBER(SEARCH("$",A397)), "Money", IF(ISNUMBER(SEARCH("Win",A397)), "Challenge",IF(ISNUMBER(SEARCH("Challenge",A397)), "Challenge",IF(ISNUMBER(SEARCH("Last To Leave",A397)),"Challenge",IF(ISNUMBER(SEARCH("Giving Away", A397)),"Giveaway",IF(ISNUMBER(SEARCH("Stranded",A397)),"Survival", IF(ISNUMBER(SEARCH("Survive",A397)), "Survival", IF(ISNUMBER(SEARCH("Days",A397)),"Endurance","Other"))))))))</f>
        <v>Other</v>
      </c>
    </row>
    <row r="398" spans="1:15" x14ac:dyDescent="0.3">
      <c r="A398" t="s">
        <v>408</v>
      </c>
      <c r="B398" s="1">
        <v>42540</v>
      </c>
      <c r="C398" s="2">
        <v>1356860</v>
      </c>
      <c r="D398" s="3">
        <v>35578</v>
      </c>
      <c r="E398" s="3">
        <v>2740</v>
      </c>
      <c r="F398">
        <f>YEAR(B398)</f>
        <v>2016</v>
      </c>
      <c r="G398" t="str">
        <f>TEXT(B398,"MMMM")</f>
        <v>June</v>
      </c>
      <c r="H398" t="str">
        <f>TEXT(B398, "DDDD")</f>
        <v>Sunday</v>
      </c>
      <c r="I398">
        <f>((D398+E398)/C398)*100</f>
        <v>2.8240201642026443</v>
      </c>
      <c r="J398">
        <f>(D398/C398)*1000</f>
        <v>26.22083339474964</v>
      </c>
      <c r="K398">
        <f>(E398/C398)*1000</f>
        <v>2.0193682472768009</v>
      </c>
      <c r="L398">
        <f>CORREL(C398:C896, D398:D896)</f>
        <v>0.8558582054638707</v>
      </c>
      <c r="M398">
        <f>CORREL(C398:C896,E398:E896)</f>
        <v>0.17304209542246057</v>
      </c>
      <c r="N398">
        <f>LEN(A398)</f>
        <v>46</v>
      </c>
      <c r="O398" t="str">
        <f>IF(ISNUMBER(SEARCH("$",A398)), "Money", IF(ISNUMBER(SEARCH("Win",A398)), "Challenge",IF(ISNUMBER(SEARCH("Challenge",A398)), "Challenge",IF(ISNUMBER(SEARCH("Last To Leave",A398)),"Challenge",IF(ISNUMBER(SEARCH("Giving Away", A398)),"Giveaway",IF(ISNUMBER(SEARCH("Stranded",A398)),"Survival", IF(ISNUMBER(SEARCH("Survive",A398)), "Survival", IF(ISNUMBER(SEARCH("Days",A398)),"Endurance","Other"))))))))</f>
        <v>Other</v>
      </c>
    </row>
    <row r="399" spans="1:15" x14ac:dyDescent="0.3">
      <c r="A399" t="s">
        <v>409</v>
      </c>
      <c r="B399" s="1">
        <v>42652</v>
      </c>
      <c r="C399" s="2">
        <v>1251554</v>
      </c>
      <c r="D399" s="3">
        <v>55317</v>
      </c>
      <c r="E399" s="3">
        <v>3085</v>
      </c>
      <c r="F399">
        <f>YEAR(B399)</f>
        <v>2016</v>
      </c>
      <c r="G399" t="str">
        <f>TEXT(B399,"MMMM")</f>
        <v>October</v>
      </c>
      <c r="H399" t="str">
        <f>TEXT(B399, "DDDD")</f>
        <v>Sunday</v>
      </c>
      <c r="I399">
        <f>((D399+E399)/C399)*100</f>
        <v>4.6663587827612716</v>
      </c>
      <c r="J399">
        <f>(D399/C399)*1000</f>
        <v>44.19865223554077</v>
      </c>
      <c r="K399">
        <f>(E399/C399)*1000</f>
        <v>2.4649355920719365</v>
      </c>
      <c r="L399">
        <f>CORREL(C399:C897, D399:D897)</f>
        <v>0.85570156752855731</v>
      </c>
      <c r="M399">
        <f>CORREL(C399:C897,E399:E897)</f>
        <v>0.17198675215068585</v>
      </c>
      <c r="N399">
        <f>LEN(A399)</f>
        <v>32</v>
      </c>
      <c r="O399" t="str">
        <f>IF(ISNUMBER(SEARCH("$",A399)), "Money", IF(ISNUMBER(SEARCH("Win",A399)), "Challenge",IF(ISNUMBER(SEARCH("Challenge",A399)), "Challenge",IF(ISNUMBER(SEARCH("Last To Leave",A399)),"Challenge",IF(ISNUMBER(SEARCH("Giving Away", A399)),"Giveaway",IF(ISNUMBER(SEARCH("Stranded",A399)),"Survival", IF(ISNUMBER(SEARCH("Survive",A399)), "Survival", IF(ISNUMBER(SEARCH("Days",A399)),"Endurance","Other"))))))))</f>
        <v>Other</v>
      </c>
    </row>
    <row r="400" spans="1:15" x14ac:dyDescent="0.3">
      <c r="A400" t="s">
        <v>410</v>
      </c>
      <c r="B400" s="1">
        <v>42553</v>
      </c>
      <c r="C400" s="2">
        <v>1207797</v>
      </c>
      <c r="D400" s="3">
        <v>45872</v>
      </c>
      <c r="E400" s="3">
        <v>5025</v>
      </c>
      <c r="F400">
        <f>YEAR(B400)</f>
        <v>2016</v>
      </c>
      <c r="G400" t="str">
        <f>TEXT(B400,"MMMM")</f>
        <v>July</v>
      </c>
      <c r="H400" t="str">
        <f>TEXT(B400, "DDDD")</f>
        <v>Saturday</v>
      </c>
      <c r="I400">
        <f>((D400+E400)/C400)*100</f>
        <v>4.2140359679648149</v>
      </c>
      <c r="J400">
        <f>(D400/C400)*1000</f>
        <v>37.979892316341243</v>
      </c>
      <c r="K400">
        <f>(E400/C400)*1000</f>
        <v>4.1604673633069131</v>
      </c>
      <c r="L400">
        <f>CORREL(C400:C898, D400:D898)</f>
        <v>0.85554449889254991</v>
      </c>
      <c r="M400">
        <f>CORREL(C400:C898,E400:E898)</f>
        <v>0.17109780011702092</v>
      </c>
      <c r="N400">
        <f>LEN(A400)</f>
        <v>45</v>
      </c>
      <c r="O400" t="str">
        <f>IF(ISNUMBER(SEARCH("$",A400)), "Money", IF(ISNUMBER(SEARCH("Win",A400)), "Challenge",IF(ISNUMBER(SEARCH("Challenge",A400)), "Challenge",IF(ISNUMBER(SEARCH("Last To Leave",A400)),"Challenge",IF(ISNUMBER(SEARCH("Giving Away", A400)),"Giveaway",IF(ISNUMBER(SEARCH("Stranded",A400)),"Survival", IF(ISNUMBER(SEARCH("Survive",A400)), "Survival", IF(ISNUMBER(SEARCH("Days",A400)),"Endurance","Other"))))))))</f>
        <v>Other</v>
      </c>
    </row>
    <row r="401" spans="1:15" x14ac:dyDescent="0.3">
      <c r="A401" t="s">
        <v>411</v>
      </c>
      <c r="B401" s="1">
        <v>42542</v>
      </c>
      <c r="C401" s="2">
        <v>947826</v>
      </c>
      <c r="D401" s="3">
        <v>35358</v>
      </c>
      <c r="E401" s="3">
        <v>1722</v>
      </c>
      <c r="F401">
        <f>YEAR(B401)</f>
        <v>2016</v>
      </c>
      <c r="G401" t="str">
        <f>TEXT(B401,"MMMM")</f>
        <v>June</v>
      </c>
      <c r="H401" t="str">
        <f>TEXT(B401, "DDDD")</f>
        <v>Tuesday</v>
      </c>
      <c r="I401">
        <f>((D401+E401)/C401)*100</f>
        <v>3.9121104506523348</v>
      </c>
      <c r="J401">
        <f>(D401/C401)*1000</f>
        <v>37.304315349019753</v>
      </c>
      <c r="K401">
        <f>(E401/C401)*1000</f>
        <v>1.8167891575035926</v>
      </c>
      <c r="L401">
        <f>CORREL(C401:C899, D401:D899)</f>
        <v>0.8553866600358877</v>
      </c>
      <c r="M401">
        <f>CORREL(C401:C899,E401:E899)</f>
        <v>0.17006126123928245</v>
      </c>
      <c r="N401">
        <f>LEN(A401)</f>
        <v>30</v>
      </c>
      <c r="O401" t="str">
        <f>IF(ISNUMBER(SEARCH("$",A401)), "Money", IF(ISNUMBER(SEARCH("Win",A401)), "Challenge",IF(ISNUMBER(SEARCH("Challenge",A401)), "Challenge",IF(ISNUMBER(SEARCH("Last To Leave",A401)),"Challenge",IF(ISNUMBER(SEARCH("Giving Away", A401)),"Giveaway",IF(ISNUMBER(SEARCH("Stranded",A401)),"Survival", IF(ISNUMBER(SEARCH("Survive",A401)), "Survival", IF(ISNUMBER(SEARCH("Days",A401)),"Endurance","Other"))))))))</f>
        <v>Other</v>
      </c>
    </row>
    <row r="402" spans="1:15" x14ac:dyDescent="0.3">
      <c r="A402" t="s">
        <v>412</v>
      </c>
      <c r="B402" s="1">
        <v>42618</v>
      </c>
      <c r="C402" s="2">
        <v>859670</v>
      </c>
      <c r="D402" s="3">
        <v>35522</v>
      </c>
      <c r="E402" s="3">
        <v>4548</v>
      </c>
      <c r="F402">
        <f>YEAR(B402)</f>
        <v>2016</v>
      </c>
      <c r="G402" t="str">
        <f>TEXT(B402,"MMMM")</f>
        <v>September</v>
      </c>
      <c r="H402" t="str">
        <f>TEXT(B402, "DDDD")</f>
        <v>Monday</v>
      </c>
      <c r="I402">
        <f>((D402+E402)/C402)*100</f>
        <v>4.6610908837111911</v>
      </c>
      <c r="J402">
        <f>(D402/C402)*1000</f>
        <v>41.320506706061629</v>
      </c>
      <c r="K402">
        <f>(E402/C402)*1000</f>
        <v>5.2904021310502864</v>
      </c>
      <c r="L402">
        <f>CORREL(C402:C900, D402:D900)</f>
        <v>0.85522876942729065</v>
      </c>
      <c r="M402">
        <f>CORREL(C402:C900,E402:E900)</f>
        <v>0.1691563716903938</v>
      </c>
      <c r="N402">
        <f>LEN(A402)</f>
        <v>41</v>
      </c>
      <c r="O402" t="str">
        <f>IF(ISNUMBER(SEARCH("$",A402)), "Money", IF(ISNUMBER(SEARCH("Win",A402)), "Challenge",IF(ISNUMBER(SEARCH("Challenge",A402)), "Challenge",IF(ISNUMBER(SEARCH("Last To Leave",A402)),"Challenge",IF(ISNUMBER(SEARCH("Giving Away", A402)),"Giveaway",IF(ISNUMBER(SEARCH("Stranded",A402)),"Survival", IF(ISNUMBER(SEARCH("Survive",A402)), "Survival", IF(ISNUMBER(SEARCH("Days",A402)),"Endurance","Other"))))))))</f>
        <v>Challenge</v>
      </c>
    </row>
    <row r="403" spans="1:15" x14ac:dyDescent="0.3">
      <c r="A403" t="s">
        <v>413</v>
      </c>
      <c r="B403" s="1">
        <v>42590</v>
      </c>
      <c r="C403" s="2">
        <v>853688</v>
      </c>
      <c r="D403" s="3">
        <v>42142</v>
      </c>
      <c r="E403" s="3">
        <v>6643</v>
      </c>
      <c r="F403">
        <f>YEAR(B403)</f>
        <v>2016</v>
      </c>
      <c r="G403" t="str">
        <f>TEXT(B403,"MMMM")</f>
        <v>August</v>
      </c>
      <c r="H403" t="str">
        <f>TEXT(B403, "DDDD")</f>
        <v>Monday</v>
      </c>
      <c r="I403">
        <f>((D403+E403)/C403)*100</f>
        <v>5.7146170497886821</v>
      </c>
      <c r="J403">
        <f>(D403/C403)*1000</f>
        <v>49.364639071885748</v>
      </c>
      <c r="K403">
        <f>(E403/C403)*1000</f>
        <v>7.7815314260010684</v>
      </c>
      <c r="L403">
        <f>CORREL(C403:C901, D403:D901)</f>
        <v>0.85506184920478445</v>
      </c>
      <c r="M403">
        <f>CORREL(C403:C901,E403:E901)</f>
        <v>0.1679143233302656</v>
      </c>
      <c r="N403">
        <f>LEN(A403)</f>
        <v>34</v>
      </c>
      <c r="O403" t="str">
        <f>IF(ISNUMBER(SEARCH("$",A403)), "Money", IF(ISNUMBER(SEARCH("Win",A403)), "Challenge",IF(ISNUMBER(SEARCH("Challenge",A403)), "Challenge",IF(ISNUMBER(SEARCH("Last To Leave",A403)),"Challenge",IF(ISNUMBER(SEARCH("Giving Away", A403)),"Giveaway",IF(ISNUMBER(SEARCH("Stranded",A403)),"Survival", IF(ISNUMBER(SEARCH("Survive",A403)), "Survival", IF(ISNUMBER(SEARCH("Days",A403)),"Endurance","Other"))))))))</f>
        <v>Other</v>
      </c>
    </row>
    <row r="404" spans="1:15" x14ac:dyDescent="0.3">
      <c r="A404" t="s">
        <v>414</v>
      </c>
      <c r="B404" s="1">
        <v>42464</v>
      </c>
      <c r="C404" s="2">
        <v>743939</v>
      </c>
      <c r="D404" s="3">
        <v>21464</v>
      </c>
      <c r="E404" s="3">
        <v>1836</v>
      </c>
      <c r="F404">
        <f>YEAR(B404)</f>
        <v>2016</v>
      </c>
      <c r="G404" t="str">
        <f>TEXT(B404,"MMMM")</f>
        <v>April</v>
      </c>
      <c r="H404" t="str">
        <f>TEXT(B404, "DDDD")</f>
        <v>Monday</v>
      </c>
      <c r="I404">
        <f>((D404+E404)/C404)*100</f>
        <v>3.131977218562275</v>
      </c>
      <c r="J404">
        <f>(D404/C404)*1000</f>
        <v>28.851827905244921</v>
      </c>
      <c r="K404">
        <f>(E404/C404)*1000</f>
        <v>2.4679442803778264</v>
      </c>
      <c r="L404">
        <f>CORREL(C404:C902, D404:D902)</f>
        <v>0.85491389323872935</v>
      </c>
      <c r="M404">
        <f>CORREL(C404:C902,E404:E902)</f>
        <v>0.16684895558765744</v>
      </c>
      <c r="N404">
        <f>LEN(A404)</f>
        <v>32</v>
      </c>
      <c r="O404" t="str">
        <f>IF(ISNUMBER(SEARCH("$",A404)), "Money", IF(ISNUMBER(SEARCH("Win",A404)), "Challenge",IF(ISNUMBER(SEARCH("Challenge",A404)), "Challenge",IF(ISNUMBER(SEARCH("Last To Leave",A404)),"Challenge",IF(ISNUMBER(SEARCH("Giving Away", A404)),"Giveaway",IF(ISNUMBER(SEARCH("Stranded",A404)),"Survival", IF(ISNUMBER(SEARCH("Survive",A404)), "Survival", IF(ISNUMBER(SEARCH("Days",A404)),"Endurance","Other"))))))))</f>
        <v>Other</v>
      </c>
    </row>
    <row r="405" spans="1:15" x14ac:dyDescent="0.3">
      <c r="A405" t="s">
        <v>415</v>
      </c>
      <c r="B405" s="1">
        <v>42547</v>
      </c>
      <c r="C405" s="2">
        <v>723173</v>
      </c>
      <c r="D405" s="3">
        <v>17281</v>
      </c>
      <c r="E405" s="3">
        <v>1394</v>
      </c>
      <c r="F405">
        <f>YEAR(B405)</f>
        <v>2016</v>
      </c>
      <c r="G405" t="str">
        <f>TEXT(B405,"MMMM")</f>
        <v>June</v>
      </c>
      <c r="H405" t="str">
        <f>TEXT(B405, "DDDD")</f>
        <v>Sunday</v>
      </c>
      <c r="I405">
        <f>((D405+E405)/C405)*100</f>
        <v>2.5823696404594751</v>
      </c>
      <c r="J405">
        <f>(D405/C405)*1000</f>
        <v>23.896080191046956</v>
      </c>
      <c r="K405">
        <f>(E405/C405)*1000</f>
        <v>1.9276162135477957</v>
      </c>
      <c r="L405">
        <f>CORREL(C405:C903, D405:D903)</f>
        <v>0.85476950690706632</v>
      </c>
      <c r="M405">
        <f>CORREL(C405:C903,E405:E903)</f>
        <v>0.16586956034881678</v>
      </c>
      <c r="N405">
        <f>LEN(A405)</f>
        <v>46</v>
      </c>
      <c r="O405" t="str">
        <f>IF(ISNUMBER(SEARCH("$",A405)), "Money", IF(ISNUMBER(SEARCH("Win",A405)), "Challenge",IF(ISNUMBER(SEARCH("Challenge",A405)), "Challenge",IF(ISNUMBER(SEARCH("Last To Leave",A405)),"Challenge",IF(ISNUMBER(SEARCH("Giving Away", A405)),"Giveaway",IF(ISNUMBER(SEARCH("Stranded",A405)),"Survival", IF(ISNUMBER(SEARCH("Survive",A405)), "Survival", IF(ISNUMBER(SEARCH("Days",A405)),"Endurance","Other"))))))))</f>
        <v>Other</v>
      </c>
    </row>
    <row r="406" spans="1:15" x14ac:dyDescent="0.3">
      <c r="A406" t="s">
        <v>416</v>
      </c>
      <c r="B406" s="1">
        <v>42534</v>
      </c>
      <c r="C406" s="2">
        <v>688881</v>
      </c>
      <c r="D406" s="3">
        <v>19114</v>
      </c>
      <c r="E406" s="3">
        <v>3604</v>
      </c>
      <c r="F406">
        <f>YEAR(B406)</f>
        <v>2016</v>
      </c>
      <c r="G406" t="str">
        <f>TEXT(B406,"MMMM")</f>
        <v>June</v>
      </c>
      <c r="H406" t="str">
        <f>TEXT(B406, "DDDD")</f>
        <v>Monday</v>
      </c>
      <c r="I406">
        <f>((D406+E406)/C406)*100</f>
        <v>3.2978119588143673</v>
      </c>
      <c r="J406">
        <f>(D406/C406)*1000</f>
        <v>27.746446773825959</v>
      </c>
      <c r="K406">
        <f>(E406/C406)*1000</f>
        <v>5.2316728143177116</v>
      </c>
      <c r="L406">
        <f>CORREL(C406:C904, D406:D904)</f>
        <v>0.85462016847364486</v>
      </c>
      <c r="M406">
        <f>CORREL(C406:C904,E406:E904)</f>
        <v>0.1644926665971721</v>
      </c>
      <c r="N406">
        <f>LEN(A406)</f>
        <v>27</v>
      </c>
      <c r="O406" t="str">
        <f>IF(ISNUMBER(SEARCH("$",A406)), "Money", IF(ISNUMBER(SEARCH("Win",A406)), "Challenge",IF(ISNUMBER(SEARCH("Challenge",A406)), "Challenge",IF(ISNUMBER(SEARCH("Last To Leave",A406)),"Challenge",IF(ISNUMBER(SEARCH("Giving Away", A406)),"Giveaway",IF(ISNUMBER(SEARCH("Stranded",A406)),"Survival", IF(ISNUMBER(SEARCH("Survive",A406)), "Survival", IF(ISNUMBER(SEARCH("Days",A406)),"Endurance","Other"))))))))</f>
        <v>Other</v>
      </c>
    </row>
    <row r="407" spans="1:15" x14ac:dyDescent="0.3">
      <c r="A407" t="s">
        <v>417</v>
      </c>
      <c r="B407" s="1">
        <v>42491</v>
      </c>
      <c r="C407" s="2">
        <v>652708</v>
      </c>
      <c r="D407" s="3">
        <v>13064</v>
      </c>
      <c r="E407" s="3">
        <v>1335</v>
      </c>
      <c r="F407">
        <f>YEAR(B407)</f>
        <v>2016</v>
      </c>
      <c r="G407" t="str">
        <f>TEXT(B407,"MMMM")</f>
        <v>May</v>
      </c>
      <c r="H407" t="str">
        <f>TEXT(B407, "DDDD")</f>
        <v>Sunday</v>
      </c>
      <c r="I407">
        <f>((D407+E407)/C407)*100</f>
        <v>2.2060400669211959</v>
      </c>
      <c r="J407">
        <f>(D407/C407)*1000</f>
        <v>20.015075654044381</v>
      </c>
      <c r="K407">
        <f>(E407/C407)*1000</f>
        <v>2.0453250151675788</v>
      </c>
      <c r="L407">
        <f>CORREL(C407:C905, D407:D905)</f>
        <v>0.8544859189741334</v>
      </c>
      <c r="M407">
        <f>CORREL(C407:C905,E407:E905)</f>
        <v>0.16325043297070468</v>
      </c>
      <c r="N407">
        <f>LEN(A407)</f>
        <v>34</v>
      </c>
      <c r="O407" t="str">
        <f>IF(ISNUMBER(SEARCH("$",A407)), "Money", IF(ISNUMBER(SEARCH("Win",A407)), "Challenge",IF(ISNUMBER(SEARCH("Challenge",A407)), "Challenge",IF(ISNUMBER(SEARCH("Last To Leave",A407)),"Challenge",IF(ISNUMBER(SEARCH("Giving Away", A407)),"Giveaway",IF(ISNUMBER(SEARCH("Stranded",A407)),"Survival", IF(ISNUMBER(SEARCH("Survive",A407)), "Survival", IF(ISNUMBER(SEARCH("Days",A407)),"Endurance","Other"))))))))</f>
        <v>Other</v>
      </c>
    </row>
    <row r="408" spans="1:15" x14ac:dyDescent="0.3">
      <c r="A408" t="s">
        <v>418</v>
      </c>
      <c r="B408" s="1">
        <v>42428</v>
      </c>
      <c r="C408" s="2">
        <v>640382</v>
      </c>
      <c r="D408" s="3">
        <v>24876</v>
      </c>
      <c r="E408" s="3">
        <v>1161</v>
      </c>
      <c r="F408">
        <f>YEAR(B408)</f>
        <v>2016</v>
      </c>
      <c r="G408" t="str">
        <f>TEXT(B408,"MMMM")</f>
        <v>February</v>
      </c>
      <c r="H408" t="str">
        <f>TEXT(B408, "DDDD")</f>
        <v>Sunday</v>
      </c>
      <c r="I408">
        <f>((D408+E408)/C408)*100</f>
        <v>4.0658544431292567</v>
      </c>
      <c r="J408">
        <f>(D408/C408)*1000</f>
        <v>38.8455640539553</v>
      </c>
      <c r="K408">
        <f>(E408/C408)*1000</f>
        <v>1.8129803773372768</v>
      </c>
      <c r="L408">
        <f>CORREL(C408:C906, D408:D906)</f>
        <v>0.85434932910169881</v>
      </c>
      <c r="M408">
        <f>CORREL(C408:C906,E408:E906)</f>
        <v>0.16251017349806643</v>
      </c>
      <c r="N408">
        <f>LEN(A408)</f>
        <v>27</v>
      </c>
      <c r="O408" t="str">
        <f>IF(ISNUMBER(SEARCH("$",A408)), "Money", IF(ISNUMBER(SEARCH("Win",A408)), "Challenge",IF(ISNUMBER(SEARCH("Challenge",A408)), "Challenge",IF(ISNUMBER(SEARCH("Last To Leave",A408)),"Challenge",IF(ISNUMBER(SEARCH("Giving Away", A408)),"Giveaway",IF(ISNUMBER(SEARCH("Stranded",A408)),"Survival", IF(ISNUMBER(SEARCH("Survive",A408)), "Survival", IF(ISNUMBER(SEARCH("Days",A408)),"Endurance","Other"))))))))</f>
        <v>Other</v>
      </c>
    </row>
    <row r="409" spans="1:15" x14ac:dyDescent="0.3">
      <c r="A409" t="s">
        <v>419</v>
      </c>
      <c r="B409" s="1">
        <v>42532</v>
      </c>
      <c r="C409" s="2">
        <v>618577</v>
      </c>
      <c r="D409" s="3">
        <v>23676</v>
      </c>
      <c r="E409" s="3">
        <v>3557</v>
      </c>
      <c r="F409">
        <f>YEAR(B409)</f>
        <v>2016</v>
      </c>
      <c r="G409" t="str">
        <f>TEXT(B409,"MMMM")</f>
        <v>June</v>
      </c>
      <c r="H409" t="str">
        <f>TEXT(B409, "DDDD")</f>
        <v>Saturday</v>
      </c>
      <c r="I409">
        <f>((D409+E409)/C409)*100</f>
        <v>4.4025238571754199</v>
      </c>
      <c r="J409">
        <f>(D409/C409)*1000</f>
        <v>38.274943943922906</v>
      </c>
      <c r="K409">
        <f>(E409/C409)*1000</f>
        <v>5.7502946278312965</v>
      </c>
      <c r="L409">
        <f>CORREL(C409:C907, D409:D907)</f>
        <v>0.85422306612666776</v>
      </c>
      <c r="M409">
        <f>CORREL(C409:C907,E409:E907)</f>
        <v>0.16169169309001089</v>
      </c>
      <c r="N409">
        <f>LEN(A409)</f>
        <v>22</v>
      </c>
      <c r="O409" t="str">
        <f>IF(ISNUMBER(SEARCH("$",A409)), "Money", IF(ISNUMBER(SEARCH("Win",A409)), "Challenge",IF(ISNUMBER(SEARCH("Challenge",A409)), "Challenge",IF(ISNUMBER(SEARCH("Last To Leave",A409)),"Challenge",IF(ISNUMBER(SEARCH("Giving Away", A409)),"Giveaway",IF(ISNUMBER(SEARCH("Stranded",A409)),"Survival", IF(ISNUMBER(SEARCH("Survive",A409)), "Survival", IF(ISNUMBER(SEARCH("Days",A409)),"Endurance","Other"))))))))</f>
        <v>Other</v>
      </c>
    </row>
    <row r="410" spans="1:15" x14ac:dyDescent="0.3">
      <c r="A410" t="s">
        <v>420</v>
      </c>
      <c r="B410" s="1">
        <v>42527</v>
      </c>
      <c r="C410" s="2">
        <v>441891</v>
      </c>
      <c r="D410" s="3">
        <v>13087</v>
      </c>
      <c r="E410" s="3">
        <v>1748</v>
      </c>
      <c r="F410">
        <f>YEAR(B410)</f>
        <v>2016</v>
      </c>
      <c r="G410" t="str">
        <f>TEXT(B410,"MMMM")</f>
        <v>June</v>
      </c>
      <c r="H410" t="str">
        <f>TEXT(B410, "DDDD")</f>
        <v>Monday</v>
      </c>
      <c r="I410">
        <f>((D410+E410)/C410)*100</f>
        <v>3.3571627392275469</v>
      </c>
      <c r="J410">
        <f>(D410/C410)*1000</f>
        <v>29.615900753805803</v>
      </c>
      <c r="K410">
        <f>(E410/C410)*1000</f>
        <v>3.9557266384696677</v>
      </c>
      <c r="L410">
        <f>CORREL(C410:C908, D410:D908)</f>
        <v>0.85409649342256744</v>
      </c>
      <c r="M410">
        <f>CORREL(C410:C908,E410:E908)</f>
        <v>0.16023557126105556</v>
      </c>
      <c r="N410">
        <f>LEN(A410)</f>
        <v>40</v>
      </c>
      <c r="O410" t="str">
        <f>IF(ISNUMBER(SEARCH("$",A410)), "Money", IF(ISNUMBER(SEARCH("Win",A410)), "Challenge",IF(ISNUMBER(SEARCH("Challenge",A410)), "Challenge",IF(ISNUMBER(SEARCH("Last To Leave",A410)),"Challenge",IF(ISNUMBER(SEARCH("Giving Away", A410)),"Giveaway",IF(ISNUMBER(SEARCH("Stranded",A410)),"Survival", IF(ISNUMBER(SEARCH("Survive",A410)), "Survival", IF(ISNUMBER(SEARCH("Days",A410)),"Endurance","Other"))))))))</f>
        <v>Other</v>
      </c>
    </row>
    <row r="411" spans="1:15" x14ac:dyDescent="0.3">
      <c r="A411" t="s">
        <v>421</v>
      </c>
      <c r="B411" s="1">
        <v>42643</v>
      </c>
      <c r="C411" s="2">
        <v>429658</v>
      </c>
      <c r="D411" s="3">
        <v>15269</v>
      </c>
      <c r="E411" s="3">
        <v>923</v>
      </c>
      <c r="F411">
        <f>YEAR(B411)</f>
        <v>2016</v>
      </c>
      <c r="G411" t="str">
        <f>TEXT(B411,"MMMM")</f>
        <v>September</v>
      </c>
      <c r="H411" t="str">
        <f>TEXT(B411, "DDDD")</f>
        <v>Friday</v>
      </c>
      <c r="I411">
        <f>((D411+E411)/C411)*100</f>
        <v>3.7685787300597218</v>
      </c>
      <c r="J411">
        <f>(D411/C411)*1000</f>
        <v>35.537567088242277</v>
      </c>
      <c r="K411">
        <f>(E411/C411)*1000</f>
        <v>2.1482202123549428</v>
      </c>
      <c r="L411">
        <f>CORREL(C411:C909, D411:D909)</f>
        <v>0.85397227980232715</v>
      </c>
      <c r="M411">
        <f>CORREL(C411:C909,E411:E909)</f>
        <v>0.15946856788024408</v>
      </c>
      <c r="N411">
        <f>LEN(A411)</f>
        <v>38</v>
      </c>
      <c r="O411" t="str">
        <f>IF(ISNUMBER(SEARCH("$",A411)), "Money", IF(ISNUMBER(SEARCH("Win",A411)), "Challenge",IF(ISNUMBER(SEARCH("Challenge",A411)), "Challenge",IF(ISNUMBER(SEARCH("Last To Leave",A411)),"Challenge",IF(ISNUMBER(SEARCH("Giving Away", A411)),"Giveaway",IF(ISNUMBER(SEARCH("Stranded",A411)),"Survival", IF(ISNUMBER(SEARCH("Survive",A411)), "Survival", IF(ISNUMBER(SEARCH("Days",A411)),"Endurance","Other"))))))))</f>
        <v>Other</v>
      </c>
    </row>
    <row r="412" spans="1:15" x14ac:dyDescent="0.3">
      <c r="A412" t="s">
        <v>422</v>
      </c>
      <c r="B412" s="1">
        <v>42497</v>
      </c>
      <c r="C412" s="2">
        <v>414189</v>
      </c>
      <c r="D412" s="3">
        <v>15852</v>
      </c>
      <c r="E412" s="3">
        <v>866</v>
      </c>
      <c r="F412">
        <f>YEAR(B412)</f>
        <v>2016</v>
      </c>
      <c r="G412" t="str">
        <f>TEXT(B412,"MMMM")</f>
        <v>May</v>
      </c>
      <c r="H412" t="str">
        <f>TEXT(B412, "DDDD")</f>
        <v>Saturday</v>
      </c>
      <c r="I412">
        <f>((D412+E412)/C412)*100</f>
        <v>4.0363215826591237</v>
      </c>
      <c r="J412">
        <f>(D412/C412)*1000</f>
        <v>38.272382897662659</v>
      </c>
      <c r="K412">
        <f>(E412/C412)*1000</f>
        <v>2.090832928928581</v>
      </c>
      <c r="L412">
        <f>CORREL(C412:C910, D412:D910)</f>
        <v>0.85384176976963311</v>
      </c>
      <c r="M412">
        <f>CORREL(C412:C910,E412:E910)</f>
        <v>0.15836811824253444</v>
      </c>
      <c r="N412">
        <f>LEN(A412)</f>
        <v>41</v>
      </c>
      <c r="O412" t="str">
        <f>IF(ISNUMBER(SEARCH("$",A412)), "Money", IF(ISNUMBER(SEARCH("Win",A412)), "Challenge",IF(ISNUMBER(SEARCH("Challenge",A412)), "Challenge",IF(ISNUMBER(SEARCH("Last To Leave",A412)),"Challenge",IF(ISNUMBER(SEARCH("Giving Away", A412)),"Giveaway",IF(ISNUMBER(SEARCH("Stranded",A412)),"Survival", IF(ISNUMBER(SEARCH("Survive",A412)), "Survival", IF(ISNUMBER(SEARCH("Days",A412)),"Endurance","Other"))))))))</f>
        <v>Other</v>
      </c>
    </row>
    <row r="413" spans="1:15" x14ac:dyDescent="0.3">
      <c r="A413" t="s">
        <v>423</v>
      </c>
      <c r="B413" s="1">
        <v>42610</v>
      </c>
      <c r="C413" s="2">
        <v>405685</v>
      </c>
      <c r="D413" s="3">
        <v>12052</v>
      </c>
      <c r="E413" s="3">
        <v>1059</v>
      </c>
      <c r="F413">
        <f>YEAR(B413)</f>
        <v>2016</v>
      </c>
      <c r="G413" t="str">
        <f>TEXT(B413,"MMMM")</f>
        <v>August</v>
      </c>
      <c r="H413" t="str">
        <f>TEXT(B413, "DDDD")</f>
        <v>Sunday</v>
      </c>
      <c r="I413">
        <f>((D413+E413)/C413)*100</f>
        <v>3.2318177896643951</v>
      </c>
      <c r="J413">
        <f>(D413/C413)*1000</f>
        <v>29.707778202299814</v>
      </c>
      <c r="K413">
        <f>(E413/C413)*1000</f>
        <v>2.6103996943441339</v>
      </c>
      <c r="L413">
        <f>CORREL(C413:C911, D413:D911)</f>
        <v>0.85371932260256822</v>
      </c>
      <c r="M413">
        <f>CORREL(C413:C911,E413:E911)</f>
        <v>0.15761624084213546</v>
      </c>
      <c r="N413">
        <f>LEN(A413)</f>
        <v>46</v>
      </c>
      <c r="O413" t="str">
        <f>IF(ISNUMBER(SEARCH("$",A413)), "Money", IF(ISNUMBER(SEARCH("Win",A413)), "Challenge",IF(ISNUMBER(SEARCH("Challenge",A413)), "Challenge",IF(ISNUMBER(SEARCH("Last To Leave",A413)),"Challenge",IF(ISNUMBER(SEARCH("Giving Away", A413)),"Giveaway",IF(ISNUMBER(SEARCH("Stranded",A413)),"Survival", IF(ISNUMBER(SEARCH("Survive",A413)), "Survival", IF(ISNUMBER(SEARCH("Days",A413)),"Endurance","Other"))))))))</f>
        <v>Other</v>
      </c>
    </row>
    <row r="414" spans="1:15" x14ac:dyDescent="0.3">
      <c r="A414" t="s">
        <v>424</v>
      </c>
      <c r="B414" s="1">
        <v>42509</v>
      </c>
      <c r="C414" s="2">
        <v>399418</v>
      </c>
      <c r="D414" s="3">
        <v>12326</v>
      </c>
      <c r="E414" s="3">
        <v>2500</v>
      </c>
      <c r="F414">
        <f>YEAR(B414)</f>
        <v>2016</v>
      </c>
      <c r="G414" t="str">
        <f>TEXT(B414,"MMMM")</f>
        <v>May</v>
      </c>
      <c r="H414" t="str">
        <f>TEXT(B414, "DDDD")</f>
        <v>Thursday</v>
      </c>
      <c r="I414">
        <f>((D414+E414)/C414)*100</f>
        <v>3.7119008156868243</v>
      </c>
      <c r="J414">
        <f>(D414/C414)*1000</f>
        <v>30.859901156182246</v>
      </c>
      <c r="K414">
        <f>(E414/C414)*1000</f>
        <v>6.2591070006859981</v>
      </c>
      <c r="L414">
        <f>CORREL(C414:C912, D414:D912)</f>
        <v>0.85347967966585769</v>
      </c>
      <c r="M414">
        <f>CORREL(C414:C912,E414:E912)</f>
        <v>0.156710888897276</v>
      </c>
      <c r="N414">
        <f>LEN(A414)</f>
        <v>66</v>
      </c>
      <c r="O414" t="str">
        <f>IF(ISNUMBER(SEARCH("$",A414)), "Money", IF(ISNUMBER(SEARCH("Win",A414)), "Challenge",IF(ISNUMBER(SEARCH("Challenge",A414)), "Challenge",IF(ISNUMBER(SEARCH("Last To Leave",A414)),"Challenge",IF(ISNUMBER(SEARCH("Giving Away", A414)),"Giveaway",IF(ISNUMBER(SEARCH("Stranded",A414)),"Survival", IF(ISNUMBER(SEARCH("Survive",A414)), "Survival", IF(ISNUMBER(SEARCH("Days",A414)),"Endurance","Other"))))))))</f>
        <v>Other</v>
      </c>
    </row>
    <row r="415" spans="1:15" x14ac:dyDescent="0.3">
      <c r="A415" t="s">
        <v>425</v>
      </c>
      <c r="B415" s="1">
        <v>42376</v>
      </c>
      <c r="C415" s="2">
        <v>389442</v>
      </c>
      <c r="D415" s="3">
        <v>23712</v>
      </c>
      <c r="E415" s="3">
        <v>2011</v>
      </c>
      <c r="F415">
        <f>YEAR(B415)</f>
        <v>2016</v>
      </c>
      <c r="G415" t="str">
        <f>TEXT(B415,"MMMM")</f>
        <v>January</v>
      </c>
      <c r="H415" t="str">
        <f>TEXT(B415, "DDDD")</f>
        <v>Thursday</v>
      </c>
      <c r="I415">
        <f>((D415+E415)/C415)*100</f>
        <v>6.6050913871641983</v>
      </c>
      <c r="J415">
        <f>(D415/C415)*1000</f>
        <v>60.88711541128076</v>
      </c>
      <c r="K415">
        <f>(E415/C415)*1000</f>
        <v>5.1637984603612352</v>
      </c>
      <c r="L415">
        <f>CORREL(C415:C913, D415:D913)</f>
        <v>0.85335980641016973</v>
      </c>
      <c r="M415">
        <f>CORREL(C415:C913,E415:E913)</f>
        <v>0.15603282789531533</v>
      </c>
      <c r="N415">
        <f>LEN(A415)</f>
        <v>57</v>
      </c>
      <c r="O415" t="str">
        <f>IF(ISNUMBER(SEARCH("$",A415)), "Money", IF(ISNUMBER(SEARCH("Win",A415)), "Challenge",IF(ISNUMBER(SEARCH("Challenge",A415)), "Challenge",IF(ISNUMBER(SEARCH("Last To Leave",A415)),"Challenge",IF(ISNUMBER(SEARCH("Giving Away", A415)),"Giveaway",IF(ISNUMBER(SEARCH("Stranded",A415)),"Survival", IF(ISNUMBER(SEARCH("Survive",A415)), "Survival", IF(ISNUMBER(SEARCH("Days",A415)),"Endurance","Other"))))))))</f>
        <v>Other</v>
      </c>
    </row>
    <row r="416" spans="1:15" x14ac:dyDescent="0.3">
      <c r="A416" t="s">
        <v>426</v>
      </c>
      <c r="B416" s="1">
        <v>42653</v>
      </c>
      <c r="C416" s="2">
        <v>370402</v>
      </c>
      <c r="D416" s="3">
        <v>12225</v>
      </c>
      <c r="E416" s="3">
        <v>1329</v>
      </c>
      <c r="F416">
        <f>YEAR(B416)</f>
        <v>2016</v>
      </c>
      <c r="G416" t="str">
        <f>TEXT(B416,"MMMM")</f>
        <v>October</v>
      </c>
      <c r="H416" t="str">
        <f>TEXT(B416, "DDDD")</f>
        <v>Monday</v>
      </c>
      <c r="I416">
        <f>((D416+E416)/C416)*100</f>
        <v>3.6592674985556233</v>
      </c>
      <c r="J416">
        <f>(D416/C416)*1000</f>
        <v>33.004681400208426</v>
      </c>
      <c r="K416">
        <f>(E416/C416)*1000</f>
        <v>3.5879935853478111</v>
      </c>
      <c r="L416">
        <f>CORREL(C416:C914, D416:D914)</f>
        <v>0.85320558326105245</v>
      </c>
      <c r="M416">
        <f>CORREL(C416:C914,E416:E914)</f>
        <v>0.1546886782993496</v>
      </c>
      <c r="N416">
        <f>LEN(A416)</f>
        <v>27</v>
      </c>
      <c r="O416" t="str">
        <f>IF(ISNUMBER(SEARCH("$",A416)), "Money", IF(ISNUMBER(SEARCH("Win",A416)), "Challenge",IF(ISNUMBER(SEARCH("Challenge",A416)), "Challenge",IF(ISNUMBER(SEARCH("Last To Leave",A416)),"Challenge",IF(ISNUMBER(SEARCH("Giving Away", A416)),"Giveaway",IF(ISNUMBER(SEARCH("Stranded",A416)),"Survival", IF(ISNUMBER(SEARCH("Survive",A416)), "Survival", IF(ISNUMBER(SEARCH("Days",A416)),"Endurance","Other"))))))))</f>
        <v>Other</v>
      </c>
    </row>
    <row r="417" spans="1:15" x14ac:dyDescent="0.3">
      <c r="A417" t="s">
        <v>427</v>
      </c>
      <c r="B417" s="1">
        <v>42470</v>
      </c>
      <c r="C417" s="2">
        <v>297167</v>
      </c>
      <c r="D417" s="3">
        <v>10286</v>
      </c>
      <c r="E417" s="3">
        <v>551</v>
      </c>
      <c r="F417">
        <f>YEAR(B417)</f>
        <v>2016</v>
      </c>
      <c r="G417" t="str">
        <f>TEXT(B417,"MMMM")</f>
        <v>April</v>
      </c>
      <c r="H417" t="str">
        <f>TEXT(B417, "DDDD")</f>
        <v>Sunday</v>
      </c>
      <c r="I417">
        <f>((D417+E417)/C417)*100</f>
        <v>3.6467710075479443</v>
      </c>
      <c r="J417">
        <f>(D417/C417)*1000</f>
        <v>34.613533804224566</v>
      </c>
      <c r="K417">
        <f>(E417/C417)*1000</f>
        <v>1.8541762712548837</v>
      </c>
      <c r="L417">
        <f>CORREL(C417:C915, D417:D915)</f>
        <v>0.85306810038622716</v>
      </c>
      <c r="M417">
        <f>CORREL(C417:C915,E417:E915)</f>
        <v>0.15391966535869697</v>
      </c>
      <c r="N417">
        <f>LEN(A417)</f>
        <v>39</v>
      </c>
      <c r="O417" t="str">
        <f>IF(ISNUMBER(SEARCH("$",A417)), "Money", IF(ISNUMBER(SEARCH("Win",A417)), "Challenge",IF(ISNUMBER(SEARCH("Challenge",A417)), "Challenge",IF(ISNUMBER(SEARCH("Last To Leave",A417)),"Challenge",IF(ISNUMBER(SEARCH("Giving Away", A417)),"Giveaway",IF(ISNUMBER(SEARCH("Stranded",A417)),"Survival", IF(ISNUMBER(SEARCH("Survive",A417)), "Survival", IF(ISNUMBER(SEARCH("Days",A417)),"Endurance","Other"))))))))</f>
        <v>Other</v>
      </c>
    </row>
    <row r="418" spans="1:15" x14ac:dyDescent="0.3">
      <c r="A418" t="s">
        <v>428</v>
      </c>
      <c r="B418" s="1">
        <v>42420</v>
      </c>
      <c r="C418" s="2">
        <v>236262</v>
      </c>
      <c r="D418" s="3">
        <v>5575</v>
      </c>
      <c r="E418" s="3">
        <v>383</v>
      </c>
      <c r="F418">
        <f>YEAR(B418)</f>
        <v>2016</v>
      </c>
      <c r="G418" t="str">
        <f>TEXT(B418,"MMMM")</f>
        <v>February</v>
      </c>
      <c r="H418" t="str">
        <f>TEXT(B418, "DDDD")</f>
        <v>Saturday</v>
      </c>
      <c r="I418">
        <f>((D418+E418)/C418)*100</f>
        <v>2.5217766716611223</v>
      </c>
      <c r="J418">
        <f>(D418/C418)*1000</f>
        <v>23.596685036103988</v>
      </c>
      <c r="K418">
        <f>(E418/C418)*1000</f>
        <v>1.6210816805072337</v>
      </c>
      <c r="L418">
        <f>CORREL(C418:C916, D418:D916)</f>
        <v>0.85292267521062926</v>
      </c>
      <c r="M418">
        <f>CORREL(C418:C916,E418:E916)</f>
        <v>0.15320321172623616</v>
      </c>
      <c r="N418">
        <f>LEN(A418)</f>
        <v>55</v>
      </c>
      <c r="O418" t="str">
        <f>IF(ISNUMBER(SEARCH("$",A418)), "Money", IF(ISNUMBER(SEARCH("Win",A418)), "Challenge",IF(ISNUMBER(SEARCH("Challenge",A418)), "Challenge",IF(ISNUMBER(SEARCH("Last To Leave",A418)),"Challenge",IF(ISNUMBER(SEARCH("Giving Away", A418)),"Giveaway",IF(ISNUMBER(SEARCH("Stranded",A418)),"Survival", IF(ISNUMBER(SEARCH("Survive",A418)), "Survival", IF(ISNUMBER(SEARCH("Days",A418)),"Endurance","Other"))))))))</f>
        <v>Other</v>
      </c>
    </row>
    <row r="419" spans="1:15" x14ac:dyDescent="0.3">
      <c r="A419" t="s">
        <v>429</v>
      </c>
      <c r="B419" s="1">
        <v>42393</v>
      </c>
      <c r="C419" s="2">
        <v>235239</v>
      </c>
      <c r="D419" s="3">
        <v>4739</v>
      </c>
      <c r="E419" s="3">
        <v>293</v>
      </c>
      <c r="F419">
        <f>YEAR(B419)</f>
        <v>2016</v>
      </c>
      <c r="G419" t="str">
        <f>TEXT(B419,"MMMM")</f>
        <v>January</v>
      </c>
      <c r="H419" t="str">
        <f>TEXT(B419, "DDDD")</f>
        <v>Sunday</v>
      </c>
      <c r="I419">
        <f>((D419+E419)/C419)*100</f>
        <v>2.1391010844290275</v>
      </c>
      <c r="J419">
        <f>(D419/C419)*1000</f>
        <v>20.145469076131082</v>
      </c>
      <c r="K419">
        <f>(E419/C419)*1000</f>
        <v>1.2455417681591914</v>
      </c>
      <c r="L419">
        <f>CORREL(C419:C917, D419:D917)</f>
        <v>0.85276851054735403</v>
      </c>
      <c r="M419">
        <f>CORREL(C419:C917,E419:E917)</f>
        <v>0.15244349482154343</v>
      </c>
      <c r="N419">
        <f>LEN(A419)</f>
        <v>36</v>
      </c>
      <c r="O419" t="str">
        <f>IF(ISNUMBER(SEARCH("$",A419)), "Money", IF(ISNUMBER(SEARCH("Win",A419)), "Challenge",IF(ISNUMBER(SEARCH("Challenge",A419)), "Challenge",IF(ISNUMBER(SEARCH("Last To Leave",A419)),"Challenge",IF(ISNUMBER(SEARCH("Giving Away", A419)),"Giveaway",IF(ISNUMBER(SEARCH("Stranded",A419)),"Survival", IF(ISNUMBER(SEARCH("Survive",A419)), "Survival", IF(ISNUMBER(SEARCH("Days",A419)),"Endurance","Other"))))))))</f>
        <v>Other</v>
      </c>
    </row>
    <row r="420" spans="1:15" x14ac:dyDescent="0.3">
      <c r="A420" s="4">
        <v>20000</v>
      </c>
      <c r="B420" s="1">
        <v>42437</v>
      </c>
      <c r="C420" s="2">
        <v>226642</v>
      </c>
      <c r="D420" s="3">
        <v>6502</v>
      </c>
      <c r="E420" s="3">
        <v>870</v>
      </c>
      <c r="F420">
        <f>YEAR(B420)</f>
        <v>2016</v>
      </c>
      <c r="G420" t="str">
        <f>TEXT(B420,"MMMM")</f>
        <v>March</v>
      </c>
      <c r="H420" t="str">
        <f>TEXT(B420, "DDDD")</f>
        <v>Tuesday</v>
      </c>
      <c r="I420">
        <f>((D420+E420)/C420)*100</f>
        <v>3.2527069122228003</v>
      </c>
      <c r="J420">
        <f>(D420/C420)*1000</f>
        <v>28.688416092339459</v>
      </c>
      <c r="K420">
        <f>(E420/C420)*1000</f>
        <v>3.8386530298885466</v>
      </c>
      <c r="L420">
        <f>CORREL(C420:C918, D420:D918)</f>
        <v>0.85265586535898985</v>
      </c>
      <c r="M420">
        <f>CORREL(C420:C918,E420:E918)</f>
        <v>0.1517537221840323</v>
      </c>
      <c r="N420">
        <f>LEN(A420)</f>
        <v>5</v>
      </c>
      <c r="O420" t="str">
        <f>IF(ISNUMBER(SEARCH("$",A420)), "Money", IF(ISNUMBER(SEARCH("Win",A420)), "Challenge",IF(ISNUMBER(SEARCH("Challenge",A420)), "Challenge",IF(ISNUMBER(SEARCH("Last To Leave",A420)),"Challenge",IF(ISNUMBER(SEARCH("Giving Away", A420)),"Giveaway",IF(ISNUMBER(SEARCH("Stranded",A420)),"Survival", IF(ISNUMBER(SEARCH("Survive",A420)), "Survival", IF(ISNUMBER(SEARCH("Days",A420)),"Endurance","Other"))))))))</f>
        <v>Other</v>
      </c>
    </row>
    <row r="421" spans="1:15" x14ac:dyDescent="0.3">
      <c r="A421" t="s">
        <v>430</v>
      </c>
      <c r="B421" s="1">
        <v>42429</v>
      </c>
      <c r="C421" s="2">
        <v>223704</v>
      </c>
      <c r="D421" s="3">
        <v>5426</v>
      </c>
      <c r="E421" s="3">
        <v>384</v>
      </c>
      <c r="F421">
        <f>YEAR(B421)</f>
        <v>2016</v>
      </c>
      <c r="G421" t="str">
        <f>TEXT(B421,"MMMM")</f>
        <v>February</v>
      </c>
      <c r="H421" t="str">
        <f>TEXT(B421, "DDDD")</f>
        <v>Monday</v>
      </c>
      <c r="I421">
        <f>((D421+E421)/C421)*100</f>
        <v>2.5971819904874298</v>
      </c>
      <c r="J421">
        <f>(D421/C421)*1000</f>
        <v>24.25526588706505</v>
      </c>
      <c r="K421">
        <f>(E421/C421)*1000</f>
        <v>1.716554017809248</v>
      </c>
      <c r="L421">
        <f>CORREL(C421:C919, D421:D919)</f>
        <v>0.85250428660259681</v>
      </c>
      <c r="M421">
        <f>CORREL(C421:C919,E421:E919)</f>
        <v>0.15071800647953393</v>
      </c>
      <c r="N421">
        <f>LEN(A421)</f>
        <v>33</v>
      </c>
      <c r="O421" t="str">
        <f>IF(ISNUMBER(SEARCH("$",A421)), "Money", IF(ISNUMBER(SEARCH("Win",A421)), "Challenge",IF(ISNUMBER(SEARCH("Challenge",A421)), "Challenge",IF(ISNUMBER(SEARCH("Last To Leave",A421)),"Challenge",IF(ISNUMBER(SEARCH("Giving Away", A421)),"Giveaway",IF(ISNUMBER(SEARCH("Stranded",A421)),"Survival", IF(ISNUMBER(SEARCH("Survive",A421)), "Survival", IF(ISNUMBER(SEARCH("Days",A421)),"Endurance","Other"))))))))</f>
        <v>Other</v>
      </c>
    </row>
    <row r="422" spans="1:15" x14ac:dyDescent="0.3">
      <c r="A422" t="s">
        <v>431</v>
      </c>
      <c r="B422" s="1">
        <v>42505</v>
      </c>
      <c r="C422" s="2">
        <v>215598</v>
      </c>
      <c r="D422" s="3">
        <v>9211</v>
      </c>
      <c r="E422" s="3">
        <v>578</v>
      </c>
      <c r="F422">
        <f>YEAR(B422)</f>
        <v>2016</v>
      </c>
      <c r="G422" t="str">
        <f>TEXT(B422,"MMMM")</f>
        <v>May</v>
      </c>
      <c r="H422" t="str">
        <f>TEXT(B422, "DDDD")</f>
        <v>Sunday</v>
      </c>
      <c r="I422">
        <f>((D422+E422)/C422)*100</f>
        <v>4.5403946233267467</v>
      </c>
      <c r="J422">
        <f>(D422/C422)*1000</f>
        <v>42.72303082588892</v>
      </c>
      <c r="K422">
        <f>(E422/C422)*1000</f>
        <v>2.6809154073785471</v>
      </c>
      <c r="L422">
        <f>CORREL(C422:C920, D422:D920)</f>
        <v>0.85236190556017066</v>
      </c>
      <c r="M422">
        <f>CORREL(C422:C920,E422:E920)</f>
        <v>0.15004383350470815</v>
      </c>
      <c r="N422">
        <f>LEN(A422)</f>
        <v>27</v>
      </c>
      <c r="O422" t="str">
        <f>IF(ISNUMBER(SEARCH("$",A422)), "Money", IF(ISNUMBER(SEARCH("Win",A422)), "Challenge",IF(ISNUMBER(SEARCH("Challenge",A422)), "Challenge",IF(ISNUMBER(SEARCH("Last To Leave",A422)),"Challenge",IF(ISNUMBER(SEARCH("Giving Away", A422)),"Giveaway",IF(ISNUMBER(SEARCH("Stranded",A422)),"Survival", IF(ISNUMBER(SEARCH("Survive",A422)), "Survival", IF(ISNUMBER(SEARCH("Days",A422)),"Endurance","Other"))))))))</f>
        <v>Other</v>
      </c>
    </row>
    <row r="423" spans="1:15" x14ac:dyDescent="0.3">
      <c r="A423" t="s">
        <v>432</v>
      </c>
      <c r="B423" s="1">
        <v>42476</v>
      </c>
      <c r="C423" s="2">
        <v>199062</v>
      </c>
      <c r="D423" s="3">
        <v>7262</v>
      </c>
      <c r="E423" s="3">
        <v>566</v>
      </c>
      <c r="F423">
        <f>YEAR(B423)</f>
        <v>2016</v>
      </c>
      <c r="G423" t="str">
        <f>TEXT(B423,"MMMM")</f>
        <v>April</v>
      </c>
      <c r="H423" t="str">
        <f>TEXT(B423, "DDDD")</f>
        <v>Saturday</v>
      </c>
      <c r="I423">
        <f>((D423+E423)/C423)*100</f>
        <v>3.9324431584129571</v>
      </c>
      <c r="J423">
        <f>(D423/C423)*1000</f>
        <v>36.481096341843248</v>
      </c>
      <c r="K423">
        <f>(E423/C423)*1000</f>
        <v>2.8433352422863227</v>
      </c>
      <c r="L423">
        <f>CORREL(C423:C921, D423:D921)</f>
        <v>0.85205531588252781</v>
      </c>
      <c r="M423">
        <f>CORREL(C423:C921,E423:E921)</f>
        <v>0.14694478991991489</v>
      </c>
      <c r="N423">
        <f>LEN(A423)</f>
        <v>20</v>
      </c>
      <c r="O423" t="str">
        <f>IF(ISNUMBER(SEARCH("$",A423)), "Money", IF(ISNUMBER(SEARCH("Win",A423)), "Challenge",IF(ISNUMBER(SEARCH("Challenge",A423)), "Challenge",IF(ISNUMBER(SEARCH("Last To Leave",A423)),"Challenge",IF(ISNUMBER(SEARCH("Giving Away", A423)),"Giveaway",IF(ISNUMBER(SEARCH("Stranded",A423)),"Survival", IF(ISNUMBER(SEARCH("Survive",A423)), "Survival", IF(ISNUMBER(SEARCH("Days",A423)),"Endurance","Other"))))))))</f>
        <v>Other</v>
      </c>
    </row>
    <row r="424" spans="1:15" x14ac:dyDescent="0.3">
      <c r="A424" t="s">
        <v>433</v>
      </c>
      <c r="B424" s="1">
        <v>42535</v>
      </c>
      <c r="C424" s="2">
        <v>193433</v>
      </c>
      <c r="D424" s="3">
        <v>6166</v>
      </c>
      <c r="E424" s="3">
        <v>1364</v>
      </c>
      <c r="F424">
        <f>YEAR(B424)</f>
        <v>2016</v>
      </c>
      <c r="G424" t="str">
        <f>TEXT(B424,"MMMM")</f>
        <v>June</v>
      </c>
      <c r="H424" t="str">
        <f>TEXT(B424, "DDDD")</f>
        <v>Tuesday</v>
      </c>
      <c r="I424">
        <f>((D424+E424)/C424)*100</f>
        <v>3.8928207699823711</v>
      </c>
      <c r="J424">
        <f>(D424/C424)*1000</f>
        <v>31.876670475048204</v>
      </c>
      <c r="K424">
        <f>(E424/C424)*1000</f>
        <v>7.0515372247755037</v>
      </c>
      <c r="L424">
        <f>CORREL(C424:C922, D424:D922)</f>
        <v>0.85194313001049204</v>
      </c>
      <c r="M424">
        <f>CORREL(C424:C922,E424:E922)</f>
        <v>0.14629912635704764</v>
      </c>
      <c r="N424">
        <f>LEN(A424)</f>
        <v>36</v>
      </c>
      <c r="O424" t="str">
        <f>IF(ISNUMBER(SEARCH("$",A424)), "Money", IF(ISNUMBER(SEARCH("Win",A424)), "Challenge",IF(ISNUMBER(SEARCH("Challenge",A424)), "Challenge",IF(ISNUMBER(SEARCH("Last To Leave",A424)),"Challenge",IF(ISNUMBER(SEARCH("Giving Away", A424)),"Giveaway",IF(ISNUMBER(SEARCH("Stranded",A424)),"Survival", IF(ISNUMBER(SEARCH("Survive",A424)), "Survival", IF(ISNUMBER(SEARCH("Days",A424)),"Endurance","Other"))))))))</f>
        <v>Other</v>
      </c>
    </row>
    <row r="425" spans="1:15" x14ac:dyDescent="0.3">
      <c r="A425" t="s">
        <v>434</v>
      </c>
      <c r="B425" s="1">
        <v>42381</v>
      </c>
      <c r="C425" s="2">
        <v>193060</v>
      </c>
      <c r="D425" s="3">
        <v>9653</v>
      </c>
      <c r="E425" s="3">
        <v>1218</v>
      </c>
      <c r="F425">
        <f>YEAR(B425)</f>
        <v>2016</v>
      </c>
      <c r="G425" t="str">
        <f>TEXT(B425,"MMMM")</f>
        <v>January</v>
      </c>
      <c r="H425" t="str">
        <f>TEXT(B425, "DDDD")</f>
        <v>Tuesday</v>
      </c>
      <c r="I425">
        <f>((D425+E425)/C425)*100</f>
        <v>5.6308919506889055</v>
      </c>
      <c r="J425">
        <f>(D425/C425)*1000</f>
        <v>50</v>
      </c>
      <c r="K425">
        <f>(E425/C425)*1000</f>
        <v>6.3089195068890502</v>
      </c>
      <c r="L425">
        <f>CORREL(C425:C923, D425:D923)</f>
        <v>0.85181019339821884</v>
      </c>
      <c r="M425">
        <f>CORREL(C425:C923,E425:E923)</f>
        <v>0.14562228030750288</v>
      </c>
      <c r="N425">
        <f>LEN(A425)</f>
        <v>33</v>
      </c>
      <c r="O425" t="str">
        <f>IF(ISNUMBER(SEARCH("$",A425)), "Money", IF(ISNUMBER(SEARCH("Win",A425)), "Challenge",IF(ISNUMBER(SEARCH("Challenge",A425)), "Challenge",IF(ISNUMBER(SEARCH("Last To Leave",A425)),"Challenge",IF(ISNUMBER(SEARCH("Giving Away", A425)),"Giveaway",IF(ISNUMBER(SEARCH("Stranded",A425)),"Survival", IF(ISNUMBER(SEARCH("Survive",A425)), "Survival", IF(ISNUMBER(SEARCH("Days",A425)),"Endurance","Other"))))))))</f>
        <v>Other</v>
      </c>
    </row>
    <row r="426" spans="1:15" x14ac:dyDescent="0.3">
      <c r="A426" t="s">
        <v>435</v>
      </c>
      <c r="B426" s="1">
        <v>42457</v>
      </c>
      <c r="C426" s="2">
        <v>189165</v>
      </c>
      <c r="D426" s="3">
        <v>5203</v>
      </c>
      <c r="E426" s="3">
        <v>538</v>
      </c>
      <c r="F426">
        <f>YEAR(B426)</f>
        <v>2016</v>
      </c>
      <c r="G426" t="str">
        <f>TEXT(B426,"MMMM")</f>
        <v>March</v>
      </c>
      <c r="H426" t="str">
        <f>TEXT(B426, "DDDD")</f>
        <v>Monday</v>
      </c>
      <c r="I426">
        <f>((D426+E426)/C426)*100</f>
        <v>3.0349166071947771</v>
      </c>
      <c r="J426">
        <f>(D426/C426)*1000</f>
        <v>27.505088150556393</v>
      </c>
      <c r="K426">
        <f>(E426/C426)*1000</f>
        <v>2.8440779213913783</v>
      </c>
      <c r="L426">
        <f>CORREL(C426:C924, D426:D924)</f>
        <v>0.85173038629030506</v>
      </c>
      <c r="M426">
        <f>CORREL(C426:C924,E426:E924)</f>
        <v>0.1450123854861754</v>
      </c>
      <c r="N426">
        <f>LEN(A426)</f>
        <v>47</v>
      </c>
      <c r="O426" t="str">
        <f>IF(ISNUMBER(SEARCH("$",A426)), "Money", IF(ISNUMBER(SEARCH("Win",A426)), "Challenge",IF(ISNUMBER(SEARCH("Challenge",A426)), "Challenge",IF(ISNUMBER(SEARCH("Last To Leave",A426)),"Challenge",IF(ISNUMBER(SEARCH("Giving Away", A426)),"Giveaway",IF(ISNUMBER(SEARCH("Stranded",A426)),"Survival", IF(ISNUMBER(SEARCH("Survive",A426)), "Survival", IF(ISNUMBER(SEARCH("Days",A426)),"Endurance","Other"))))))))</f>
        <v>Other</v>
      </c>
    </row>
    <row r="427" spans="1:15" x14ac:dyDescent="0.3">
      <c r="A427" t="s">
        <v>436</v>
      </c>
      <c r="B427" s="1">
        <v>42395</v>
      </c>
      <c r="C427" s="2">
        <v>188031</v>
      </c>
      <c r="D427" s="3">
        <v>6238</v>
      </c>
      <c r="E427" s="3">
        <v>437</v>
      </c>
      <c r="F427">
        <f>YEAR(B427)</f>
        <v>2016</v>
      </c>
      <c r="G427" t="str">
        <f>TEXT(B427,"MMMM")</f>
        <v>January</v>
      </c>
      <c r="H427" t="str">
        <f>TEXT(B427, "DDDD")</f>
        <v>Tuesday</v>
      </c>
      <c r="I427">
        <f>((D427+E427)/C427)*100</f>
        <v>3.54994655136653</v>
      </c>
      <c r="J427">
        <f>(D427/C427)*1000</f>
        <v>33.175380655317468</v>
      </c>
      <c r="K427">
        <f>(E427/C427)*1000</f>
        <v>2.3240848583478257</v>
      </c>
      <c r="L427">
        <f>CORREL(C427:C925, D427:D925)</f>
        <v>0.85139852089634205</v>
      </c>
      <c r="M427">
        <f>CORREL(C427:C925,E427:E925)</f>
        <v>0.14350523756598715</v>
      </c>
      <c r="N427">
        <f>LEN(A427)</f>
        <v>42</v>
      </c>
      <c r="O427" t="str">
        <f>IF(ISNUMBER(SEARCH("$",A427)), "Money", IF(ISNUMBER(SEARCH("Win",A427)), "Challenge",IF(ISNUMBER(SEARCH("Challenge",A427)), "Challenge",IF(ISNUMBER(SEARCH("Last To Leave",A427)),"Challenge",IF(ISNUMBER(SEARCH("Giving Away", A427)),"Giveaway",IF(ISNUMBER(SEARCH("Stranded",A427)),"Survival", IF(ISNUMBER(SEARCH("Survive",A427)), "Survival", IF(ISNUMBER(SEARCH("Days",A427)),"Endurance","Other"))))))))</f>
        <v>Other</v>
      </c>
    </row>
    <row r="428" spans="1:15" x14ac:dyDescent="0.3">
      <c r="A428" t="s">
        <v>437</v>
      </c>
      <c r="B428" s="1">
        <v>42552</v>
      </c>
      <c r="C428" s="2">
        <v>187657</v>
      </c>
      <c r="D428" s="3">
        <v>7692</v>
      </c>
      <c r="E428" s="3">
        <v>1274</v>
      </c>
      <c r="F428">
        <f>YEAR(B428)</f>
        <v>2016</v>
      </c>
      <c r="G428" t="str">
        <f>TEXT(B428,"MMMM")</f>
        <v>July</v>
      </c>
      <c r="H428" t="str">
        <f>TEXT(B428, "DDDD")</f>
        <v>Friday</v>
      </c>
      <c r="I428">
        <f>((D428+E428)/C428)*100</f>
        <v>4.7778660002024971</v>
      </c>
      <c r="J428">
        <f>(D428/C428)*1000</f>
        <v>40.989677976307838</v>
      </c>
      <c r="K428">
        <f>(E428/C428)*1000</f>
        <v>6.7889820257171332</v>
      </c>
      <c r="L428">
        <f>CORREL(C428:C926, D428:D926)</f>
        <v>0.85130096575653147</v>
      </c>
      <c r="M428">
        <f>CORREL(C428:C926,E428:E926)</f>
        <v>0.14298078245705148</v>
      </c>
      <c r="N428">
        <f>LEN(A428)</f>
        <v>20</v>
      </c>
      <c r="O428" t="str">
        <f>IF(ISNUMBER(SEARCH("$",A428)), "Money", IF(ISNUMBER(SEARCH("Win",A428)), "Challenge",IF(ISNUMBER(SEARCH("Challenge",A428)), "Challenge",IF(ISNUMBER(SEARCH("Last To Leave",A428)),"Challenge",IF(ISNUMBER(SEARCH("Giving Away", A428)),"Giveaway",IF(ISNUMBER(SEARCH("Stranded",A428)),"Survival", IF(ISNUMBER(SEARCH("Survive",A428)), "Survival", IF(ISNUMBER(SEARCH("Days",A428)),"Endurance","Other"))))))))</f>
        <v>Challenge</v>
      </c>
    </row>
    <row r="429" spans="1:15" x14ac:dyDescent="0.3">
      <c r="A429" t="s">
        <v>438</v>
      </c>
      <c r="B429" s="1">
        <v>42488</v>
      </c>
      <c r="C429" s="2">
        <v>186641</v>
      </c>
      <c r="D429" s="3">
        <v>5821</v>
      </c>
      <c r="E429" s="3">
        <v>646</v>
      </c>
      <c r="F429">
        <f>YEAR(B429)</f>
        <v>2016</v>
      </c>
      <c r="G429" t="str">
        <f>TEXT(B429,"MMMM")</f>
        <v>April</v>
      </c>
      <c r="H429" t="str">
        <f>TEXT(B429, "DDDD")</f>
        <v>Thursday</v>
      </c>
      <c r="I429">
        <f>((D429+E429)/C429)*100</f>
        <v>3.4649407150626068</v>
      </c>
      <c r="J429">
        <f>(D429/C429)*1000</f>
        <v>31.188216951259371</v>
      </c>
      <c r="K429">
        <f>(E429/C429)*1000</f>
        <v>3.4611901993666989</v>
      </c>
      <c r="L429">
        <f>CORREL(C429:C927, D429:D927)</f>
        <v>0.85100033189581048</v>
      </c>
      <c r="M429">
        <f>CORREL(C429:C927,E429:E927)</f>
        <v>0.14070563905095493</v>
      </c>
      <c r="N429">
        <f>LEN(A429)</f>
        <v>17</v>
      </c>
      <c r="O429" t="str">
        <f>IF(ISNUMBER(SEARCH("$",A429)), "Money", IF(ISNUMBER(SEARCH("Win",A429)), "Challenge",IF(ISNUMBER(SEARCH("Challenge",A429)), "Challenge",IF(ISNUMBER(SEARCH("Last To Leave",A429)),"Challenge",IF(ISNUMBER(SEARCH("Giving Away", A429)),"Giveaway",IF(ISNUMBER(SEARCH("Stranded",A429)),"Survival", IF(ISNUMBER(SEARCH("Survive",A429)), "Survival", IF(ISNUMBER(SEARCH("Days",A429)),"Endurance","Other"))))))))</f>
        <v>Other</v>
      </c>
    </row>
    <row r="430" spans="1:15" x14ac:dyDescent="0.3">
      <c r="A430" t="s">
        <v>439</v>
      </c>
      <c r="B430" s="1">
        <v>42409</v>
      </c>
      <c r="C430" s="2">
        <v>184081</v>
      </c>
      <c r="D430" s="3">
        <v>7789</v>
      </c>
      <c r="E430" s="3">
        <v>1427</v>
      </c>
      <c r="F430">
        <f>YEAR(B430)</f>
        <v>2016</v>
      </c>
      <c r="G430" t="str">
        <f>TEXT(B430,"MMMM")</f>
        <v>February</v>
      </c>
      <c r="H430" t="str">
        <f>TEXT(B430, "DDDD")</f>
        <v>Tuesday</v>
      </c>
      <c r="I430">
        <f>((D430+E430)/C430)*100</f>
        <v>5.0064917074548703</v>
      </c>
      <c r="J430">
        <f>(D430/C430)*1000</f>
        <v>42.312894866933576</v>
      </c>
      <c r="K430">
        <f>(E430/C430)*1000</f>
        <v>7.7520222076151253</v>
      </c>
      <c r="L430">
        <f>CORREL(C430:C928, D430:D928)</f>
        <v>0.85088696173882394</v>
      </c>
      <c r="M430">
        <f>CORREL(C430:C928,E430:E928)</f>
        <v>0.14022171667246325</v>
      </c>
      <c r="N430">
        <f>LEN(A430)</f>
        <v>34</v>
      </c>
      <c r="O430" t="str">
        <f>IF(ISNUMBER(SEARCH("$",A430)), "Money", IF(ISNUMBER(SEARCH("Win",A430)), "Challenge",IF(ISNUMBER(SEARCH("Challenge",A430)), "Challenge",IF(ISNUMBER(SEARCH("Last To Leave",A430)),"Challenge",IF(ISNUMBER(SEARCH("Giving Away", A430)),"Giveaway",IF(ISNUMBER(SEARCH("Stranded",A430)),"Survival", IF(ISNUMBER(SEARCH("Survive",A430)), "Survival", IF(ISNUMBER(SEARCH("Days",A430)),"Endurance","Other"))))))))</f>
        <v>Other</v>
      </c>
    </row>
    <row r="431" spans="1:15" x14ac:dyDescent="0.3">
      <c r="A431" t="s">
        <v>440</v>
      </c>
      <c r="B431" s="1">
        <v>42456</v>
      </c>
      <c r="C431" s="2">
        <v>183482</v>
      </c>
      <c r="D431" s="3">
        <v>12088</v>
      </c>
      <c r="E431" s="3">
        <v>671</v>
      </c>
      <c r="F431">
        <f>YEAR(B431)</f>
        <v>2016</v>
      </c>
      <c r="G431" t="str">
        <f>TEXT(B431,"MMMM")</f>
        <v>March</v>
      </c>
      <c r="H431" t="str">
        <f>TEXT(B431, "DDDD")</f>
        <v>Sunday</v>
      </c>
      <c r="I431">
        <f>((D431+E431)/C431)*100</f>
        <v>6.9538156331411249</v>
      </c>
      <c r="J431">
        <f>(D431/C431)*1000</f>
        <v>65.881121853914834</v>
      </c>
      <c r="K431">
        <f>(E431/C431)*1000</f>
        <v>3.6570344774964298</v>
      </c>
      <c r="L431">
        <f>CORREL(C431:C929, D431:D929)</f>
        <v>0.85080556190531642</v>
      </c>
      <c r="M431">
        <f>CORREL(C431:C929,E431:E929)</f>
        <v>0.13973866055526574</v>
      </c>
      <c r="N431">
        <f>LEN(A431)</f>
        <v>31</v>
      </c>
      <c r="O431" t="str">
        <f>IF(ISNUMBER(SEARCH("$",A431)), "Money", IF(ISNUMBER(SEARCH("Win",A431)), "Challenge",IF(ISNUMBER(SEARCH("Challenge",A431)), "Challenge",IF(ISNUMBER(SEARCH("Last To Leave",A431)),"Challenge",IF(ISNUMBER(SEARCH("Giving Away", A431)),"Giveaway",IF(ISNUMBER(SEARCH("Stranded",A431)),"Survival", IF(ISNUMBER(SEARCH("Survive",A431)), "Survival", IF(ISNUMBER(SEARCH("Days",A431)),"Endurance","Other"))))))))</f>
        <v>Other</v>
      </c>
    </row>
    <row r="432" spans="1:15" x14ac:dyDescent="0.3">
      <c r="A432" t="s">
        <v>441</v>
      </c>
      <c r="B432" s="1">
        <v>42370</v>
      </c>
      <c r="C432" s="2">
        <v>176433</v>
      </c>
      <c r="D432" s="3">
        <v>7077</v>
      </c>
      <c r="E432" s="3">
        <v>616</v>
      </c>
      <c r="F432">
        <f>YEAR(B432)</f>
        <v>2016</v>
      </c>
      <c r="G432" t="str">
        <f>TEXT(B432,"MMMM")</f>
        <v>January</v>
      </c>
      <c r="H432" t="str">
        <f>TEXT(B432, "DDDD")</f>
        <v>Friday</v>
      </c>
      <c r="I432">
        <f>((D432+E432)/C432)*100</f>
        <v>4.3602954095889084</v>
      </c>
      <c r="J432">
        <f>(D432/C432)*1000</f>
        <v>40.111543758820631</v>
      </c>
      <c r="K432">
        <f>(E432/C432)*1000</f>
        <v>3.4914103370684626</v>
      </c>
      <c r="L432">
        <f>CORREL(C432:C930, D432:D930)</f>
        <v>0.85073489695220506</v>
      </c>
      <c r="M432">
        <f>CORREL(C432:C930,E432:E930)</f>
        <v>0.13923445458969666</v>
      </c>
      <c r="N432">
        <f>LEN(A432)</f>
        <v>14</v>
      </c>
      <c r="O432" t="str">
        <f>IF(ISNUMBER(SEARCH("$",A432)), "Money", IF(ISNUMBER(SEARCH("Win",A432)), "Challenge",IF(ISNUMBER(SEARCH("Challenge",A432)), "Challenge",IF(ISNUMBER(SEARCH("Last To Leave",A432)),"Challenge",IF(ISNUMBER(SEARCH("Giving Away", A432)),"Giveaway",IF(ISNUMBER(SEARCH("Stranded",A432)),"Survival", IF(ISNUMBER(SEARCH("Survive",A432)), "Survival", IF(ISNUMBER(SEARCH("Days",A432)),"Endurance","Other"))))))))</f>
        <v>Other</v>
      </c>
    </row>
    <row r="433" spans="1:15" x14ac:dyDescent="0.3">
      <c r="A433" t="s">
        <v>442</v>
      </c>
      <c r="B433" s="1">
        <v>42461</v>
      </c>
      <c r="C433" s="2">
        <v>171521</v>
      </c>
      <c r="D433" s="3">
        <v>4790</v>
      </c>
      <c r="E433" s="3">
        <v>492</v>
      </c>
      <c r="F433">
        <f>YEAR(B433)</f>
        <v>2016</v>
      </c>
      <c r="G433" t="str">
        <f>TEXT(B433,"MMMM")</f>
        <v>April</v>
      </c>
      <c r="H433" t="str">
        <f>TEXT(B433, "DDDD")</f>
        <v>Friday</v>
      </c>
      <c r="I433">
        <f>((D433+E433)/C433)*100</f>
        <v>3.0795062995201752</v>
      </c>
      <c r="J433">
        <f>(D433/C433)*1000</f>
        <v>27.926609569673683</v>
      </c>
      <c r="K433">
        <f>(E433/C433)*1000</f>
        <v>2.8684534255280694</v>
      </c>
      <c r="L433">
        <f>CORREL(C433:C931, D433:D931)</f>
        <v>0.85067675217364691</v>
      </c>
      <c r="M433">
        <f>CORREL(C433:C931,E433:E931)</f>
        <v>0.1388271633931201</v>
      </c>
      <c r="N433">
        <f>LEN(A433)</f>
        <v>34</v>
      </c>
      <c r="O433" t="str">
        <f>IF(ISNUMBER(SEARCH("$",A433)), "Money", IF(ISNUMBER(SEARCH("Win",A433)), "Challenge",IF(ISNUMBER(SEARCH("Challenge",A433)), "Challenge",IF(ISNUMBER(SEARCH("Last To Leave",A433)),"Challenge",IF(ISNUMBER(SEARCH("Giving Away", A433)),"Giveaway",IF(ISNUMBER(SEARCH("Stranded",A433)),"Survival", IF(ISNUMBER(SEARCH("Survive",A433)), "Survival", IF(ISNUMBER(SEARCH("Days",A433)),"Endurance","Other"))))))))</f>
        <v>Money</v>
      </c>
    </row>
    <row r="434" spans="1:15" x14ac:dyDescent="0.3">
      <c r="A434" t="s">
        <v>443</v>
      </c>
      <c r="B434" s="1">
        <v>42514</v>
      </c>
      <c r="C434" s="2">
        <v>171289</v>
      </c>
      <c r="D434" s="3">
        <v>6608</v>
      </c>
      <c r="E434" s="3">
        <v>526</v>
      </c>
      <c r="F434">
        <f>YEAR(B434)</f>
        <v>2016</v>
      </c>
      <c r="G434" t="str">
        <f>TEXT(B434,"MMMM")</f>
        <v>May</v>
      </c>
      <c r="H434" t="str">
        <f>TEXT(B434, "DDDD")</f>
        <v>Tuesday</v>
      </c>
      <c r="I434">
        <f>((D434+E434)/C434)*100</f>
        <v>4.1648909153535838</v>
      </c>
      <c r="J434">
        <f>(D434/C434)*1000</f>
        <v>38.578075649924976</v>
      </c>
      <c r="K434">
        <f>(E434/C434)*1000</f>
        <v>3.0708335036108565</v>
      </c>
      <c r="L434">
        <f>CORREL(C434:C932, D434:D932)</f>
        <v>0.85061337414959548</v>
      </c>
      <c r="M434">
        <f>CORREL(C434:C932,E434:E932)</f>
        <v>0.1383222864298487</v>
      </c>
      <c r="N434">
        <f>LEN(A434)</f>
        <v>36</v>
      </c>
      <c r="O434" t="str">
        <f>IF(ISNUMBER(SEARCH("$",A434)), "Money", IF(ISNUMBER(SEARCH("Win",A434)), "Challenge",IF(ISNUMBER(SEARCH("Challenge",A434)), "Challenge",IF(ISNUMBER(SEARCH("Last To Leave",A434)),"Challenge",IF(ISNUMBER(SEARCH("Giving Away", A434)),"Giveaway",IF(ISNUMBER(SEARCH("Stranded",A434)),"Survival", IF(ISNUMBER(SEARCH("Survive",A434)), "Survival", IF(ISNUMBER(SEARCH("Days",A434)),"Endurance","Other"))))))))</f>
        <v>Other</v>
      </c>
    </row>
    <row r="435" spans="1:15" x14ac:dyDescent="0.3">
      <c r="A435" t="s">
        <v>444</v>
      </c>
      <c r="B435" s="1">
        <v>42468</v>
      </c>
      <c r="C435" s="2">
        <v>163809</v>
      </c>
      <c r="D435" s="3">
        <v>7546</v>
      </c>
      <c r="E435" s="3">
        <v>643</v>
      </c>
      <c r="F435">
        <f>YEAR(B435)</f>
        <v>2016</v>
      </c>
      <c r="G435" t="str">
        <f>TEXT(B435,"MMMM")</f>
        <v>April</v>
      </c>
      <c r="H435" t="str">
        <f>TEXT(B435, "DDDD")</f>
        <v>Friday</v>
      </c>
      <c r="I435">
        <f>((D435+E435)/C435)*100</f>
        <v>4.9991148227508866</v>
      </c>
      <c r="J435">
        <f>(D435/C435)*1000</f>
        <v>46.065844977992661</v>
      </c>
      <c r="K435">
        <f>(E435/C435)*1000</f>
        <v>3.925303249516205</v>
      </c>
      <c r="L435">
        <f>CORREL(C435:C933, D435:D933)</f>
        <v>0.8505089821660532</v>
      </c>
      <c r="M435">
        <f>CORREL(C435:C933,E435:E933)</f>
        <v>0.13775276783734014</v>
      </c>
      <c r="N435">
        <f>LEN(A435)</f>
        <v>61</v>
      </c>
      <c r="O435" t="str">
        <f>IF(ISNUMBER(SEARCH("$",A435)), "Money", IF(ISNUMBER(SEARCH("Win",A435)), "Challenge",IF(ISNUMBER(SEARCH("Challenge",A435)), "Challenge",IF(ISNUMBER(SEARCH("Last To Leave",A435)),"Challenge",IF(ISNUMBER(SEARCH("Giving Away", A435)),"Giveaway",IF(ISNUMBER(SEARCH("Stranded",A435)),"Survival", IF(ISNUMBER(SEARCH("Survive",A435)), "Survival", IF(ISNUMBER(SEARCH("Days",A435)),"Endurance","Other"))))))))</f>
        <v>Other</v>
      </c>
    </row>
    <row r="436" spans="1:15" x14ac:dyDescent="0.3">
      <c r="A436" t="s">
        <v>445</v>
      </c>
      <c r="B436" s="1">
        <v>42479</v>
      </c>
      <c r="C436" s="2">
        <v>160764</v>
      </c>
      <c r="D436" s="3">
        <v>5779</v>
      </c>
      <c r="E436" s="3">
        <v>1176</v>
      </c>
      <c r="F436">
        <f>YEAR(B436)</f>
        <v>2016</v>
      </c>
      <c r="G436" t="str">
        <f>TEXT(B436,"MMMM")</f>
        <v>April</v>
      </c>
      <c r="H436" t="str">
        <f>TEXT(B436, "DDDD")</f>
        <v>Tuesday</v>
      </c>
      <c r="I436">
        <f>((D436+E436)/C436)*100</f>
        <v>4.3262173123336067</v>
      </c>
      <c r="J436">
        <f>(D436/C436)*1000</f>
        <v>35.947102585155882</v>
      </c>
      <c r="K436">
        <f>(E436/C436)*1000</f>
        <v>7.3150705381801897</v>
      </c>
      <c r="L436">
        <f>CORREL(C436:C934, D436:D934)</f>
        <v>0.85041031774256348</v>
      </c>
      <c r="M436">
        <f>CORREL(C436:C934,E436:E934)</f>
        <v>0.13723855907612562</v>
      </c>
      <c r="N436">
        <f>LEN(A436)</f>
        <v>29</v>
      </c>
      <c r="O436" t="str">
        <f>IF(ISNUMBER(SEARCH("$",A436)), "Money", IF(ISNUMBER(SEARCH("Win",A436)), "Challenge",IF(ISNUMBER(SEARCH("Challenge",A436)), "Challenge",IF(ISNUMBER(SEARCH("Last To Leave",A436)),"Challenge",IF(ISNUMBER(SEARCH("Giving Away", A436)),"Giveaway",IF(ISNUMBER(SEARCH("Stranded",A436)),"Survival", IF(ISNUMBER(SEARCH("Survive",A436)), "Survival", IF(ISNUMBER(SEARCH("Days",A436)),"Endurance","Other"))))))))</f>
        <v>Other</v>
      </c>
    </row>
    <row r="437" spans="1:15" x14ac:dyDescent="0.3">
      <c r="A437" t="s">
        <v>446</v>
      </c>
      <c r="B437" s="1">
        <v>42466</v>
      </c>
      <c r="C437" s="2">
        <v>152841</v>
      </c>
      <c r="D437" s="3">
        <v>5342</v>
      </c>
      <c r="E437" s="3">
        <v>489</v>
      </c>
      <c r="F437">
        <f>YEAR(B437)</f>
        <v>2016</v>
      </c>
      <c r="G437" t="str">
        <f>TEXT(B437,"MMMM")</f>
        <v>April</v>
      </c>
      <c r="H437" t="str">
        <f>TEXT(B437, "DDDD")</f>
        <v>Wednesday</v>
      </c>
      <c r="I437">
        <f>((D437+E437)/C437)*100</f>
        <v>3.8150757977244329</v>
      </c>
      <c r="J437">
        <f>(D437/C437)*1000</f>
        <v>34.951354675774169</v>
      </c>
      <c r="K437">
        <f>(E437/C437)*1000</f>
        <v>3.1994033014701553</v>
      </c>
      <c r="L437">
        <f>CORREL(C437:C935, D437:D935)</f>
        <v>0.85025969756735609</v>
      </c>
      <c r="M437">
        <f>CORREL(C437:C935,E437:E935)</f>
        <v>9.7733119596565596E-2</v>
      </c>
      <c r="N437">
        <f>LEN(A437)</f>
        <v>42</v>
      </c>
      <c r="O437" t="str">
        <f>IF(ISNUMBER(SEARCH("$",A437)), "Money", IF(ISNUMBER(SEARCH("Win",A437)), "Challenge",IF(ISNUMBER(SEARCH("Challenge",A437)), "Challenge",IF(ISNUMBER(SEARCH("Last To Leave",A437)),"Challenge",IF(ISNUMBER(SEARCH("Giving Away", A437)),"Giveaway",IF(ISNUMBER(SEARCH("Stranded",A437)),"Survival", IF(ISNUMBER(SEARCH("Survive",A437)), "Survival", IF(ISNUMBER(SEARCH("Days",A437)),"Endurance","Other"))))))))</f>
        <v>Other</v>
      </c>
    </row>
    <row r="438" spans="1:15" x14ac:dyDescent="0.3">
      <c r="A438" t="s">
        <v>447</v>
      </c>
      <c r="B438" s="1">
        <v>42390</v>
      </c>
      <c r="C438" s="2">
        <v>141084</v>
      </c>
      <c r="D438" s="3">
        <v>5907</v>
      </c>
      <c r="E438" s="3">
        <v>742</v>
      </c>
      <c r="F438">
        <f>YEAR(B438)</f>
        <v>2016</v>
      </c>
      <c r="G438" t="str">
        <f>TEXT(B438,"MMMM")</f>
        <v>January</v>
      </c>
      <c r="H438" t="str">
        <f>TEXT(B438, "DDDD")</f>
        <v>Thursday</v>
      </c>
      <c r="I438">
        <f>((D438+E438)/C438)*100</f>
        <v>4.7127952141986329</v>
      </c>
      <c r="J438">
        <f>(D438/C438)*1000</f>
        <v>41.868673981457853</v>
      </c>
      <c r="K438">
        <f>(E438/C438)*1000</f>
        <v>5.2592781605284795</v>
      </c>
      <c r="L438">
        <f>CORREL(C438:C936, D438:D936)</f>
        <v>0.85023495146491523</v>
      </c>
      <c r="M438">
        <f>CORREL(C438:C936,E438:E936)</f>
        <v>9.7356880936193643E-2</v>
      </c>
      <c r="N438">
        <f>LEN(A438)</f>
        <v>25</v>
      </c>
      <c r="O438" t="str">
        <f>IF(ISNUMBER(SEARCH("$",A438)), "Money", IF(ISNUMBER(SEARCH("Win",A438)), "Challenge",IF(ISNUMBER(SEARCH("Challenge",A438)), "Challenge",IF(ISNUMBER(SEARCH("Last To Leave",A438)),"Challenge",IF(ISNUMBER(SEARCH("Giving Away", A438)),"Giveaway",IF(ISNUMBER(SEARCH("Stranded",A438)),"Survival", IF(ISNUMBER(SEARCH("Survive",A438)), "Survival", IF(ISNUMBER(SEARCH("Days",A438)),"Endurance","Other"))))))))</f>
        <v>Other</v>
      </c>
    </row>
    <row r="439" spans="1:15" x14ac:dyDescent="0.3">
      <c r="A439" t="s">
        <v>448</v>
      </c>
      <c r="B439" s="1">
        <v>42385</v>
      </c>
      <c r="C439" s="2">
        <v>140297</v>
      </c>
      <c r="D439" s="3">
        <v>3686</v>
      </c>
      <c r="E439" s="3">
        <v>255</v>
      </c>
      <c r="F439">
        <f>YEAR(B439)</f>
        <v>2016</v>
      </c>
      <c r="G439" t="str">
        <f>TEXT(B439,"MMMM")</f>
        <v>January</v>
      </c>
      <c r="H439" t="str">
        <f>TEXT(B439, "DDDD")</f>
        <v>Saturday</v>
      </c>
      <c r="I439">
        <f>((D439+E439)/C439)*100</f>
        <v>2.8090408205449866</v>
      </c>
      <c r="J439">
        <f>(D439/C439)*1000</f>
        <v>26.2728354847217</v>
      </c>
      <c r="K439">
        <f>(E439/C439)*1000</f>
        <v>1.8175727207281696</v>
      </c>
      <c r="L439">
        <f>CORREL(C439:C937, D439:D937)</f>
        <v>0.85010922343741036</v>
      </c>
      <c r="M439">
        <f>CORREL(C439:C937,E439:E937)</f>
        <v>9.5203703002843976E-2</v>
      </c>
      <c r="N439">
        <f>LEN(A439)</f>
        <v>54</v>
      </c>
      <c r="O439" t="str">
        <f>IF(ISNUMBER(SEARCH("$",A439)), "Money", IF(ISNUMBER(SEARCH("Win",A439)), "Challenge",IF(ISNUMBER(SEARCH("Challenge",A439)), "Challenge",IF(ISNUMBER(SEARCH("Last To Leave",A439)),"Challenge",IF(ISNUMBER(SEARCH("Giving Away", A439)),"Giveaway",IF(ISNUMBER(SEARCH("Stranded",A439)),"Survival", IF(ISNUMBER(SEARCH("Survive",A439)), "Survival", IF(ISNUMBER(SEARCH("Days",A439)),"Endurance","Other"))))))))</f>
        <v>Challenge</v>
      </c>
    </row>
    <row r="440" spans="1:15" x14ac:dyDescent="0.3">
      <c r="A440" t="s">
        <v>449</v>
      </c>
      <c r="B440" s="1">
        <v>42484</v>
      </c>
      <c r="C440" s="2">
        <v>132007</v>
      </c>
      <c r="D440" s="3">
        <v>12524</v>
      </c>
      <c r="E440" s="3">
        <v>1209</v>
      </c>
      <c r="F440">
        <f>YEAR(B440)</f>
        <v>2016</v>
      </c>
      <c r="G440" t="str">
        <f>TEXT(B440,"MMMM")</f>
        <v>April</v>
      </c>
      <c r="H440" t="str">
        <f>TEXT(B440, "DDDD")</f>
        <v>Sunday</v>
      </c>
      <c r="I440">
        <f>((D440+E440)/C440)*100</f>
        <v>10.40323619202012</v>
      </c>
      <c r="J440">
        <f>(D440/C440)*1000</f>
        <v>94.873756694720726</v>
      </c>
      <c r="K440">
        <f>(E440/C440)*1000</f>
        <v>9.158605225480466</v>
      </c>
      <c r="L440">
        <f>CORREL(C440:C938, D440:D938)</f>
        <v>0.85007631031791508</v>
      </c>
      <c r="M440">
        <f>CORREL(C440:C938,E440:E938)</f>
        <v>9.4848134898632877E-2</v>
      </c>
      <c r="N440">
        <f>LEN(A440)</f>
        <v>23</v>
      </c>
      <c r="O440" t="str">
        <f>IF(ISNUMBER(SEARCH("$",A440)), "Money", IF(ISNUMBER(SEARCH("Win",A440)), "Challenge",IF(ISNUMBER(SEARCH("Challenge",A440)), "Challenge",IF(ISNUMBER(SEARCH("Last To Leave",A440)),"Challenge",IF(ISNUMBER(SEARCH("Giving Away", A440)),"Giveaway",IF(ISNUMBER(SEARCH("Stranded",A440)),"Survival", IF(ISNUMBER(SEARCH("Survive",A440)), "Survival", IF(ISNUMBER(SEARCH("Days",A440)),"Endurance","Other"))))))))</f>
        <v>Other</v>
      </c>
    </row>
    <row r="441" spans="1:15" x14ac:dyDescent="0.3">
      <c r="A441" t="s">
        <v>450</v>
      </c>
      <c r="B441" s="1">
        <v>42482</v>
      </c>
      <c r="C441" s="2">
        <v>128609</v>
      </c>
      <c r="D441" s="3">
        <v>4821</v>
      </c>
      <c r="E441" s="3">
        <v>457</v>
      </c>
      <c r="F441">
        <f>YEAR(B441)</f>
        <v>2016</v>
      </c>
      <c r="G441" t="str">
        <f>TEXT(B441,"MMMM")</f>
        <v>April</v>
      </c>
      <c r="H441" t="str">
        <f>TEXT(B441, "DDDD")</f>
        <v>Friday</v>
      </c>
      <c r="I441">
        <f>((D441+E441)/C441)*100</f>
        <v>4.1039118568684936</v>
      </c>
      <c r="J441">
        <f>(D441/C441)*1000</f>
        <v>37.485712508455862</v>
      </c>
      <c r="K441">
        <f>(E441/C441)*1000</f>
        <v>3.5534060602290665</v>
      </c>
      <c r="L441">
        <f>CORREL(C441:C939, D441:D939)</f>
        <v>0.84996326540320977</v>
      </c>
      <c r="M441">
        <f>CORREL(C441:C939,E441:E939)</f>
        <v>9.2750532763320306E-2</v>
      </c>
      <c r="N441">
        <f>LEN(A441)</f>
        <v>66</v>
      </c>
      <c r="O441" t="str">
        <f>IF(ISNUMBER(SEARCH("$",A441)), "Money", IF(ISNUMBER(SEARCH("Win",A441)), "Challenge",IF(ISNUMBER(SEARCH("Challenge",A441)), "Challenge",IF(ISNUMBER(SEARCH("Last To Leave",A441)),"Challenge",IF(ISNUMBER(SEARCH("Giving Away", A441)),"Giveaway",IF(ISNUMBER(SEARCH("Stranded",A441)),"Survival", IF(ISNUMBER(SEARCH("Survive",A441)), "Survival", IF(ISNUMBER(SEARCH("Days",A441)),"Endurance","Other"))))))))</f>
        <v>Other</v>
      </c>
    </row>
    <row r="442" spans="1:15" x14ac:dyDescent="0.3">
      <c r="A442" t="s">
        <v>451</v>
      </c>
      <c r="B442" s="1">
        <v>42415</v>
      </c>
      <c r="C442" s="2">
        <v>123664</v>
      </c>
      <c r="D442" s="3">
        <v>4667</v>
      </c>
      <c r="E442" s="3">
        <v>277</v>
      </c>
      <c r="F442">
        <f>YEAR(B442)</f>
        <v>2016</v>
      </c>
      <c r="G442" t="str">
        <f>TEXT(B442,"MMMM")</f>
        <v>February</v>
      </c>
      <c r="H442" t="str">
        <f>TEXT(B442, "DDDD")</f>
        <v>Monday</v>
      </c>
      <c r="I442">
        <f>((D442+E442)/C442)*100</f>
        <v>3.9979298744986416</v>
      </c>
      <c r="J442">
        <f>(D442/C442)*1000</f>
        <v>37.73935826109458</v>
      </c>
      <c r="K442">
        <f>(E442/C442)*1000</f>
        <v>2.2399404838918362</v>
      </c>
      <c r="L442">
        <f>CORREL(C442:C940, D442:D940)</f>
        <v>0.84710784222985658</v>
      </c>
      <c r="M442">
        <f>CORREL(C442:C940,E442:E940)</f>
        <v>0.11542894935828003</v>
      </c>
      <c r="N442">
        <f>LEN(A442)</f>
        <v>22</v>
      </c>
      <c r="O442" t="str">
        <f>IF(ISNUMBER(SEARCH("$",A442)), "Money", IF(ISNUMBER(SEARCH("Win",A442)), "Challenge",IF(ISNUMBER(SEARCH("Challenge",A442)), "Challenge",IF(ISNUMBER(SEARCH("Last To Leave",A442)),"Challenge",IF(ISNUMBER(SEARCH("Giving Away", A442)),"Giveaway",IF(ISNUMBER(SEARCH("Stranded",A442)),"Survival", IF(ISNUMBER(SEARCH("Survive",A442)), "Survival", IF(ISNUMBER(SEARCH("Days",A442)),"Endurance","Other"))))))))</f>
        <v>Other</v>
      </c>
    </row>
    <row r="443" spans="1:15" x14ac:dyDescent="0.3">
      <c r="A443" t="s">
        <v>452</v>
      </c>
      <c r="B443" s="1">
        <v>42410</v>
      </c>
      <c r="C443" s="2">
        <v>116585</v>
      </c>
      <c r="D443" s="3">
        <v>3931</v>
      </c>
      <c r="E443" s="3">
        <v>345</v>
      </c>
      <c r="F443">
        <f>YEAR(B443)</f>
        <v>2016</v>
      </c>
      <c r="G443" t="str">
        <f>TEXT(B443,"MMMM")</f>
        <v>February</v>
      </c>
      <c r="H443" t="str">
        <f>TEXT(B443, "DDDD")</f>
        <v>Wednesday</v>
      </c>
      <c r="I443">
        <f>((D443+E443)/C443)*100</f>
        <v>3.6677102543208813</v>
      </c>
      <c r="J443">
        <f>(D443/C443)*1000</f>
        <v>33.717888236050953</v>
      </c>
      <c r="K443">
        <f>(E443/C443)*1000</f>
        <v>2.9592143071578678</v>
      </c>
      <c r="L443">
        <f>CORREL(C443:C941, D443:D941)</f>
        <v>0.84695605794179962</v>
      </c>
      <c r="M443">
        <f>CORREL(C443:C941,E443:E941)</f>
        <v>0.11323521725698781</v>
      </c>
      <c r="N443">
        <f>LEN(A443)</f>
        <v>46</v>
      </c>
      <c r="O443" t="str">
        <f>IF(ISNUMBER(SEARCH("$",A443)), "Money", IF(ISNUMBER(SEARCH("Win",A443)), "Challenge",IF(ISNUMBER(SEARCH("Challenge",A443)), "Challenge",IF(ISNUMBER(SEARCH("Last To Leave",A443)),"Challenge",IF(ISNUMBER(SEARCH("Giving Away", A443)),"Giveaway",IF(ISNUMBER(SEARCH("Stranded",A443)),"Survival", IF(ISNUMBER(SEARCH("Survive",A443)), "Survival", IF(ISNUMBER(SEARCH("Days",A443)),"Endurance","Other"))))))))</f>
        <v>Other</v>
      </c>
    </row>
    <row r="444" spans="1:15" x14ac:dyDescent="0.3">
      <c r="A444" t="s">
        <v>453</v>
      </c>
      <c r="B444" s="1">
        <v>42391</v>
      </c>
      <c r="C444" s="2">
        <v>106443</v>
      </c>
      <c r="D444" s="3">
        <v>4389</v>
      </c>
      <c r="E444" s="3">
        <v>198</v>
      </c>
      <c r="F444">
        <f>YEAR(B444)</f>
        <v>2016</v>
      </c>
      <c r="G444" t="str">
        <f>TEXT(B444,"MMMM")</f>
        <v>January</v>
      </c>
      <c r="H444" t="str">
        <f>TEXT(B444, "DDDD")</f>
        <v>Friday</v>
      </c>
      <c r="I444">
        <f>((D444+E444)/C444)*100</f>
        <v>4.3093486654829345</v>
      </c>
      <c r="J444">
        <f>(D444/C444)*1000</f>
        <v>41.233336151743188</v>
      </c>
      <c r="K444">
        <f>(E444/C444)*1000</f>
        <v>1.8601505030861587</v>
      </c>
      <c r="L444">
        <f>CORREL(C444:C942, D444:D942)</f>
        <v>0.84679918746117522</v>
      </c>
      <c r="M444">
        <f>CORREL(C444:C942,E444:E942)</f>
        <v>0.11174403991145168</v>
      </c>
      <c r="N444">
        <f>LEN(A444)</f>
        <v>28</v>
      </c>
      <c r="O444" t="str">
        <f>IF(ISNUMBER(SEARCH("$",A444)), "Money", IF(ISNUMBER(SEARCH("Win",A444)), "Challenge",IF(ISNUMBER(SEARCH("Challenge",A444)), "Challenge",IF(ISNUMBER(SEARCH("Last To Leave",A444)),"Challenge",IF(ISNUMBER(SEARCH("Giving Away", A444)),"Giveaway",IF(ISNUMBER(SEARCH("Stranded",A444)),"Survival", IF(ISNUMBER(SEARCH("Survive",A444)), "Survival", IF(ISNUMBER(SEARCH("Days",A444)),"Endurance","Other"))))))))</f>
        <v>Other</v>
      </c>
    </row>
    <row r="445" spans="1:15" x14ac:dyDescent="0.3">
      <c r="A445" t="s">
        <v>454</v>
      </c>
      <c r="B445" s="1">
        <v>42407</v>
      </c>
      <c r="C445" s="2">
        <v>105220</v>
      </c>
      <c r="D445" s="3">
        <v>2634</v>
      </c>
      <c r="E445" s="3">
        <v>329</v>
      </c>
      <c r="F445">
        <f>YEAR(B445)</f>
        <v>2016</v>
      </c>
      <c r="G445" t="str">
        <f>TEXT(B445,"MMMM")</f>
        <v>February</v>
      </c>
      <c r="H445" t="str">
        <f>TEXT(B445, "DDDD")</f>
        <v>Sunday</v>
      </c>
      <c r="I445">
        <f>((D445+E445)/C445)*100</f>
        <v>2.8160045618703671</v>
      </c>
      <c r="J445">
        <f>(D445/C445)*1000</f>
        <v>25.033263638091618</v>
      </c>
      <c r="K445">
        <f>(E445/C445)*1000</f>
        <v>3.1267819806120509</v>
      </c>
      <c r="L445">
        <f>CORREL(C445:C943, D445:D943)</f>
        <v>0.84664556495611709</v>
      </c>
      <c r="M445">
        <f>CORREL(C445:C943,E445:E943)</f>
        <v>0.10986070781334226</v>
      </c>
      <c r="N445">
        <f>LEN(A445)</f>
        <v>85</v>
      </c>
      <c r="O445" t="str">
        <f>IF(ISNUMBER(SEARCH("$",A445)), "Money", IF(ISNUMBER(SEARCH("Win",A445)), "Challenge",IF(ISNUMBER(SEARCH("Challenge",A445)), "Challenge",IF(ISNUMBER(SEARCH("Last To Leave",A445)),"Challenge",IF(ISNUMBER(SEARCH("Giving Away", A445)),"Giveaway",IF(ISNUMBER(SEARCH("Stranded",A445)),"Survival", IF(ISNUMBER(SEARCH("Survive",A445)), "Survival", IF(ISNUMBER(SEARCH("Days",A445)),"Endurance","Other"))))))))</f>
        <v>Other</v>
      </c>
    </row>
    <row r="446" spans="1:15" x14ac:dyDescent="0.3">
      <c r="A446" t="s">
        <v>455</v>
      </c>
      <c r="B446" s="1">
        <v>42374</v>
      </c>
      <c r="C446" s="2">
        <v>102896</v>
      </c>
      <c r="D446" s="3">
        <v>4626</v>
      </c>
      <c r="E446" s="3">
        <v>729</v>
      </c>
      <c r="F446">
        <f>YEAR(B446)</f>
        <v>2016</v>
      </c>
      <c r="G446" t="str">
        <f>TEXT(B446,"MMMM")</f>
        <v>January</v>
      </c>
      <c r="H446" t="str">
        <f>TEXT(B446, "DDDD")</f>
        <v>Tuesday</v>
      </c>
      <c r="I446">
        <f>((D446+E446)/C446)*100</f>
        <v>5.2042839371792882</v>
      </c>
      <c r="J446">
        <f>(D446/C446)*1000</f>
        <v>44.958015860674855</v>
      </c>
      <c r="K446">
        <f>(E446/C446)*1000</f>
        <v>7.0848235111180218</v>
      </c>
      <c r="L446">
        <f>CORREL(C446:C944, D446:D944)</f>
        <v>0.84649921834525965</v>
      </c>
      <c r="M446">
        <f>CORREL(C446:C944,E446:E944)</f>
        <v>0.10837567191744574</v>
      </c>
      <c r="N446">
        <f>LEN(A446)</f>
        <v>51</v>
      </c>
      <c r="O446" t="str">
        <f>IF(ISNUMBER(SEARCH("$",A446)), "Money", IF(ISNUMBER(SEARCH("Win",A446)), "Challenge",IF(ISNUMBER(SEARCH("Challenge",A446)), "Challenge",IF(ISNUMBER(SEARCH("Last To Leave",A446)),"Challenge",IF(ISNUMBER(SEARCH("Giving Away", A446)),"Giveaway",IF(ISNUMBER(SEARCH("Stranded",A446)),"Survival", IF(ISNUMBER(SEARCH("Survive",A446)), "Survival", IF(ISNUMBER(SEARCH("Days",A446)),"Endurance","Other"))))))))</f>
        <v>Other</v>
      </c>
    </row>
    <row r="447" spans="1:15" x14ac:dyDescent="0.3">
      <c r="A447" t="s">
        <v>456</v>
      </c>
      <c r="B447" s="1">
        <v>42438</v>
      </c>
      <c r="C447" s="2">
        <v>90439</v>
      </c>
      <c r="D447" s="3">
        <v>2981</v>
      </c>
      <c r="E447" s="3">
        <v>1348</v>
      </c>
      <c r="F447">
        <f>YEAR(B447)</f>
        <v>2016</v>
      </c>
      <c r="G447" t="str">
        <f>TEXT(B447,"MMMM")</f>
        <v>March</v>
      </c>
      <c r="H447" t="str">
        <f>TEXT(B447, "DDDD")</f>
        <v>Wednesday</v>
      </c>
      <c r="I447">
        <f>((D447+E447)/C447)*100</f>
        <v>4.7866517763354306</v>
      </c>
      <c r="J447">
        <f>(D447/C447)*1000</f>
        <v>32.961443624984796</v>
      </c>
      <c r="K447">
        <f>(E447/C447)*1000</f>
        <v>14.905074138369509</v>
      </c>
      <c r="L447">
        <f>CORREL(C447:C945, D447:D945)</f>
        <v>0.84631639710986239</v>
      </c>
      <c r="M447">
        <f>CORREL(C447:C945,E447:E945)</f>
        <v>0.10653129773875217</v>
      </c>
      <c r="N447">
        <f>LEN(A447)</f>
        <v>25</v>
      </c>
      <c r="O447" t="str">
        <f>IF(ISNUMBER(SEARCH("$",A447)), "Money", IF(ISNUMBER(SEARCH("Win",A447)), "Challenge",IF(ISNUMBER(SEARCH("Challenge",A447)), "Challenge",IF(ISNUMBER(SEARCH("Last To Leave",A447)),"Challenge",IF(ISNUMBER(SEARCH("Giving Away", A447)),"Giveaway",IF(ISNUMBER(SEARCH("Stranded",A447)),"Survival", IF(ISNUMBER(SEARCH("Survive",A447)), "Survival", IF(ISNUMBER(SEARCH("Days",A447)),"Endurance","Other"))))))))</f>
        <v>Other</v>
      </c>
    </row>
    <row r="448" spans="1:15" x14ac:dyDescent="0.3">
      <c r="A448" t="s">
        <v>457</v>
      </c>
      <c r="B448" s="1">
        <v>42387</v>
      </c>
      <c r="C448" s="2">
        <v>83358</v>
      </c>
      <c r="D448" s="3">
        <v>2460</v>
      </c>
      <c r="E448" s="3">
        <v>251</v>
      </c>
      <c r="F448">
        <f>YEAR(B448)</f>
        <v>2016</v>
      </c>
      <c r="G448" t="str">
        <f>TEXT(B448,"MMMM")</f>
        <v>January</v>
      </c>
      <c r="H448" t="str">
        <f>TEXT(B448, "DDDD")</f>
        <v>Monday</v>
      </c>
      <c r="I448">
        <f>((D448+E448)/C448)*100</f>
        <v>3.252237337748026</v>
      </c>
      <c r="J448">
        <f>(D448/C448)*1000</f>
        <v>29.511264665658963</v>
      </c>
      <c r="K448">
        <f>(E448/C448)*1000</f>
        <v>3.0111087118213007</v>
      </c>
      <c r="L448">
        <f>CORREL(C448:C946, D448:D946)</f>
        <v>0.84624311452832912</v>
      </c>
      <c r="M448">
        <f>CORREL(C448:C946,E448:E946)</f>
        <v>0.10615532406537423</v>
      </c>
      <c r="N448">
        <f>LEN(A448)</f>
        <v>29</v>
      </c>
      <c r="O448" t="str">
        <f>IF(ISNUMBER(SEARCH("$",A448)), "Money", IF(ISNUMBER(SEARCH("Win",A448)), "Challenge",IF(ISNUMBER(SEARCH("Challenge",A448)), "Challenge",IF(ISNUMBER(SEARCH("Last To Leave",A448)),"Challenge",IF(ISNUMBER(SEARCH("Giving Away", A448)),"Giveaway",IF(ISNUMBER(SEARCH("Stranded",A448)),"Survival", IF(ISNUMBER(SEARCH("Survive",A448)), "Survival", IF(ISNUMBER(SEARCH("Days",A448)),"Endurance","Other"))))))))</f>
        <v>Other</v>
      </c>
    </row>
    <row r="449" spans="1:15" x14ac:dyDescent="0.3">
      <c r="A449" t="s">
        <v>458</v>
      </c>
      <c r="B449" s="1">
        <v>42374</v>
      </c>
      <c r="C449" s="2">
        <v>82632</v>
      </c>
      <c r="D449" s="3">
        <v>2270</v>
      </c>
      <c r="E449" s="3">
        <v>439</v>
      </c>
      <c r="F449">
        <f>YEAR(B449)</f>
        <v>2016</v>
      </c>
      <c r="G449" t="str">
        <f>TEXT(B449,"MMMM")</f>
        <v>January</v>
      </c>
      <c r="H449" t="str">
        <f>TEXT(B449, "DDDD")</f>
        <v>Tuesday</v>
      </c>
      <c r="I449">
        <f>((D449+E449)/C449)*100</f>
        <v>3.2783909381353471</v>
      </c>
      <c r="J449">
        <f>(D449/C449)*1000</f>
        <v>27.471197598993125</v>
      </c>
      <c r="K449">
        <f>(E449/C449)*1000</f>
        <v>5.3127117823603447</v>
      </c>
      <c r="L449">
        <f>CORREL(C449:C947, D449:D947)</f>
        <v>0.8460835735339135</v>
      </c>
      <c r="M449">
        <f>CORREL(C449:C947,E449:E947)</f>
        <v>0.10454803378042642</v>
      </c>
      <c r="N449">
        <f>LEN(A449)</f>
        <v>41</v>
      </c>
      <c r="O449" t="str">
        <f>IF(ISNUMBER(SEARCH("$",A449)), "Money", IF(ISNUMBER(SEARCH("Win",A449)), "Challenge",IF(ISNUMBER(SEARCH("Challenge",A449)), "Challenge",IF(ISNUMBER(SEARCH("Last To Leave",A449)),"Challenge",IF(ISNUMBER(SEARCH("Giving Away", A449)),"Giveaway",IF(ISNUMBER(SEARCH("Stranded",A449)),"Survival", IF(ISNUMBER(SEARCH("Survive",A449)), "Survival", IF(ISNUMBER(SEARCH("Days",A449)),"Endurance","Other"))))))))</f>
        <v>Other</v>
      </c>
    </row>
    <row r="450" spans="1:15" x14ac:dyDescent="0.3">
      <c r="A450" t="s">
        <v>459</v>
      </c>
      <c r="B450" s="1">
        <v>42392</v>
      </c>
      <c r="C450" s="2">
        <v>76890</v>
      </c>
      <c r="D450" s="3">
        <v>2956</v>
      </c>
      <c r="E450" s="3">
        <v>282</v>
      </c>
      <c r="F450">
        <f>YEAR(B450)</f>
        <v>2016</v>
      </c>
      <c r="G450" t="str">
        <f>TEXT(B450,"MMMM")</f>
        <v>January</v>
      </c>
      <c r="H450" t="str">
        <f>TEXT(B450, "DDDD")</f>
        <v>Saturday</v>
      </c>
      <c r="I450">
        <f>((D450+E450)/C450)*100</f>
        <v>4.2112108206528811</v>
      </c>
      <c r="J450">
        <f>(D450/C450)*1000</f>
        <v>38.444531148393807</v>
      </c>
      <c r="K450">
        <f>(E450/C450)*1000</f>
        <v>3.6675770581349982</v>
      </c>
      <c r="L450">
        <f>CORREL(C450:C948, D450:D948)</f>
        <v>0.84604143688601063</v>
      </c>
      <c r="M450">
        <f>CORREL(C450:C948,E450:E948)</f>
        <v>0.10421514828597213</v>
      </c>
      <c r="N450">
        <f>LEN(A450)</f>
        <v>49</v>
      </c>
      <c r="O450" t="str">
        <f>IF(ISNUMBER(SEARCH("$",A450)), "Money", IF(ISNUMBER(SEARCH("Win",A450)), "Challenge",IF(ISNUMBER(SEARCH("Challenge",A450)), "Challenge",IF(ISNUMBER(SEARCH("Last To Leave",A450)),"Challenge",IF(ISNUMBER(SEARCH("Giving Away", A450)),"Giveaway",IF(ISNUMBER(SEARCH("Stranded",A450)),"Survival", IF(ISNUMBER(SEARCH("Survive",A450)), "Survival", IF(ISNUMBER(SEARCH("Days",A450)),"Endurance","Other"))))))))</f>
        <v>Other</v>
      </c>
    </row>
    <row r="451" spans="1:15" x14ac:dyDescent="0.3">
      <c r="A451" t="s">
        <v>460</v>
      </c>
      <c r="B451" s="1">
        <v>42420</v>
      </c>
      <c r="C451" s="2">
        <v>75336</v>
      </c>
      <c r="D451" s="3">
        <v>2081</v>
      </c>
      <c r="E451" s="3">
        <v>160</v>
      </c>
      <c r="F451">
        <f>YEAR(B451)</f>
        <v>2016</v>
      </c>
      <c r="G451" t="str">
        <f>TEXT(B451,"MMMM")</f>
        <v>February</v>
      </c>
      <c r="H451" t="str">
        <f>TEXT(B451, "DDDD")</f>
        <v>Saturday</v>
      </c>
      <c r="I451">
        <f>((D451+E451)/C451)*100</f>
        <v>2.9746734628862694</v>
      </c>
      <c r="J451">
        <f>(D451/C451)*1000</f>
        <v>27.622916002973344</v>
      </c>
      <c r="K451">
        <f>(E451/C451)*1000</f>
        <v>2.1238186258893492</v>
      </c>
      <c r="L451">
        <f>CORREL(C451:C949, D451:D949)</f>
        <v>0.84587121934143994</v>
      </c>
      <c r="M451">
        <f>CORREL(C451:C949,E451:E949)</f>
        <v>0.10264708884653606</v>
      </c>
      <c r="N451">
        <f>LEN(A451)</f>
        <v>41</v>
      </c>
      <c r="O451" t="str">
        <f>IF(ISNUMBER(SEARCH("$",A451)), "Money", IF(ISNUMBER(SEARCH("Win",A451)), "Challenge",IF(ISNUMBER(SEARCH("Challenge",A451)), "Challenge",IF(ISNUMBER(SEARCH("Last To Leave",A451)),"Challenge",IF(ISNUMBER(SEARCH("Giving Away", A451)),"Giveaway",IF(ISNUMBER(SEARCH("Stranded",A451)),"Survival", IF(ISNUMBER(SEARCH("Survive",A451)), "Survival", IF(ISNUMBER(SEARCH("Days",A451)),"Endurance","Other"))))))))</f>
        <v>Other</v>
      </c>
    </row>
    <row r="452" spans="1:15" x14ac:dyDescent="0.3">
      <c r="A452" t="s">
        <v>461</v>
      </c>
      <c r="B452" s="1">
        <v>42463</v>
      </c>
      <c r="C452" s="2">
        <v>75113</v>
      </c>
      <c r="D452" s="3">
        <v>1937</v>
      </c>
      <c r="E452" s="3">
        <v>248</v>
      </c>
      <c r="F452">
        <f>YEAR(B452)</f>
        <v>2016</v>
      </c>
      <c r="G452" t="str">
        <f>TEXT(B452,"MMMM")</f>
        <v>April</v>
      </c>
      <c r="H452" t="str">
        <f>TEXT(B452, "DDDD")</f>
        <v>Sunday</v>
      </c>
      <c r="I452">
        <f>((D452+E452)/C452)*100</f>
        <v>2.9089505145580659</v>
      </c>
      <c r="J452">
        <f>(D452/C452)*1000</f>
        <v>25.787813028370586</v>
      </c>
      <c r="K452">
        <f>(E452/C452)*1000</f>
        <v>3.3016921172100702</v>
      </c>
      <c r="L452">
        <f>CORREL(C452:C950, D452:D950)</f>
        <v>0.84583984600461448</v>
      </c>
      <c r="M452">
        <f>CORREL(C452:C950,E452:E950)</f>
        <v>0.10238552260240637</v>
      </c>
      <c r="N452">
        <f>LEN(A452)</f>
        <v>41</v>
      </c>
      <c r="O452" t="str">
        <f>IF(ISNUMBER(SEARCH("$",A452)), "Money", IF(ISNUMBER(SEARCH("Win",A452)), "Challenge",IF(ISNUMBER(SEARCH("Challenge",A452)), "Challenge",IF(ISNUMBER(SEARCH("Last To Leave",A452)),"Challenge",IF(ISNUMBER(SEARCH("Giving Away", A452)),"Giveaway",IF(ISNUMBER(SEARCH("Stranded",A452)),"Survival", IF(ISNUMBER(SEARCH("Survive",A452)), "Survival", IF(ISNUMBER(SEARCH("Days",A452)),"Endurance","Other"))))))))</f>
        <v>Money</v>
      </c>
    </row>
    <row r="453" spans="1:15" x14ac:dyDescent="0.3">
      <c r="A453" t="s">
        <v>462</v>
      </c>
      <c r="B453" s="1">
        <v>42455</v>
      </c>
      <c r="C453" s="2">
        <v>65068</v>
      </c>
      <c r="D453" s="3">
        <v>2656</v>
      </c>
      <c r="E453" s="3">
        <v>374</v>
      </c>
      <c r="F453">
        <f>YEAR(B453)</f>
        <v>2016</v>
      </c>
      <c r="G453" t="str">
        <f>TEXT(B453,"MMMM")</f>
        <v>March</v>
      </c>
      <c r="H453" t="str">
        <f>TEXT(B453, "DDDD")</f>
        <v>Saturday</v>
      </c>
      <c r="I453">
        <f>((D453+E453)/C453)*100</f>
        <v>4.6566668715805006</v>
      </c>
      <c r="J453">
        <f>(D453/C453)*1000</f>
        <v>40.818835679596731</v>
      </c>
      <c r="K453">
        <f>(E453/C453)*1000</f>
        <v>5.7478330362082746</v>
      </c>
      <c r="L453">
        <f>CORREL(C453:C951, D453:D951)</f>
        <v>0.84569077024933625</v>
      </c>
      <c r="M453">
        <f>CORREL(C453:C951,E453:E951)</f>
        <v>0.10104275372868964</v>
      </c>
      <c r="N453">
        <f>LEN(A453)</f>
        <v>30</v>
      </c>
      <c r="O453" t="str">
        <f>IF(ISNUMBER(SEARCH("$",A453)), "Money", IF(ISNUMBER(SEARCH("Win",A453)), "Challenge",IF(ISNUMBER(SEARCH("Challenge",A453)), "Challenge",IF(ISNUMBER(SEARCH("Last To Leave",A453)),"Challenge",IF(ISNUMBER(SEARCH("Giving Away", A453)),"Giveaway",IF(ISNUMBER(SEARCH("Stranded",A453)),"Survival", IF(ISNUMBER(SEARCH("Survive",A453)), "Survival", IF(ISNUMBER(SEARCH("Days",A453)),"Endurance","Other"))))))))</f>
        <v>Other</v>
      </c>
    </row>
    <row r="454" spans="1:15" x14ac:dyDescent="0.3">
      <c r="A454" t="s">
        <v>463</v>
      </c>
      <c r="B454" s="1">
        <v>42379</v>
      </c>
      <c r="C454" s="2">
        <v>65048</v>
      </c>
      <c r="D454" s="3">
        <v>3242</v>
      </c>
      <c r="E454" s="3">
        <v>593</v>
      </c>
      <c r="F454">
        <f>YEAR(B454)</f>
        <v>2016</v>
      </c>
      <c r="G454" t="str">
        <f>TEXT(B454,"MMMM")</f>
        <v>January</v>
      </c>
      <c r="H454" t="str">
        <f>TEXT(B454, "DDDD")</f>
        <v>Sunday</v>
      </c>
      <c r="I454">
        <f>((D454+E454)/C454)*100</f>
        <v>5.8956462919690074</v>
      </c>
      <c r="J454">
        <f>(D454/C454)*1000</f>
        <v>49.840118066658469</v>
      </c>
      <c r="K454">
        <f>(E454/C454)*1000</f>
        <v>9.1163448530316078</v>
      </c>
      <c r="L454">
        <f>CORREL(C454:C952, D454:D952)</f>
        <v>0.84561663899066486</v>
      </c>
      <c r="M454">
        <f>CORREL(C454:C952,E454:E952)</f>
        <v>0.10067533400132711</v>
      </c>
      <c r="N454">
        <f>LEN(A454)</f>
        <v>48</v>
      </c>
      <c r="O454" t="str">
        <f>IF(ISNUMBER(SEARCH("$",A454)), "Money", IF(ISNUMBER(SEARCH("Win",A454)), "Challenge",IF(ISNUMBER(SEARCH("Challenge",A454)), "Challenge",IF(ISNUMBER(SEARCH("Last To Leave",A454)),"Challenge",IF(ISNUMBER(SEARCH("Giving Away", A454)),"Giveaway",IF(ISNUMBER(SEARCH("Stranded",A454)),"Survival", IF(ISNUMBER(SEARCH("Survive",A454)), "Survival", IF(ISNUMBER(SEARCH("Days",A454)),"Endurance","Other"))))))))</f>
        <v>Money</v>
      </c>
    </row>
    <row r="455" spans="1:15" x14ac:dyDescent="0.3">
      <c r="A455" t="s">
        <v>464</v>
      </c>
      <c r="B455" s="1">
        <v>42452</v>
      </c>
      <c r="C455" s="2">
        <v>65038</v>
      </c>
      <c r="D455" s="3">
        <v>2717</v>
      </c>
      <c r="E455" s="3">
        <v>318</v>
      </c>
      <c r="F455">
        <f>YEAR(B455)</f>
        <v>2016</v>
      </c>
      <c r="G455" t="str">
        <f>TEXT(B455,"MMMM")</f>
        <v>March</v>
      </c>
      <c r="H455" t="str">
        <f>TEXT(B455, "DDDD")</f>
        <v>Wednesday</v>
      </c>
      <c r="I455">
        <f>((D455+E455)/C455)*100</f>
        <v>4.6665026599833945</v>
      </c>
      <c r="J455">
        <f>(D455/C455)*1000</f>
        <v>41.775577354777212</v>
      </c>
      <c r="K455">
        <f>(E455/C455)*1000</f>
        <v>4.8894492450567357</v>
      </c>
      <c r="L455">
        <f>CORREL(C455:C953, D455:D953)</f>
        <v>0.8454345158652663</v>
      </c>
      <c r="M455">
        <f>CORREL(C455:C953,E455:E953)</f>
        <v>9.9336117205814742E-2</v>
      </c>
      <c r="N455">
        <f>LEN(A455)</f>
        <v>31</v>
      </c>
      <c r="O455" t="str">
        <f>IF(ISNUMBER(SEARCH("$",A455)), "Money", IF(ISNUMBER(SEARCH("Win",A455)), "Challenge",IF(ISNUMBER(SEARCH("Challenge",A455)), "Challenge",IF(ISNUMBER(SEARCH("Last To Leave",A455)),"Challenge",IF(ISNUMBER(SEARCH("Giving Away", A455)),"Giveaway",IF(ISNUMBER(SEARCH("Stranded",A455)),"Survival", IF(ISNUMBER(SEARCH("Survive",A455)), "Survival", IF(ISNUMBER(SEARCH("Days",A455)),"Endurance","Other"))))))))</f>
        <v>Other</v>
      </c>
    </row>
    <row r="456" spans="1:15" x14ac:dyDescent="0.3">
      <c r="A456" t="s">
        <v>465</v>
      </c>
      <c r="B456" s="1">
        <v>42473</v>
      </c>
      <c r="C456" s="2">
        <v>65037</v>
      </c>
      <c r="D456" s="3">
        <v>2507</v>
      </c>
      <c r="E456" s="3">
        <v>718</v>
      </c>
      <c r="F456">
        <f>YEAR(B456)</f>
        <v>2016</v>
      </c>
      <c r="G456" t="str">
        <f>TEXT(B456,"MMMM")</f>
        <v>April</v>
      </c>
      <c r="H456" t="str">
        <f>TEXT(B456, "DDDD")</f>
        <v>Wednesday</v>
      </c>
      <c r="I456">
        <f>((D456+E456)/C456)*100</f>
        <v>4.9587158079247198</v>
      </c>
      <c r="J456">
        <f>(D456/C456)*1000</f>
        <v>38.547288466565192</v>
      </c>
      <c r="K456">
        <f>(E456/C456)*1000</f>
        <v>11.039869612682011</v>
      </c>
      <c r="L456">
        <f>CORREL(C456:C954, D456:D954)</f>
        <v>0.84540488782467804</v>
      </c>
      <c r="M456">
        <f>CORREL(C456:C954,E456:E954)</f>
        <v>9.9111101402510948E-2</v>
      </c>
      <c r="N456">
        <f>LEN(A456)</f>
        <v>49</v>
      </c>
      <c r="O456" t="str">
        <f>IF(ISNUMBER(SEARCH("$",A456)), "Money", IF(ISNUMBER(SEARCH("Win",A456)), "Challenge",IF(ISNUMBER(SEARCH("Challenge",A456)), "Challenge",IF(ISNUMBER(SEARCH("Last To Leave",A456)),"Challenge",IF(ISNUMBER(SEARCH("Giving Away", A456)),"Giveaway",IF(ISNUMBER(SEARCH("Stranded",A456)),"Survival", IF(ISNUMBER(SEARCH("Survive",A456)), "Survival", IF(ISNUMBER(SEARCH("Days",A456)),"Endurance","Other"))))))))</f>
        <v>Other</v>
      </c>
    </row>
    <row r="457" spans="1:15" x14ac:dyDescent="0.3">
      <c r="A457" t="s">
        <v>466</v>
      </c>
      <c r="B457" s="1">
        <v>42815</v>
      </c>
      <c r="C457" s="2">
        <v>55105204</v>
      </c>
      <c r="D457" s="3">
        <v>2620976</v>
      </c>
      <c r="E457" s="3">
        <v>0</v>
      </c>
      <c r="F457">
        <f>YEAR(B457)</f>
        <v>2017</v>
      </c>
      <c r="G457" t="str">
        <f>TEXT(B457,"MMMM")</f>
        <v>March</v>
      </c>
      <c r="H457" t="str">
        <f>TEXT(B457, "DDDD")</f>
        <v>Tuesday</v>
      </c>
      <c r="I457">
        <f>((D457+E457)/C457)*100</f>
        <v>4.7563130335203914</v>
      </c>
      <c r="J457">
        <f>(D457/C457)*1000</f>
        <v>47.563130335203915</v>
      </c>
      <c r="K457">
        <f>(E457/C457)*1000</f>
        <v>0</v>
      </c>
      <c r="L457">
        <f>CORREL(C457:C955, D457:D955)</f>
        <v>0.84537090810338755</v>
      </c>
      <c r="M457">
        <f>CORREL(C457:C955,E457:E955)</f>
        <v>9.8913094343645286E-2</v>
      </c>
      <c r="N457">
        <f>LEN(A457)</f>
        <v>44</v>
      </c>
      <c r="O457" t="str">
        <f>IF(ISNUMBER(SEARCH("$",A457)), "Money", IF(ISNUMBER(SEARCH("Win",A457)), "Challenge",IF(ISNUMBER(SEARCH("Challenge",A457)), "Challenge",IF(ISNUMBER(SEARCH("Last To Leave",A457)),"Challenge",IF(ISNUMBER(SEARCH("Giving Away", A457)),"Giveaway",IF(ISNUMBER(SEARCH("Stranded",A457)),"Survival", IF(ISNUMBER(SEARCH("Survive",A457)), "Survival", IF(ISNUMBER(SEARCH("Days",A457)),"Endurance","Other"))))))))</f>
        <v>Other</v>
      </c>
    </row>
    <row r="458" spans="1:15" x14ac:dyDescent="0.3">
      <c r="A458" t="s">
        <v>467</v>
      </c>
      <c r="B458" s="1">
        <v>42857</v>
      </c>
      <c r="C458" s="2">
        <v>44886283</v>
      </c>
      <c r="D458" s="3">
        <v>1673146</v>
      </c>
      <c r="E458" s="3">
        <v>88719</v>
      </c>
      <c r="F458">
        <f>YEAR(B458)</f>
        <v>2017</v>
      </c>
      <c r="G458" t="str">
        <f>TEXT(B458,"MMMM")</f>
        <v>May</v>
      </c>
      <c r="H458" t="str">
        <f>TEXT(B458, "DDDD")</f>
        <v>Tuesday</v>
      </c>
      <c r="I458">
        <f>((D458+E458)/C458)*100</f>
        <v>3.9251746463390607</v>
      </c>
      <c r="J458">
        <f>(D458/C458)*1000</f>
        <v>37.275218355683407</v>
      </c>
      <c r="K458">
        <f>(E458/C458)*1000</f>
        <v>1.976528107707203</v>
      </c>
      <c r="L458">
        <f>CORREL(C458:C956, D458:D956)</f>
        <v>0.84551043459504793</v>
      </c>
      <c r="M458">
        <f>CORREL(C458:C956,E458:E956)</f>
        <v>9.8801531012256041E-2</v>
      </c>
      <c r="N458">
        <f>LEN(A458)</f>
        <v>50</v>
      </c>
      <c r="O458" t="str">
        <f>IF(ISNUMBER(SEARCH("$",A458)), "Money", IF(ISNUMBER(SEARCH("Win",A458)), "Challenge",IF(ISNUMBER(SEARCH("Challenge",A458)), "Challenge",IF(ISNUMBER(SEARCH("Last To Leave",A458)),"Challenge",IF(ISNUMBER(SEARCH("Giving Away", A458)),"Giveaway",IF(ISNUMBER(SEARCH("Stranded",A458)),"Survival", IF(ISNUMBER(SEARCH("Survive",A458)), "Survival", IF(ISNUMBER(SEARCH("Days",A458)),"Endurance","Other"))))))))</f>
        <v>Other</v>
      </c>
    </row>
    <row r="459" spans="1:15" x14ac:dyDescent="0.3">
      <c r="A459" t="s">
        <v>468</v>
      </c>
      <c r="B459" s="1">
        <v>43036</v>
      </c>
      <c r="C459" s="2">
        <v>43966781</v>
      </c>
      <c r="D459" s="3">
        <v>1112043</v>
      </c>
      <c r="E459" s="3">
        <v>42324</v>
      </c>
      <c r="F459">
        <f>YEAR(B459)</f>
        <v>2017</v>
      </c>
      <c r="G459" t="str">
        <f>TEXT(B459,"MMMM")</f>
        <v>October</v>
      </c>
      <c r="H459" t="str">
        <f>TEXT(B459, "DDDD")</f>
        <v>Saturday</v>
      </c>
      <c r="I459">
        <f>((D459+E459)/C459)*100</f>
        <v>2.6255435893748964</v>
      </c>
      <c r="J459">
        <f>(D459/C459)*1000</f>
        <v>25.292800034644337</v>
      </c>
      <c r="K459">
        <f>(E459/C459)*1000</f>
        <v>0.96263585910462712</v>
      </c>
      <c r="L459">
        <f>CORREL(C459:C957, D459:D957)</f>
        <v>0.84555325507476309</v>
      </c>
      <c r="M459">
        <f>CORREL(C459:C957,E459:E957)</f>
        <v>9.9865327533552192E-2</v>
      </c>
      <c r="N459">
        <f>LEN(A459)</f>
        <v>43</v>
      </c>
      <c r="O459" t="str">
        <f>IF(ISNUMBER(SEARCH("$",A459)), "Money", IF(ISNUMBER(SEARCH("Win",A459)), "Challenge",IF(ISNUMBER(SEARCH("Challenge",A459)), "Challenge",IF(ISNUMBER(SEARCH("Last To Leave",A459)),"Challenge",IF(ISNUMBER(SEARCH("Giving Away", A459)),"Giveaway",IF(ISNUMBER(SEARCH("Stranded",A459)),"Survival", IF(ISNUMBER(SEARCH("Survive",A459)), "Survival", IF(ISNUMBER(SEARCH("Days",A459)),"Endurance","Other"))))))))</f>
        <v>Other</v>
      </c>
    </row>
    <row r="460" spans="1:15" x14ac:dyDescent="0.3">
      <c r="A460" t="s">
        <v>469</v>
      </c>
      <c r="B460" s="1">
        <v>42888</v>
      </c>
      <c r="C460" s="2">
        <v>35801118</v>
      </c>
      <c r="D460" s="3">
        <v>816479</v>
      </c>
      <c r="E460" s="3">
        <v>57356</v>
      </c>
      <c r="F460">
        <f>YEAR(B460)</f>
        <v>2017</v>
      </c>
      <c r="G460" t="str">
        <f>TEXT(B460,"MMMM")</f>
        <v>June</v>
      </c>
      <c r="H460" t="str">
        <f>TEXT(B460, "DDDD")</f>
        <v>Friday</v>
      </c>
      <c r="I460">
        <f>((D460+E460)/C460)*100</f>
        <v>2.4408036642878024</v>
      </c>
      <c r="J460">
        <f>(D460/C460)*1000</f>
        <v>22.805963769064419</v>
      </c>
      <c r="K460">
        <f>(E460/C460)*1000</f>
        <v>1.6020728738136054</v>
      </c>
      <c r="L460">
        <f>CORREL(C460:C958, D460:D958)</f>
        <v>0.84552873122034011</v>
      </c>
      <c r="M460">
        <f>CORREL(C460:C958,E460:E958)</f>
        <v>0.10021553854751419</v>
      </c>
      <c r="N460">
        <f>LEN(A460)</f>
        <v>53</v>
      </c>
      <c r="O460" t="str">
        <f>IF(ISNUMBER(SEARCH("$",A460)), "Money", IF(ISNUMBER(SEARCH("Win",A460)), "Challenge",IF(ISNUMBER(SEARCH("Challenge",A460)), "Challenge",IF(ISNUMBER(SEARCH("Last To Leave",A460)),"Challenge",IF(ISNUMBER(SEARCH("Giving Away", A460)),"Giveaway",IF(ISNUMBER(SEARCH("Stranded",A460)),"Survival", IF(ISNUMBER(SEARCH("Survive",A460)), "Survival", IF(ISNUMBER(SEARCH("Days",A460)),"Endurance","Other"))))))))</f>
        <v>Other</v>
      </c>
    </row>
    <row r="461" spans="1:15" x14ac:dyDescent="0.3">
      <c r="A461" t="s">
        <v>470</v>
      </c>
      <c r="B461" s="1">
        <v>42744</v>
      </c>
      <c r="C461" s="2">
        <v>33806875</v>
      </c>
      <c r="D461" s="3">
        <v>1542864</v>
      </c>
      <c r="E461" s="3">
        <v>138780</v>
      </c>
      <c r="F461">
        <f>YEAR(B461)</f>
        <v>2017</v>
      </c>
      <c r="G461" t="str">
        <f>TEXT(B461,"MMMM")</f>
        <v>January</v>
      </c>
      <c r="H461" t="str">
        <f>TEXT(B461, "DDDD")</f>
        <v>Monday</v>
      </c>
      <c r="I461">
        <f>((D461+E461)/C461)*100</f>
        <v>4.9742663289641529</v>
      </c>
      <c r="J461">
        <f>(D461/C461)*1000</f>
        <v>45.637581113309054</v>
      </c>
      <c r="K461">
        <f>(E461/C461)*1000</f>
        <v>4.105082176332477</v>
      </c>
      <c r="L461">
        <f>CORREL(C461:C959, D461:D959)</f>
        <v>0.8453637207628264</v>
      </c>
      <c r="M461">
        <f>CORREL(C461:C959,E461:E959)</f>
        <v>9.9987865637268677E-2</v>
      </c>
      <c r="N461">
        <f>LEN(A461)</f>
        <v>21</v>
      </c>
      <c r="O461" t="str">
        <f>IF(ISNUMBER(SEARCH("$",A461)), "Money", IF(ISNUMBER(SEARCH("Win",A461)), "Challenge",IF(ISNUMBER(SEARCH("Challenge",A461)), "Challenge",IF(ISNUMBER(SEARCH("Last To Leave",A461)),"Challenge",IF(ISNUMBER(SEARCH("Giving Away", A461)),"Giveaway",IF(ISNUMBER(SEARCH("Stranded",A461)),"Survival", IF(ISNUMBER(SEARCH("Survive",A461)), "Survival", IF(ISNUMBER(SEARCH("Days",A461)),"Endurance","Other"))))))))</f>
        <v>Other</v>
      </c>
    </row>
    <row r="462" spans="1:15" x14ac:dyDescent="0.3">
      <c r="A462" t="s">
        <v>471</v>
      </c>
      <c r="B462" s="1">
        <v>43071</v>
      </c>
      <c r="C462" s="2">
        <v>32635944</v>
      </c>
      <c r="D462" s="3">
        <v>1549097</v>
      </c>
      <c r="E462" s="3">
        <v>44920</v>
      </c>
      <c r="F462">
        <f>YEAR(B462)</f>
        <v>2017</v>
      </c>
      <c r="G462" t="str">
        <f>TEXT(B462,"MMMM")</f>
        <v>December</v>
      </c>
      <c r="H462" t="str">
        <f>TEXT(B462, "DDDD")</f>
        <v>Saturday</v>
      </c>
      <c r="I462">
        <f>((D462+E462)/C462)*100</f>
        <v>4.8842374530364436</v>
      </c>
      <c r="J462">
        <f>(D462/C462)*1000</f>
        <v>47.465978002658666</v>
      </c>
      <c r="K462">
        <f>(E462/C462)*1000</f>
        <v>1.3763965277057713</v>
      </c>
      <c r="L462">
        <f>CORREL(C462:C960, D462:D960)</f>
        <v>0.84533926237779489</v>
      </c>
      <c r="M462">
        <f>CORREL(C462:C960,E462:E960)</f>
        <v>0.10162385450074074</v>
      </c>
      <c r="N462">
        <f>LEN(A462)</f>
        <v>48</v>
      </c>
      <c r="O462" t="str">
        <f>IF(ISNUMBER(SEARCH("$",A462)), "Money", IF(ISNUMBER(SEARCH("Win",A462)), "Challenge",IF(ISNUMBER(SEARCH("Challenge",A462)), "Challenge",IF(ISNUMBER(SEARCH("Last To Leave",A462)),"Challenge",IF(ISNUMBER(SEARCH("Giving Away", A462)),"Giveaway",IF(ISNUMBER(SEARCH("Stranded",A462)),"Survival", IF(ISNUMBER(SEARCH("Survive",A462)), "Survival", IF(ISNUMBER(SEARCH("Days",A462)),"Endurance","Other"))))))))</f>
        <v>Money</v>
      </c>
    </row>
    <row r="463" spans="1:15" x14ac:dyDescent="0.3">
      <c r="A463" t="s">
        <v>472</v>
      </c>
      <c r="B463" s="1">
        <v>42925</v>
      </c>
      <c r="C463" s="2">
        <v>32250338</v>
      </c>
      <c r="D463" s="3">
        <v>831190</v>
      </c>
      <c r="E463" s="3">
        <v>33506</v>
      </c>
      <c r="F463">
        <f>YEAR(B463)</f>
        <v>2017</v>
      </c>
      <c r="G463" t="str">
        <f>TEXT(B463,"MMMM")</f>
        <v>July</v>
      </c>
      <c r="H463" t="str">
        <f>TEXT(B463, "DDDD")</f>
        <v>Sunday</v>
      </c>
      <c r="I463">
        <f>((D463+E463)/C463)*100</f>
        <v>2.6811998063400142</v>
      </c>
      <c r="J463">
        <f>(D463/C463)*1000</f>
        <v>25.773063215647536</v>
      </c>
      <c r="K463">
        <f>(E463/C463)*1000</f>
        <v>1.0389348477526035</v>
      </c>
      <c r="L463">
        <f>CORREL(C463:C961, D463:D961)</f>
        <v>0.84531700404976606</v>
      </c>
      <c r="M463">
        <f>CORREL(C463:C961,E463:E961)</f>
        <v>0.10168232157388499</v>
      </c>
      <c r="N463">
        <f>LEN(A463)</f>
        <v>16</v>
      </c>
      <c r="O463" t="str">
        <f>IF(ISNUMBER(SEARCH("$",A463)), "Money", IF(ISNUMBER(SEARCH("Win",A463)), "Challenge",IF(ISNUMBER(SEARCH("Challenge",A463)), "Challenge",IF(ISNUMBER(SEARCH("Last To Leave",A463)),"Challenge",IF(ISNUMBER(SEARCH("Giving Away", A463)),"Giveaway",IF(ISNUMBER(SEARCH("Stranded",A463)),"Survival", IF(ISNUMBER(SEARCH("Survive",A463)), "Survival", IF(ISNUMBER(SEARCH("Days",A463)),"Endurance","Other"))))))))</f>
        <v>Other</v>
      </c>
    </row>
    <row r="464" spans="1:15" x14ac:dyDescent="0.3">
      <c r="A464" t="s">
        <v>473</v>
      </c>
      <c r="B464" s="1">
        <v>43091</v>
      </c>
      <c r="C464" s="2">
        <v>31399159</v>
      </c>
      <c r="D464" s="3">
        <v>1186648</v>
      </c>
      <c r="E464" s="3">
        <v>23578</v>
      </c>
      <c r="F464">
        <f>YEAR(B464)</f>
        <v>2017</v>
      </c>
      <c r="G464" t="str">
        <f>TEXT(B464,"MMMM")</f>
        <v>December</v>
      </c>
      <c r="H464" t="str">
        <f>TEXT(B464, "DDDD")</f>
        <v>Friday</v>
      </c>
      <c r="I464">
        <f>((D464+E464)/C464)*100</f>
        <v>3.8543261620478435</v>
      </c>
      <c r="J464">
        <f>(D464/C464)*1000</f>
        <v>37.792349788731606</v>
      </c>
      <c r="K464">
        <f>(E464/C464)*1000</f>
        <v>0.75091183174683118</v>
      </c>
      <c r="L464">
        <f>CORREL(C464:C962, D464:D962)</f>
        <v>0.84517600328001319</v>
      </c>
      <c r="M464">
        <f>CORREL(C464:C962,E464:E962)</f>
        <v>0.1012818548088381</v>
      </c>
      <c r="N464">
        <f>LEN(A464)</f>
        <v>46</v>
      </c>
      <c r="O464" t="str">
        <f>IF(ISNUMBER(SEARCH("$",A464)), "Money", IF(ISNUMBER(SEARCH("Win",A464)), "Challenge",IF(ISNUMBER(SEARCH("Challenge",A464)), "Challenge",IF(ISNUMBER(SEARCH("Last To Leave",A464)),"Challenge",IF(ISNUMBER(SEARCH("Giving Away", A464)),"Giveaway",IF(ISNUMBER(SEARCH("Stranded",A464)),"Survival", IF(ISNUMBER(SEARCH("Survive",A464)), "Survival", IF(ISNUMBER(SEARCH("Days",A464)),"Endurance","Other"))))))))</f>
        <v>Other</v>
      </c>
    </row>
    <row r="465" spans="1:15" x14ac:dyDescent="0.3">
      <c r="A465" t="s">
        <v>474</v>
      </c>
      <c r="B465" s="1">
        <v>42903</v>
      </c>
      <c r="C465" s="2">
        <v>28493911</v>
      </c>
      <c r="D465" s="3">
        <v>824161</v>
      </c>
      <c r="E465" s="3">
        <v>69590</v>
      </c>
      <c r="F465">
        <f>YEAR(B465)</f>
        <v>2017</v>
      </c>
      <c r="G465" t="str">
        <f>TEXT(B465,"MMMM")</f>
        <v>June</v>
      </c>
      <c r="H465" t="str">
        <f>TEXT(B465, "DDDD")</f>
        <v>Saturday</v>
      </c>
      <c r="I465">
        <f>((D465+E465)/C465)*100</f>
        <v>3.1366385611297796</v>
      </c>
      <c r="J465">
        <f>(D465/C465)*1000</f>
        <v>28.924109435170202</v>
      </c>
      <c r="K465">
        <f>(E465/C465)*1000</f>
        <v>2.4422761761275944</v>
      </c>
      <c r="L465">
        <f>CORREL(C465:C963, D465:D963)</f>
        <v>0.84517360139569009</v>
      </c>
      <c r="M465">
        <f>CORREL(C465:C963,E465:E963)</f>
        <v>0.10132129179780627</v>
      </c>
      <c r="N465">
        <f>LEN(A465)</f>
        <v>48</v>
      </c>
      <c r="O465" t="str">
        <f>IF(ISNUMBER(SEARCH("$",A465)), "Money", IF(ISNUMBER(SEARCH("Win",A465)), "Challenge",IF(ISNUMBER(SEARCH("Challenge",A465)), "Challenge",IF(ISNUMBER(SEARCH("Last To Leave",A465)),"Challenge",IF(ISNUMBER(SEARCH("Giving Away", A465)),"Giveaway",IF(ISNUMBER(SEARCH("Stranded",A465)),"Survival", IF(ISNUMBER(SEARCH("Survive",A465)), "Survival", IF(ISNUMBER(SEARCH("Days",A465)),"Endurance","Other"))))))))</f>
        <v>Other</v>
      </c>
    </row>
    <row r="466" spans="1:15" x14ac:dyDescent="0.3">
      <c r="A466" t="s">
        <v>475</v>
      </c>
      <c r="B466" s="1">
        <v>42910</v>
      </c>
      <c r="C466" s="2">
        <v>28333362</v>
      </c>
      <c r="D466" s="3">
        <v>666182</v>
      </c>
      <c r="E466" s="3">
        <v>37525</v>
      </c>
      <c r="F466">
        <f>YEAR(B466)</f>
        <v>2017</v>
      </c>
      <c r="G466" t="str">
        <f>TEXT(B466,"MMMM")</f>
        <v>June</v>
      </c>
      <c r="H466" t="str">
        <f>TEXT(B466, "DDDD")</f>
        <v>Saturday</v>
      </c>
      <c r="I466">
        <f>((D466+E466)/C466)*100</f>
        <v>2.4836692518169925</v>
      </c>
      <c r="J466">
        <f>(D466/C466)*1000</f>
        <v>23.512282093455763</v>
      </c>
      <c r="K466">
        <f>(E466/C466)*1000</f>
        <v>1.3244104247141586</v>
      </c>
      <c r="L466">
        <f>CORREL(C466:C964, D466:D964)</f>
        <v>0.84508385359989402</v>
      </c>
      <c r="M466">
        <f>CORREL(C466:C964,E466:E964)</f>
        <v>0.10180630183912964</v>
      </c>
      <c r="N466">
        <f>LEN(A466)</f>
        <v>31</v>
      </c>
      <c r="O466" t="str">
        <f>IF(ISNUMBER(SEARCH("$",A466)), "Money", IF(ISNUMBER(SEARCH("Win",A466)), "Challenge",IF(ISNUMBER(SEARCH("Challenge",A466)), "Challenge",IF(ISNUMBER(SEARCH("Last To Leave",A466)),"Challenge",IF(ISNUMBER(SEARCH("Giving Away", A466)),"Giveaway",IF(ISNUMBER(SEARCH("Stranded",A466)),"Survival", IF(ISNUMBER(SEARCH("Survive",A466)), "Survival", IF(ISNUMBER(SEARCH("Days",A466)),"Endurance","Other"))))))))</f>
        <v>Other</v>
      </c>
    </row>
    <row r="467" spans="1:15" x14ac:dyDescent="0.3">
      <c r="A467" t="s">
        <v>476</v>
      </c>
      <c r="B467" s="1">
        <v>42818</v>
      </c>
      <c r="C467" s="2">
        <v>26316374</v>
      </c>
      <c r="D467" s="3">
        <v>518973</v>
      </c>
      <c r="E467" s="3">
        <v>17863</v>
      </c>
      <c r="F467">
        <f>YEAR(B467)</f>
        <v>2017</v>
      </c>
      <c r="G467" t="str">
        <f>TEXT(B467,"MMMM")</f>
        <v>March</v>
      </c>
      <c r="H467" t="str">
        <f>TEXT(B467, "DDDD")</f>
        <v>Friday</v>
      </c>
      <c r="I467">
        <f>((D467+E467)/C467)*100</f>
        <v>2.0399314890417655</v>
      </c>
      <c r="J467">
        <f>(D467/C467)*1000</f>
        <v>19.720535967455092</v>
      </c>
      <c r="K467">
        <f>(E467/C467)*1000</f>
        <v>0.67877892296256315</v>
      </c>
      <c r="L467">
        <f>CORREL(C467:C965, D467:D965)</f>
        <v>0.84497804856244096</v>
      </c>
      <c r="M467">
        <f>CORREL(C467:C965,E467:E965)</f>
        <v>0.10170417574561359</v>
      </c>
      <c r="N467">
        <f>LEN(A467)</f>
        <v>36</v>
      </c>
      <c r="O467" t="str">
        <f>IF(ISNUMBER(SEARCH("$",A467)), "Money", IF(ISNUMBER(SEARCH("Win",A467)), "Challenge",IF(ISNUMBER(SEARCH("Challenge",A467)), "Challenge",IF(ISNUMBER(SEARCH("Last To Leave",A467)),"Challenge",IF(ISNUMBER(SEARCH("Giving Away", A467)),"Giveaway",IF(ISNUMBER(SEARCH("Stranded",A467)),"Survival", IF(ISNUMBER(SEARCH("Survive",A467)), "Survival", IF(ISNUMBER(SEARCH("Days",A467)),"Endurance","Other"))))))))</f>
        <v>Other</v>
      </c>
    </row>
    <row r="468" spans="1:15" x14ac:dyDescent="0.3">
      <c r="A468" t="s">
        <v>477</v>
      </c>
      <c r="B468" s="1">
        <v>43075</v>
      </c>
      <c r="C468" s="2">
        <v>26037772</v>
      </c>
      <c r="D468" s="3">
        <v>480408</v>
      </c>
      <c r="E468" s="3">
        <v>55895</v>
      </c>
      <c r="F468">
        <f>YEAR(B468)</f>
        <v>2017</v>
      </c>
      <c r="G468" t="str">
        <f>TEXT(B468,"MMMM")</f>
        <v>December</v>
      </c>
      <c r="H468" t="str">
        <f>TEXT(B468, "DDDD")</f>
        <v>Wednesday</v>
      </c>
      <c r="I468">
        <f>((D468+E468)/C468)*100</f>
        <v>2.0597115605743839</v>
      </c>
      <c r="J468">
        <f>(D468/C468)*1000</f>
        <v>18.45042655723385</v>
      </c>
      <c r="K468">
        <f>(E468/C468)*1000</f>
        <v>2.1466890485099879</v>
      </c>
      <c r="L468">
        <f>CORREL(C468:C966, D468:D966)</f>
        <v>0.83282453494768471</v>
      </c>
      <c r="M468">
        <f>CORREL(C468:C966,E468:E966)</f>
        <v>0.10657823861787365</v>
      </c>
      <c r="N468">
        <f>LEN(A468)</f>
        <v>42</v>
      </c>
      <c r="O468" t="str">
        <f>IF(ISNUMBER(SEARCH("$",A468)), "Money", IF(ISNUMBER(SEARCH("Win",A468)), "Challenge",IF(ISNUMBER(SEARCH("Challenge",A468)), "Challenge",IF(ISNUMBER(SEARCH("Last To Leave",A468)),"Challenge",IF(ISNUMBER(SEARCH("Giving Away", A468)),"Giveaway",IF(ISNUMBER(SEARCH("Stranded",A468)),"Survival", IF(ISNUMBER(SEARCH("Survive",A468)), "Survival", IF(ISNUMBER(SEARCH("Days",A468)),"Endurance","Other"))))))))</f>
        <v>Other</v>
      </c>
    </row>
    <row r="469" spans="1:15" x14ac:dyDescent="0.3">
      <c r="A469" t="s">
        <v>478</v>
      </c>
      <c r="B469" s="1">
        <v>42966</v>
      </c>
      <c r="C469" s="2">
        <v>23744727</v>
      </c>
      <c r="D469" s="3">
        <v>930231</v>
      </c>
      <c r="E469" s="3">
        <v>108274</v>
      </c>
      <c r="F469">
        <f>YEAR(B469)</f>
        <v>2017</v>
      </c>
      <c r="G469" t="str">
        <f>TEXT(B469,"MMMM")</f>
        <v>August</v>
      </c>
      <c r="H469" t="str">
        <f>TEXT(B469, "DDDD")</f>
        <v>Saturday</v>
      </c>
      <c r="I469">
        <f>((D469+E469)/C469)*100</f>
        <v>4.3736236681095555</v>
      </c>
      <c r="J469">
        <f>(D469/C469)*1000</f>
        <v>39.176319020218678</v>
      </c>
      <c r="K469">
        <f>(E469/C469)*1000</f>
        <v>4.5599176608768763</v>
      </c>
      <c r="L469">
        <f>CORREL(C469:C967, D469:D967)</f>
        <v>0.83272367945416859</v>
      </c>
      <c r="M469">
        <f>CORREL(C469:C967,E469:E967)</f>
        <v>0.10693136150397911</v>
      </c>
      <c r="N469">
        <f>LEN(A469)</f>
        <v>31</v>
      </c>
      <c r="O469" t="str">
        <f>IF(ISNUMBER(SEARCH("$",A469)), "Money", IF(ISNUMBER(SEARCH("Win",A469)), "Challenge",IF(ISNUMBER(SEARCH("Challenge",A469)), "Challenge",IF(ISNUMBER(SEARCH("Last To Leave",A469)),"Challenge",IF(ISNUMBER(SEARCH("Giving Away", A469)),"Giveaway",IF(ISNUMBER(SEARCH("Stranded",A469)),"Survival", IF(ISNUMBER(SEARCH("Survive",A469)), "Survival", IF(ISNUMBER(SEARCH("Days",A469)),"Endurance","Other"))))))))</f>
        <v>Other</v>
      </c>
    </row>
    <row r="470" spans="1:15" x14ac:dyDescent="0.3">
      <c r="A470" t="s">
        <v>479</v>
      </c>
      <c r="B470" s="1">
        <v>42970</v>
      </c>
      <c r="C470" s="2">
        <v>23188093</v>
      </c>
      <c r="D470" s="3">
        <v>699639</v>
      </c>
      <c r="E470" s="3">
        <v>39556</v>
      </c>
      <c r="F470">
        <f>YEAR(B470)</f>
        <v>2017</v>
      </c>
      <c r="G470" t="str">
        <f>TEXT(B470,"MMMM")</f>
        <v>August</v>
      </c>
      <c r="H470" t="str">
        <f>TEXT(B470, "DDDD")</f>
        <v>Wednesday</v>
      </c>
      <c r="I470">
        <f>((D470+E470)/C470)*100</f>
        <v>3.1878214392188271</v>
      </c>
      <c r="J470">
        <f>(D470/C470)*1000</f>
        <v>30.172338880993792</v>
      </c>
      <c r="K470">
        <f>(E470/C470)*1000</f>
        <v>1.7058755111944739</v>
      </c>
      <c r="L470">
        <f>CORREL(C470:C968, D470:D968)</f>
        <v>0.83262790144078491</v>
      </c>
      <c r="M470">
        <f>CORREL(C470:C968,E470:E968)</f>
        <v>0.10797701439790311</v>
      </c>
      <c r="N470">
        <f>LEN(A470)</f>
        <v>35</v>
      </c>
      <c r="O470" t="str">
        <f>IF(ISNUMBER(SEARCH("$",A470)), "Money", IF(ISNUMBER(SEARCH("Win",A470)), "Challenge",IF(ISNUMBER(SEARCH("Challenge",A470)), "Challenge",IF(ISNUMBER(SEARCH("Last To Leave",A470)),"Challenge",IF(ISNUMBER(SEARCH("Giving Away", A470)),"Giveaway",IF(ISNUMBER(SEARCH("Stranded",A470)),"Survival", IF(ISNUMBER(SEARCH("Survive",A470)), "Survival", IF(ISNUMBER(SEARCH("Days",A470)),"Endurance","Other"))))))))</f>
        <v>Money</v>
      </c>
    </row>
    <row r="471" spans="1:15" x14ac:dyDescent="0.3">
      <c r="A471" t="s">
        <v>480</v>
      </c>
      <c r="B471" s="1">
        <v>42899</v>
      </c>
      <c r="C471" s="2">
        <v>19795208</v>
      </c>
      <c r="D471" s="3">
        <v>496278</v>
      </c>
      <c r="E471" s="3">
        <v>15019</v>
      </c>
      <c r="F471">
        <f>YEAR(B471)</f>
        <v>2017</v>
      </c>
      <c r="G471" t="str">
        <f>TEXT(B471,"MMMM")</f>
        <v>June</v>
      </c>
      <c r="H471" t="str">
        <f>TEXT(B471, "DDDD")</f>
        <v>Tuesday</v>
      </c>
      <c r="I471">
        <f>((D471+E471)/C471)*100</f>
        <v>2.5829332028236331</v>
      </c>
      <c r="J471">
        <f>(D471/C471)*1000</f>
        <v>25.070613049380437</v>
      </c>
      <c r="K471">
        <f>(E471/C471)*1000</f>
        <v>0.7587189788558929</v>
      </c>
      <c r="L471">
        <f>CORREL(C471:C969, D471:D969)</f>
        <v>0.83253671001822349</v>
      </c>
      <c r="M471">
        <f>CORREL(C471:C969,E471:E969)</f>
        <v>0.1080503799564617</v>
      </c>
      <c r="N471">
        <f>LEN(A471)</f>
        <v>37</v>
      </c>
      <c r="O471" t="str">
        <f>IF(ISNUMBER(SEARCH("$",A471)), "Money", IF(ISNUMBER(SEARCH("Win",A471)), "Challenge",IF(ISNUMBER(SEARCH("Challenge",A471)), "Challenge",IF(ISNUMBER(SEARCH("Last To Leave",A471)),"Challenge",IF(ISNUMBER(SEARCH("Giving Away", A471)),"Giveaway",IF(ISNUMBER(SEARCH("Stranded",A471)),"Survival", IF(ISNUMBER(SEARCH("Survive",A471)), "Survival", IF(ISNUMBER(SEARCH("Days",A471)),"Endurance","Other"))))))))</f>
        <v>Other</v>
      </c>
    </row>
    <row r="472" spans="1:15" x14ac:dyDescent="0.3">
      <c r="A472" t="s">
        <v>481</v>
      </c>
      <c r="B472" s="1">
        <v>43012</v>
      </c>
      <c r="C472" s="2">
        <v>13823911</v>
      </c>
      <c r="D472" s="3">
        <v>599284</v>
      </c>
      <c r="E472" s="3">
        <v>38120</v>
      </c>
      <c r="F472">
        <f>YEAR(B472)</f>
        <v>2017</v>
      </c>
      <c r="G472" t="str">
        <f>TEXT(B472,"MMMM")</f>
        <v>October</v>
      </c>
      <c r="H472" t="str">
        <f>TEXT(B472, "DDDD")</f>
        <v>Wednesday</v>
      </c>
      <c r="I472">
        <f>((D472+E472)/C472)*100</f>
        <v>4.6108803796552218</v>
      </c>
      <c r="J472">
        <f>(D472/C472)*1000</f>
        <v>43.351262895138724</v>
      </c>
      <c r="K472">
        <f>(E472/C472)*1000</f>
        <v>2.7575409014134999</v>
      </c>
      <c r="L472">
        <f>CORREL(C472:C970, D472:D970)</f>
        <v>0.82919895297662871</v>
      </c>
      <c r="M472">
        <f>CORREL(C472:C970,E472:E970)</f>
        <v>0.10704486022951999</v>
      </c>
      <c r="N472">
        <f>LEN(A472)</f>
        <v>39</v>
      </c>
      <c r="O472" t="str">
        <f>IF(ISNUMBER(SEARCH("$",A472)), "Money", IF(ISNUMBER(SEARCH("Win",A472)), "Challenge",IF(ISNUMBER(SEARCH("Challenge",A472)), "Challenge",IF(ISNUMBER(SEARCH("Last To Leave",A472)),"Challenge",IF(ISNUMBER(SEARCH("Giving Away", A472)),"Giveaway",IF(ISNUMBER(SEARCH("Stranded",A472)),"Survival", IF(ISNUMBER(SEARCH("Survive",A472)), "Survival", IF(ISNUMBER(SEARCH("Days",A472)),"Endurance","Other"))))))))</f>
        <v>Other</v>
      </c>
    </row>
    <row r="473" spans="1:15" x14ac:dyDescent="0.3">
      <c r="A473" t="s">
        <v>482</v>
      </c>
      <c r="B473" s="1">
        <v>42901</v>
      </c>
      <c r="C473" s="2">
        <v>11419949</v>
      </c>
      <c r="D473" s="3">
        <v>565448</v>
      </c>
      <c r="E473" s="3">
        <v>33666</v>
      </c>
      <c r="F473">
        <f>YEAR(B473)</f>
        <v>2017</v>
      </c>
      <c r="G473" t="str">
        <f>TEXT(B473,"MMMM")</f>
        <v>June</v>
      </c>
      <c r="H473" t="str">
        <f>TEXT(B473, "DDDD")</f>
        <v>Thursday</v>
      </c>
      <c r="I473">
        <f>((D473+E473)/C473)*100</f>
        <v>5.2462055653663606</v>
      </c>
      <c r="J473">
        <f>(D473/C473)*1000</f>
        <v>49.514056498851268</v>
      </c>
      <c r="K473">
        <f>(E473/C473)*1000</f>
        <v>2.9479991548123374</v>
      </c>
      <c r="L473">
        <f>CORREL(C473:C971, D473:D971)</f>
        <v>0.82908729234435274</v>
      </c>
      <c r="M473">
        <f>CORREL(C473:C971,E473:E971)</f>
        <v>0.10716062244170022</v>
      </c>
      <c r="N473">
        <f>LEN(A473)</f>
        <v>36</v>
      </c>
      <c r="O473" t="str">
        <f>IF(ISNUMBER(SEARCH("$",A473)), "Money", IF(ISNUMBER(SEARCH("Win",A473)), "Challenge",IF(ISNUMBER(SEARCH("Challenge",A473)), "Challenge",IF(ISNUMBER(SEARCH("Last To Leave",A473)),"Challenge",IF(ISNUMBER(SEARCH("Giving Away", A473)),"Giveaway",IF(ISNUMBER(SEARCH("Stranded",A473)),"Survival", IF(ISNUMBER(SEARCH("Survive",A473)), "Survival", IF(ISNUMBER(SEARCH("Days",A473)),"Endurance","Other"))))))))</f>
        <v>Money</v>
      </c>
    </row>
    <row r="474" spans="1:15" x14ac:dyDescent="0.3">
      <c r="A474" t="s">
        <v>483</v>
      </c>
      <c r="B474" s="1">
        <v>42962</v>
      </c>
      <c r="C474" s="2">
        <v>10887002</v>
      </c>
      <c r="D474" s="3">
        <v>226309</v>
      </c>
      <c r="E474" s="3">
        <v>17577</v>
      </c>
      <c r="F474">
        <f>YEAR(B474)</f>
        <v>2017</v>
      </c>
      <c r="G474" t="str">
        <f>TEXT(B474,"MMMM")</f>
        <v>August</v>
      </c>
      <c r="H474" t="str">
        <f>TEXT(B474, "DDDD")</f>
        <v>Tuesday</v>
      </c>
      <c r="I474">
        <f>((D474+E474)/C474)*100</f>
        <v>2.2401575750606093</v>
      </c>
      <c r="J474">
        <f>(D474/C474)*1000</f>
        <v>20.787081696136365</v>
      </c>
      <c r="K474">
        <f>(E474/C474)*1000</f>
        <v>1.6144940544697244</v>
      </c>
      <c r="L474">
        <f>CORREL(C474:C972, D474:D972)</f>
        <v>0.82899212608572115</v>
      </c>
      <c r="M474">
        <f>CORREL(C474:C972,E474:E972)</f>
        <v>0.10716218530215683</v>
      </c>
      <c r="N474">
        <f>LEN(A474)</f>
        <v>43</v>
      </c>
      <c r="O474" t="str">
        <f>IF(ISNUMBER(SEARCH("$",A474)), "Money", IF(ISNUMBER(SEARCH("Win",A474)), "Challenge",IF(ISNUMBER(SEARCH("Challenge",A474)), "Challenge",IF(ISNUMBER(SEARCH("Last To Leave",A474)),"Challenge",IF(ISNUMBER(SEARCH("Giving Away", A474)),"Giveaway",IF(ISNUMBER(SEARCH("Stranded",A474)),"Survival", IF(ISNUMBER(SEARCH("Survive",A474)), "Survival", IF(ISNUMBER(SEARCH("Days",A474)),"Endurance","Other"))))))))</f>
        <v>Money</v>
      </c>
    </row>
    <row r="475" spans="1:15" x14ac:dyDescent="0.3">
      <c r="A475" t="s">
        <v>484</v>
      </c>
      <c r="B475" s="1">
        <v>42788</v>
      </c>
      <c r="C475" s="2">
        <v>7742146</v>
      </c>
      <c r="D475" s="3">
        <v>321688</v>
      </c>
      <c r="E475" s="3">
        <v>24567</v>
      </c>
      <c r="F475">
        <f>YEAR(B475)</f>
        <v>2017</v>
      </c>
      <c r="G475" t="str">
        <f>TEXT(B475,"MMMM")</f>
        <v>February</v>
      </c>
      <c r="H475" t="str">
        <f>TEXT(B475, "DDDD")</f>
        <v>Wednesday</v>
      </c>
      <c r="I475">
        <f>((D475+E475)/C475)*100</f>
        <v>4.4723388063206251</v>
      </c>
      <c r="J475">
        <f>(D475/C475)*1000</f>
        <v>41.550236846476416</v>
      </c>
      <c r="K475">
        <f>(E475/C475)*1000</f>
        <v>3.1731512167298321</v>
      </c>
      <c r="L475">
        <f>CORREL(C475:C973, D475:D973)</f>
        <v>0.82839815100688574</v>
      </c>
      <c r="M475">
        <f>CORREL(C475:C973,E475:E973)</f>
        <v>0.10601026480797653</v>
      </c>
      <c r="N475">
        <f>LEN(A475)</f>
        <v>100</v>
      </c>
      <c r="O475" t="str">
        <f>IF(ISNUMBER(SEARCH("$",A475)), "Money", IF(ISNUMBER(SEARCH("Win",A475)), "Challenge",IF(ISNUMBER(SEARCH("Challenge",A475)), "Challenge",IF(ISNUMBER(SEARCH("Last To Leave",A475)),"Challenge",IF(ISNUMBER(SEARCH("Giving Away", A475)),"Giveaway",IF(ISNUMBER(SEARCH("Stranded",A475)),"Survival", IF(ISNUMBER(SEARCH("Survive",A475)), "Survival", IF(ISNUMBER(SEARCH("Days",A475)),"Endurance","Other"))))))))</f>
        <v>Other</v>
      </c>
    </row>
    <row r="476" spans="1:15" x14ac:dyDescent="0.3">
      <c r="A476" t="s">
        <v>485</v>
      </c>
      <c r="B476" s="1">
        <v>42802</v>
      </c>
      <c r="C476" s="2">
        <v>7424033</v>
      </c>
      <c r="D476" s="3">
        <v>320988</v>
      </c>
      <c r="E476" s="3">
        <v>14878</v>
      </c>
      <c r="F476">
        <f>YEAR(B476)</f>
        <v>2017</v>
      </c>
      <c r="G476" t="str">
        <f>TEXT(B476,"MMMM")</f>
        <v>March</v>
      </c>
      <c r="H476" t="str">
        <f>TEXT(B476, "DDDD")</f>
        <v>Wednesday</v>
      </c>
      <c r="I476">
        <f>((D476+E476)/C476)*100</f>
        <v>4.5240370025294876</v>
      </c>
      <c r="J476">
        <f>(D476/C476)*1000</f>
        <v>43.236337985027816</v>
      </c>
      <c r="K476">
        <f>(E476/C476)*1000</f>
        <v>2.0040320402670626</v>
      </c>
      <c r="L476">
        <f>CORREL(C476:C974, D476:D974)</f>
        <v>0.82747776776756443</v>
      </c>
      <c r="M476">
        <f>CORREL(C476:C974,E476:E974)</f>
        <v>0.10484359019048343</v>
      </c>
      <c r="N476">
        <f>LEN(A476)</f>
        <v>17</v>
      </c>
      <c r="O476" t="str">
        <f>IF(ISNUMBER(SEARCH("$",A476)), "Money", IF(ISNUMBER(SEARCH("Win",A476)), "Challenge",IF(ISNUMBER(SEARCH("Challenge",A476)), "Challenge",IF(ISNUMBER(SEARCH("Last To Leave",A476)),"Challenge",IF(ISNUMBER(SEARCH("Giving Away", A476)),"Giveaway",IF(ISNUMBER(SEARCH("Stranded",A476)),"Survival", IF(ISNUMBER(SEARCH("Survive",A476)), "Survival", IF(ISNUMBER(SEARCH("Days",A476)),"Endurance","Other"))))))))</f>
        <v>Other</v>
      </c>
    </row>
    <row r="477" spans="1:15" x14ac:dyDescent="0.3">
      <c r="A477" t="s">
        <v>486</v>
      </c>
      <c r="B477" s="1">
        <v>43077</v>
      </c>
      <c r="C477" s="2">
        <v>7411463</v>
      </c>
      <c r="D477" s="3">
        <v>201070</v>
      </c>
      <c r="E477" s="3">
        <v>10581</v>
      </c>
      <c r="F477">
        <f>YEAR(B477)</f>
        <v>2017</v>
      </c>
      <c r="G477" t="str">
        <f>TEXT(B477,"MMMM")</f>
        <v>December</v>
      </c>
      <c r="H477" t="str">
        <f>TEXT(B477, "DDDD")</f>
        <v>Friday</v>
      </c>
      <c r="I477">
        <f>((D477+E477)/C477)*100</f>
        <v>2.8557249762968526</v>
      </c>
      <c r="J477">
        <f>(D477/C477)*1000</f>
        <v>27.129596410317369</v>
      </c>
      <c r="K477">
        <f>(E477/C477)*1000</f>
        <v>1.4276533526511566</v>
      </c>
      <c r="L477">
        <f>CORREL(C477:C975, D477:D975)</f>
        <v>0.82733471779765944</v>
      </c>
      <c r="M477">
        <f>CORREL(C477:C975,E477:E975)</f>
        <v>0.1043768755076495</v>
      </c>
      <c r="N477">
        <f>LEN(A477)</f>
        <v>27</v>
      </c>
      <c r="O477" t="str">
        <f>IF(ISNUMBER(SEARCH("$",A477)), "Money", IF(ISNUMBER(SEARCH("Win",A477)), "Challenge",IF(ISNUMBER(SEARCH("Challenge",A477)), "Challenge",IF(ISNUMBER(SEARCH("Last To Leave",A477)),"Challenge",IF(ISNUMBER(SEARCH("Giving Away", A477)),"Giveaway",IF(ISNUMBER(SEARCH("Stranded",A477)),"Survival", IF(ISNUMBER(SEARCH("Survive",A477)), "Survival", IF(ISNUMBER(SEARCH("Days",A477)),"Endurance","Other"))))))))</f>
        <v>Other</v>
      </c>
    </row>
    <row r="478" spans="1:15" x14ac:dyDescent="0.3">
      <c r="A478" t="s">
        <v>487</v>
      </c>
      <c r="B478" s="1">
        <v>42914</v>
      </c>
      <c r="C478" s="2">
        <v>6684514</v>
      </c>
      <c r="D478" s="3">
        <v>229215</v>
      </c>
      <c r="E478" s="3">
        <v>18780</v>
      </c>
      <c r="F478">
        <f>YEAR(B478)</f>
        <v>2017</v>
      </c>
      <c r="G478" t="str">
        <f>TEXT(B478,"MMMM")</f>
        <v>June</v>
      </c>
      <c r="H478" t="str">
        <f>TEXT(B478, "DDDD")</f>
        <v>Wednesday</v>
      </c>
      <c r="I478">
        <f>((D478+E478)/C478)*100</f>
        <v>3.7099929777991343</v>
      </c>
      <c r="J478">
        <f>(D478/C478)*1000</f>
        <v>34.290451033538119</v>
      </c>
      <c r="K478">
        <f>(E478/C478)*1000</f>
        <v>2.8094787444532243</v>
      </c>
      <c r="L478">
        <f>CORREL(C478:C976, D478:D976)</f>
        <v>0.82715532759359678</v>
      </c>
      <c r="M478">
        <f>CORREL(C478:C976,E478:E976)</f>
        <v>0.10375183161549048</v>
      </c>
      <c r="N478">
        <f>LEN(A478)</f>
        <v>45</v>
      </c>
      <c r="O478" t="str">
        <f>IF(ISNUMBER(SEARCH("$",A478)), "Money", IF(ISNUMBER(SEARCH("Win",A478)), "Challenge",IF(ISNUMBER(SEARCH("Challenge",A478)), "Challenge",IF(ISNUMBER(SEARCH("Last To Leave",A478)),"Challenge",IF(ISNUMBER(SEARCH("Giving Away", A478)),"Giveaway",IF(ISNUMBER(SEARCH("Stranded",A478)),"Survival", IF(ISNUMBER(SEARCH("Survive",A478)), "Survival", IF(ISNUMBER(SEARCH("Days",A478)),"Endurance","Other"))))))))</f>
        <v>Money</v>
      </c>
    </row>
    <row r="479" spans="1:15" x14ac:dyDescent="0.3">
      <c r="A479" t="s">
        <v>488</v>
      </c>
      <c r="B479" s="1">
        <v>42975</v>
      </c>
      <c r="C479" s="2">
        <v>6141828</v>
      </c>
      <c r="D479" s="3">
        <v>229294</v>
      </c>
      <c r="E479" s="3">
        <v>11037</v>
      </c>
      <c r="F479">
        <f>YEAR(B479)</f>
        <v>2017</v>
      </c>
      <c r="G479" t="str">
        <f>TEXT(B479,"MMMM")</f>
        <v>August</v>
      </c>
      <c r="H479" t="str">
        <f>TEXT(B479, "DDDD")</f>
        <v>Monday</v>
      </c>
      <c r="I479">
        <f>((D479+E479)/C479)*100</f>
        <v>3.9130206837443184</v>
      </c>
      <c r="J479">
        <f>(D479/C479)*1000</f>
        <v>37.333184843339801</v>
      </c>
      <c r="K479">
        <f>(E479/C479)*1000</f>
        <v>1.7970219941033843</v>
      </c>
      <c r="L479">
        <f>CORREL(C479:C977, D479:D977)</f>
        <v>0.82661262290526727</v>
      </c>
      <c r="M479">
        <f>CORREL(C479:C977,E479:E977)</f>
        <v>0.1024118365608446</v>
      </c>
      <c r="N479">
        <f>LEN(A479)</f>
        <v>35</v>
      </c>
      <c r="O479" t="str">
        <f>IF(ISNUMBER(SEARCH("$",A479)), "Money", IF(ISNUMBER(SEARCH("Win",A479)), "Challenge",IF(ISNUMBER(SEARCH("Challenge",A479)), "Challenge",IF(ISNUMBER(SEARCH("Last To Leave",A479)),"Challenge",IF(ISNUMBER(SEARCH("Giving Away", A479)),"Giveaway",IF(ISNUMBER(SEARCH("Stranded",A479)),"Survival", IF(ISNUMBER(SEARCH("Survive",A479)), "Survival", IF(ISNUMBER(SEARCH("Days",A479)),"Endurance","Other"))))))))</f>
        <v>Other</v>
      </c>
    </row>
    <row r="480" spans="1:15" x14ac:dyDescent="0.3">
      <c r="A480" t="s">
        <v>489</v>
      </c>
      <c r="B480" s="1">
        <v>43034</v>
      </c>
      <c r="C480" s="2">
        <v>5975669</v>
      </c>
      <c r="D480" s="3">
        <v>204159</v>
      </c>
      <c r="E480" s="3">
        <v>10034</v>
      </c>
      <c r="F480">
        <f>YEAR(B480)</f>
        <v>2017</v>
      </c>
      <c r="G480" t="str">
        <f>TEXT(B480,"MMMM")</f>
        <v>October</v>
      </c>
      <c r="H480" t="str">
        <f>TEXT(B480, "DDDD")</f>
        <v>Thursday</v>
      </c>
      <c r="I480">
        <f>((D480+E480)/C480)*100</f>
        <v>3.5844187487626913</v>
      </c>
      <c r="J480">
        <f>(D480/C480)*1000</f>
        <v>34.165044951452295</v>
      </c>
      <c r="K480">
        <f>(E480/C480)*1000</f>
        <v>1.6791425361746108</v>
      </c>
      <c r="L480">
        <f>CORREL(C480:C978, D480:D978)</f>
        <v>0.82590383427458747</v>
      </c>
      <c r="M480">
        <f>CORREL(C480:C978,E480:E978)</f>
        <v>0.10102441472215117</v>
      </c>
      <c r="N480">
        <f>LEN(A480)</f>
        <v>16</v>
      </c>
      <c r="O480" t="str">
        <f>IF(ISNUMBER(SEARCH("$",A480)), "Money", IF(ISNUMBER(SEARCH("Win",A480)), "Challenge",IF(ISNUMBER(SEARCH("Challenge",A480)), "Challenge",IF(ISNUMBER(SEARCH("Last To Leave",A480)),"Challenge",IF(ISNUMBER(SEARCH("Giving Away", A480)),"Giveaway",IF(ISNUMBER(SEARCH("Stranded",A480)),"Survival", IF(ISNUMBER(SEARCH("Survive",A480)), "Survival", IF(ISNUMBER(SEARCH("Days",A480)),"Endurance","Other"))))))))</f>
        <v>Other</v>
      </c>
    </row>
    <row r="481" spans="1:15" x14ac:dyDescent="0.3">
      <c r="A481" t="s">
        <v>490</v>
      </c>
      <c r="B481" s="1">
        <v>42977</v>
      </c>
      <c r="C481" s="2">
        <v>4675968</v>
      </c>
      <c r="D481" s="3">
        <v>127748</v>
      </c>
      <c r="E481" s="3">
        <v>7987</v>
      </c>
      <c r="F481">
        <f>YEAR(B481)</f>
        <v>2017</v>
      </c>
      <c r="G481" t="str">
        <f>TEXT(B481,"MMMM")</f>
        <v>August</v>
      </c>
      <c r="H481" t="str">
        <f>TEXT(B481, "DDDD")</f>
        <v>Wednesday</v>
      </c>
      <c r="I481">
        <f>((D481+E481)/C481)*100</f>
        <v>2.9028214051079906</v>
      </c>
      <c r="J481">
        <f>(D481/C481)*1000</f>
        <v>27.320118529468122</v>
      </c>
      <c r="K481">
        <f>(E481/C481)*1000</f>
        <v>1.7080955216117817</v>
      </c>
      <c r="L481">
        <f>CORREL(C481:C979, D481:D979)</f>
        <v>0.82575318828283761</v>
      </c>
      <c r="M481">
        <f>CORREL(C481:C979,E481:E979)</f>
        <v>0.10050410176746979</v>
      </c>
      <c r="N481">
        <f>LEN(A481)</f>
        <v>28</v>
      </c>
      <c r="O481" t="str">
        <f>IF(ISNUMBER(SEARCH("$",A481)), "Money", IF(ISNUMBER(SEARCH("Win",A481)), "Challenge",IF(ISNUMBER(SEARCH("Challenge",A481)), "Challenge",IF(ISNUMBER(SEARCH("Last To Leave",A481)),"Challenge",IF(ISNUMBER(SEARCH("Giving Away", A481)),"Giveaway",IF(ISNUMBER(SEARCH("Stranded",A481)),"Survival", IF(ISNUMBER(SEARCH("Survive",A481)), "Survival", IF(ISNUMBER(SEARCH("Days",A481)),"Endurance","Other"))))))))</f>
        <v>Money</v>
      </c>
    </row>
    <row r="482" spans="1:15" x14ac:dyDescent="0.3">
      <c r="A482" t="s">
        <v>491</v>
      </c>
      <c r="B482" s="1">
        <v>42808</v>
      </c>
      <c r="C482" s="2">
        <v>4169209</v>
      </c>
      <c r="D482" s="3">
        <v>96150</v>
      </c>
      <c r="E482" s="3">
        <v>9233</v>
      </c>
      <c r="F482">
        <f>YEAR(B482)</f>
        <v>2017</v>
      </c>
      <c r="G482" t="str">
        <f>TEXT(B482,"MMMM")</f>
        <v>March</v>
      </c>
      <c r="H482" t="str">
        <f>TEXT(B482, "DDDD")</f>
        <v>Tuesday</v>
      </c>
      <c r="I482">
        <f>((D482+E482)/C482)*100</f>
        <v>2.5276497292412063</v>
      </c>
      <c r="J482">
        <f>(D482/C482)*1000</f>
        <v>23.061928533685887</v>
      </c>
      <c r="K482">
        <f>(E482/C482)*1000</f>
        <v>2.2145687587261755</v>
      </c>
      <c r="L482">
        <f>CORREL(C482:C980, D482:D980)</f>
        <v>0.82551748017424054</v>
      </c>
      <c r="M482">
        <f>CORREL(C482:C980,E482:E980)</f>
        <v>9.967171670374711E-2</v>
      </c>
      <c r="N482">
        <f>LEN(A482)</f>
        <v>20</v>
      </c>
      <c r="O482" t="str">
        <f>IF(ISNUMBER(SEARCH("$",A482)), "Money", IF(ISNUMBER(SEARCH("Win",A482)), "Challenge",IF(ISNUMBER(SEARCH("Challenge",A482)), "Challenge",IF(ISNUMBER(SEARCH("Last To Leave",A482)),"Challenge",IF(ISNUMBER(SEARCH("Giving Away", A482)),"Giveaway",IF(ISNUMBER(SEARCH("Stranded",A482)),"Survival", IF(ISNUMBER(SEARCH("Survive",A482)), "Survival", IF(ISNUMBER(SEARCH("Days",A482)),"Endurance","Other"))))))))</f>
        <v>Other</v>
      </c>
    </row>
    <row r="483" spans="1:15" x14ac:dyDescent="0.3">
      <c r="A483" t="s">
        <v>492</v>
      </c>
      <c r="B483" s="1">
        <v>42784</v>
      </c>
      <c r="C483" s="2">
        <v>4145145</v>
      </c>
      <c r="D483" s="3">
        <v>156358</v>
      </c>
      <c r="E483" s="3">
        <v>19162</v>
      </c>
      <c r="F483">
        <f>YEAR(B483)</f>
        <v>2017</v>
      </c>
      <c r="G483" t="str">
        <f>TEXT(B483,"MMMM")</f>
        <v>February</v>
      </c>
      <c r="H483" t="str">
        <f>TEXT(B483, "DDDD")</f>
        <v>Saturday</v>
      </c>
      <c r="I483">
        <f>((D483+E483)/C483)*100</f>
        <v>4.234351271185929</v>
      </c>
      <c r="J483">
        <f>(D483/C483)*1000</f>
        <v>37.72075524499143</v>
      </c>
      <c r="K483">
        <f>(E483/C483)*1000</f>
        <v>4.6227574668678661</v>
      </c>
      <c r="L483">
        <f>CORREL(C483:C981, D483:D981)</f>
        <v>0.82531335063134115</v>
      </c>
      <c r="M483">
        <f>CORREL(C483:C981,E483:E981)</f>
        <v>9.8976078351707686E-2</v>
      </c>
      <c r="N483">
        <f>LEN(A483)</f>
        <v>35</v>
      </c>
      <c r="O483" t="str">
        <f>IF(ISNUMBER(SEARCH("$",A483)), "Money", IF(ISNUMBER(SEARCH("Win",A483)), "Challenge",IF(ISNUMBER(SEARCH("Challenge",A483)), "Challenge",IF(ISNUMBER(SEARCH("Last To Leave",A483)),"Challenge",IF(ISNUMBER(SEARCH("Giving Away", A483)),"Giveaway",IF(ISNUMBER(SEARCH("Stranded",A483)),"Survival", IF(ISNUMBER(SEARCH("Survive",A483)), "Survival", IF(ISNUMBER(SEARCH("Days",A483)),"Endurance","Other"))))))))</f>
        <v>Other</v>
      </c>
    </row>
    <row r="484" spans="1:15" x14ac:dyDescent="0.3">
      <c r="A484" t="s">
        <v>493</v>
      </c>
      <c r="B484" s="1">
        <v>42775</v>
      </c>
      <c r="C484" s="2">
        <v>3362826</v>
      </c>
      <c r="D484" s="3">
        <v>96551</v>
      </c>
      <c r="E484" s="3">
        <v>5631</v>
      </c>
      <c r="F484">
        <f>YEAR(B484)</f>
        <v>2017</v>
      </c>
      <c r="G484" t="str">
        <f>TEXT(B484,"MMMM")</f>
        <v>February</v>
      </c>
      <c r="H484" t="str">
        <f>TEXT(B484, "DDDD")</f>
        <v>Thursday</v>
      </c>
      <c r="I484">
        <f>((D484+E484)/C484)*100</f>
        <v>3.038575293518011</v>
      </c>
      <c r="J484">
        <f>(D484/C484)*1000</f>
        <v>28.71126843910449</v>
      </c>
      <c r="K484">
        <f>(E484/C484)*1000</f>
        <v>1.6744844960756222</v>
      </c>
      <c r="L484">
        <f>CORREL(C484:C982, D484:D982)</f>
        <v>0.82448056670990422</v>
      </c>
      <c r="M484">
        <f>CORREL(C484:C982,E484:E982)</f>
        <v>9.7717425751489978E-2</v>
      </c>
      <c r="N484">
        <f>LEN(A484)</f>
        <v>40</v>
      </c>
      <c r="O484" t="str">
        <f>IF(ISNUMBER(SEARCH("$",A484)), "Money", IF(ISNUMBER(SEARCH("Win",A484)), "Challenge",IF(ISNUMBER(SEARCH("Challenge",A484)), "Challenge",IF(ISNUMBER(SEARCH("Last To Leave",A484)),"Challenge",IF(ISNUMBER(SEARCH("Giving Away", A484)),"Giveaway",IF(ISNUMBER(SEARCH("Stranded",A484)),"Survival", IF(ISNUMBER(SEARCH("Survive",A484)), "Survival", IF(ISNUMBER(SEARCH("Days",A484)),"Endurance","Other"))))))))</f>
        <v>Other</v>
      </c>
    </row>
    <row r="485" spans="1:15" x14ac:dyDescent="0.3">
      <c r="A485" t="s">
        <v>494</v>
      </c>
      <c r="B485" s="1">
        <v>42967</v>
      </c>
      <c r="C485" s="2">
        <v>2803587</v>
      </c>
      <c r="D485" s="3">
        <v>123291</v>
      </c>
      <c r="E485" s="3">
        <v>8442</v>
      </c>
      <c r="F485">
        <f>YEAR(B485)</f>
        <v>2017</v>
      </c>
      <c r="G485" t="str">
        <f>TEXT(B485,"MMMM")</f>
        <v>August</v>
      </c>
      <c r="H485" t="str">
        <f>TEXT(B485, "DDDD")</f>
        <v>Sunday</v>
      </c>
      <c r="I485">
        <f>((D485+E485)/C485)*100</f>
        <v>4.6987305904899692</v>
      </c>
      <c r="J485">
        <f>(D485/C485)*1000</f>
        <v>43.976163393538343</v>
      </c>
      <c r="K485">
        <f>(E485/C485)*1000</f>
        <v>3.0111425113613381</v>
      </c>
      <c r="L485">
        <f>CORREL(C485:C983, D485:D983)</f>
        <v>0.82397511736592155</v>
      </c>
      <c r="M485">
        <f>CORREL(C485:C983,E485:E983)</f>
        <v>9.6129982821270915E-2</v>
      </c>
      <c r="N485">
        <f>LEN(A485)</f>
        <v>58</v>
      </c>
      <c r="O485" t="str">
        <f>IF(ISNUMBER(SEARCH("$",A485)), "Money", IF(ISNUMBER(SEARCH("Win",A485)), "Challenge",IF(ISNUMBER(SEARCH("Challenge",A485)), "Challenge",IF(ISNUMBER(SEARCH("Last To Leave",A485)),"Challenge",IF(ISNUMBER(SEARCH("Giving Away", A485)),"Giveaway",IF(ISNUMBER(SEARCH("Stranded",A485)),"Survival", IF(ISNUMBER(SEARCH("Survive",A485)), "Survival", IF(ISNUMBER(SEARCH("Days",A485)),"Endurance","Other"))))))))</f>
        <v>Other</v>
      </c>
    </row>
    <row r="486" spans="1:15" x14ac:dyDescent="0.3">
      <c r="A486" t="s">
        <v>495</v>
      </c>
      <c r="B486" s="1">
        <v>43086</v>
      </c>
      <c r="C486" s="2">
        <v>2457405</v>
      </c>
      <c r="D486" s="3">
        <v>84917</v>
      </c>
      <c r="E486" s="3">
        <v>9760</v>
      </c>
      <c r="F486">
        <f>YEAR(B486)</f>
        <v>2017</v>
      </c>
      <c r="G486" t="str">
        <f>TEXT(B486,"MMMM")</f>
        <v>December</v>
      </c>
      <c r="H486" t="str">
        <f>TEXT(B486, "DDDD")</f>
        <v>Sunday</v>
      </c>
      <c r="I486">
        <f>((D486+E486)/C486)*100</f>
        <v>3.8527226891782189</v>
      </c>
      <c r="J486">
        <f>(D486/C486)*1000</f>
        <v>34.555557590222207</v>
      </c>
      <c r="K486">
        <f>(E486/C486)*1000</f>
        <v>3.9716693015599791</v>
      </c>
      <c r="L486">
        <f>CORREL(C486:C984, D486:D984)</f>
        <v>0.82300091209344584</v>
      </c>
      <c r="M486">
        <f>CORREL(C486:C984,E486:E984)</f>
        <v>9.3845540673373792E-2</v>
      </c>
      <c r="N486">
        <f>LEN(A486)</f>
        <v>41</v>
      </c>
      <c r="O486" t="str">
        <f>IF(ISNUMBER(SEARCH("$",A486)), "Money", IF(ISNUMBER(SEARCH("Win",A486)), "Challenge",IF(ISNUMBER(SEARCH("Challenge",A486)), "Challenge",IF(ISNUMBER(SEARCH("Last To Leave",A486)),"Challenge",IF(ISNUMBER(SEARCH("Giving Away", A486)),"Giveaway",IF(ISNUMBER(SEARCH("Stranded",A486)),"Survival", IF(ISNUMBER(SEARCH("Survive",A486)), "Survival", IF(ISNUMBER(SEARCH("Days",A486)),"Endurance","Other"))))))))</f>
        <v>Other</v>
      </c>
    </row>
    <row r="487" spans="1:15" x14ac:dyDescent="0.3">
      <c r="A487" t="s">
        <v>496</v>
      </c>
      <c r="B487" s="1">
        <v>42824</v>
      </c>
      <c r="C487" s="2">
        <v>2170322</v>
      </c>
      <c r="D487" s="3">
        <v>72687</v>
      </c>
      <c r="E487" s="3">
        <v>4952</v>
      </c>
      <c r="F487">
        <f>YEAR(B487)</f>
        <v>2017</v>
      </c>
      <c r="G487" t="str">
        <f>TEXT(B487,"MMMM")</f>
        <v>March</v>
      </c>
      <c r="H487" t="str">
        <f>TEXT(B487, "DDDD")</f>
        <v>Thursday</v>
      </c>
      <c r="I487">
        <f>((D487+E487)/C487)*100</f>
        <v>3.5773032757351211</v>
      </c>
      <c r="J487">
        <f>(D487/C487)*1000</f>
        <v>33.491343680799439</v>
      </c>
      <c r="K487">
        <f>(E487/C487)*1000</f>
        <v>2.2816890765517743</v>
      </c>
      <c r="L487">
        <f>CORREL(C487:C985, D487:D985)</f>
        <v>0.81502858779448051</v>
      </c>
      <c r="M487">
        <f>CORREL(C487:C985,E487:E985)</f>
        <v>8.9060827004255466E-2</v>
      </c>
      <c r="N487">
        <f>LEN(A487)</f>
        <v>100</v>
      </c>
      <c r="O487" t="str">
        <f>IF(ISNUMBER(SEARCH("$",A487)), "Money", IF(ISNUMBER(SEARCH("Win",A487)), "Challenge",IF(ISNUMBER(SEARCH("Challenge",A487)), "Challenge",IF(ISNUMBER(SEARCH("Last To Leave",A487)),"Challenge",IF(ISNUMBER(SEARCH("Giving Away", A487)),"Giveaway",IF(ISNUMBER(SEARCH("Stranded",A487)),"Survival", IF(ISNUMBER(SEARCH("Survive",A487)), "Survival", IF(ISNUMBER(SEARCH("Days",A487)),"Endurance","Other"))))))))</f>
        <v>Other</v>
      </c>
    </row>
    <row r="488" spans="1:15" x14ac:dyDescent="0.3">
      <c r="A488" t="s">
        <v>497</v>
      </c>
      <c r="B488" s="1">
        <v>42813</v>
      </c>
      <c r="C488" s="2">
        <v>1975121</v>
      </c>
      <c r="D488" s="3">
        <v>95714</v>
      </c>
      <c r="E488" s="3">
        <v>8799</v>
      </c>
      <c r="F488">
        <f>YEAR(B488)</f>
        <v>2017</v>
      </c>
      <c r="G488" t="str">
        <f>TEXT(B488,"MMMM")</f>
        <v>March</v>
      </c>
      <c r="H488" t="str">
        <f>TEXT(B488, "DDDD")</f>
        <v>Sunday</v>
      </c>
      <c r="I488">
        <f>((D488+E488)/C488)*100</f>
        <v>5.291473281890072</v>
      </c>
      <c r="J488">
        <f>(D488/C488)*1000</f>
        <v>48.459815879634718</v>
      </c>
      <c r="K488">
        <f>(E488/C488)*1000</f>
        <v>4.454916939266</v>
      </c>
      <c r="L488">
        <f>CORREL(C488:C986, D488:D986)</f>
        <v>0.81068579020762421</v>
      </c>
      <c r="M488">
        <f>CORREL(C488:C986,E488:E986)</f>
        <v>8.5683131704004045E-2</v>
      </c>
      <c r="N488">
        <f>LEN(A488)</f>
        <v>34</v>
      </c>
      <c r="O488" t="str">
        <f>IF(ISNUMBER(SEARCH("$",A488)), "Money", IF(ISNUMBER(SEARCH("Win",A488)), "Challenge",IF(ISNUMBER(SEARCH("Challenge",A488)), "Challenge",IF(ISNUMBER(SEARCH("Last To Leave",A488)),"Challenge",IF(ISNUMBER(SEARCH("Giving Away", A488)),"Giveaway",IF(ISNUMBER(SEARCH("Stranded",A488)),"Survival", IF(ISNUMBER(SEARCH("Survive",A488)), "Survival", IF(ISNUMBER(SEARCH("Days",A488)),"Endurance","Other"))))))))</f>
        <v>Other</v>
      </c>
    </row>
    <row r="489" spans="1:15" x14ac:dyDescent="0.3">
      <c r="A489" t="s">
        <v>498</v>
      </c>
      <c r="B489" s="1">
        <v>42909</v>
      </c>
      <c r="C489" s="2">
        <v>964372</v>
      </c>
      <c r="D489" s="3">
        <v>29972</v>
      </c>
      <c r="E489" s="3">
        <v>4534</v>
      </c>
      <c r="F489">
        <f>YEAR(B489)</f>
        <v>2017</v>
      </c>
      <c r="G489" t="str">
        <f>TEXT(B489,"MMMM")</f>
        <v>June</v>
      </c>
      <c r="H489" t="str">
        <f>TEXT(B489, "DDDD")</f>
        <v>Friday</v>
      </c>
      <c r="I489">
        <f>((D489+E489)/C489)*100</f>
        <v>3.5780798281161217</v>
      </c>
      <c r="J489">
        <f>(D489/C489)*1000</f>
        <v>31.079293052888307</v>
      </c>
      <c r="K489">
        <f>(E489/C489)*1000</f>
        <v>4.7015052282729073</v>
      </c>
      <c r="L489">
        <f>CORREL(C489:C987, D489:D987)</f>
        <v>0.80892605934567807</v>
      </c>
      <c r="M489">
        <f>CORREL(C489:C987,E489:E987)</f>
        <v>8.2941813672443715E-2</v>
      </c>
      <c r="N489">
        <f>LEN(A489)</f>
        <v>30</v>
      </c>
      <c r="O489" t="str">
        <f>IF(ISNUMBER(SEARCH("$",A489)), "Money", IF(ISNUMBER(SEARCH("Win",A489)), "Challenge",IF(ISNUMBER(SEARCH("Challenge",A489)), "Challenge",IF(ISNUMBER(SEARCH("Last To Leave",A489)),"Challenge",IF(ISNUMBER(SEARCH("Giving Away", A489)),"Giveaway",IF(ISNUMBER(SEARCH("Stranded",A489)),"Survival", IF(ISNUMBER(SEARCH("Survive",A489)), "Survival", IF(ISNUMBER(SEARCH("Days",A489)),"Endurance","Other"))))))))</f>
        <v>Challenge</v>
      </c>
    </row>
    <row r="490" spans="1:15" x14ac:dyDescent="0.3">
      <c r="A490" t="s">
        <v>499</v>
      </c>
      <c r="B490" s="1">
        <v>42801</v>
      </c>
      <c r="C490" s="2">
        <v>580420</v>
      </c>
      <c r="D490" s="3">
        <v>19886</v>
      </c>
      <c r="E490" s="3">
        <v>3561</v>
      </c>
      <c r="F490">
        <f>YEAR(B490)</f>
        <v>2017</v>
      </c>
      <c r="G490" t="str">
        <f>TEXT(B490,"MMMM")</f>
        <v>March</v>
      </c>
      <c r="H490" t="str">
        <f>TEXT(B490, "DDDD")</f>
        <v>Tuesday</v>
      </c>
      <c r="I490">
        <f>((D490+E490)/C490)*100</f>
        <v>4.039660935184866</v>
      </c>
      <c r="J490">
        <f>(D490/C490)*1000</f>
        <v>34.261396919472112</v>
      </c>
      <c r="K490">
        <f>(E490/C490)*1000</f>
        <v>6.1352124323765551</v>
      </c>
      <c r="L490">
        <f>CORREL(C490:C988, D490:D988)</f>
        <v>0.80734937110418614</v>
      </c>
      <c r="M490">
        <f>CORREL(C490:C988,E490:E988)</f>
        <v>7.9663737265141116E-2</v>
      </c>
      <c r="N490">
        <f>LEN(A490)</f>
        <v>36</v>
      </c>
      <c r="O490" t="str">
        <f>IF(ISNUMBER(SEARCH("$",A490)), "Money", IF(ISNUMBER(SEARCH("Win",A490)), "Challenge",IF(ISNUMBER(SEARCH("Challenge",A490)), "Challenge",IF(ISNUMBER(SEARCH("Last To Leave",A490)),"Challenge",IF(ISNUMBER(SEARCH("Giving Away", A490)),"Giveaway",IF(ISNUMBER(SEARCH("Stranded",A490)),"Survival", IF(ISNUMBER(SEARCH("Survive",A490)), "Survival", IF(ISNUMBER(SEARCH("Days",A490)),"Endurance","Other"))))))))</f>
        <v>Other</v>
      </c>
    </row>
    <row r="491" spans="1:15" x14ac:dyDescent="0.3">
      <c r="A491" t="s">
        <v>500</v>
      </c>
      <c r="B491" s="1">
        <v>43426</v>
      </c>
      <c r="C491" s="2">
        <v>256791139</v>
      </c>
      <c r="D491" s="3">
        <v>5512714</v>
      </c>
      <c r="E491" s="3">
        <v>144450</v>
      </c>
      <c r="F491">
        <f>YEAR(B491)</f>
        <v>2018</v>
      </c>
      <c r="G491" t="str">
        <f>TEXT(B491,"MMMM")</f>
        <v>November</v>
      </c>
      <c r="H491" t="str">
        <f>TEXT(B491, "DDDD")</f>
        <v>Thursday</v>
      </c>
      <c r="I491">
        <f>((D491+E491)/C491)*100</f>
        <v>2.2030214991180053</v>
      </c>
      <c r="J491">
        <f>(D491/C491)*1000</f>
        <v>21.467695581193709</v>
      </c>
      <c r="K491">
        <f>(E491/C491)*1000</f>
        <v>0.56251940998633909</v>
      </c>
      <c r="L491">
        <f>CORREL(C491:C989, D491:D989)</f>
        <v>0.80703929104528749</v>
      </c>
      <c r="M491">
        <f>CORREL(C491:C989,E491:E989)</f>
        <v>7.8372429160455684E-2</v>
      </c>
      <c r="N491">
        <f>LEN(A491)</f>
        <v>48</v>
      </c>
      <c r="O491" t="str">
        <f>IF(ISNUMBER(SEARCH("$",A491)), "Money", IF(ISNUMBER(SEARCH("Win",A491)), "Challenge",IF(ISNUMBER(SEARCH("Challenge",A491)), "Challenge",IF(ISNUMBER(SEARCH("Last To Leave",A491)),"Challenge",IF(ISNUMBER(SEARCH("Giving Away", A491)),"Giveaway",IF(ISNUMBER(SEARCH("Stranded",A491)),"Survival", IF(ISNUMBER(SEARCH("Survive",A491)), "Survival", IF(ISNUMBER(SEARCH("Days",A491)),"Endurance","Other"))))))))</f>
        <v>Other</v>
      </c>
    </row>
    <row r="492" spans="1:15" x14ac:dyDescent="0.3">
      <c r="A492" t="s">
        <v>501</v>
      </c>
      <c r="B492" s="1">
        <v>43442</v>
      </c>
      <c r="C492" s="2">
        <v>190677455</v>
      </c>
      <c r="D492" s="3">
        <v>2854575</v>
      </c>
      <c r="E492" s="3">
        <v>64214</v>
      </c>
      <c r="F492">
        <f>YEAR(B492)</f>
        <v>2018</v>
      </c>
      <c r="G492" t="str">
        <f>TEXT(B492,"MMMM")</f>
        <v>December</v>
      </c>
      <c r="H492" t="str">
        <f>TEXT(B492, "DDDD")</f>
        <v>Saturday</v>
      </c>
      <c r="I492">
        <f>((D492+E492)/C492)*100</f>
        <v>1.5307467786372542</v>
      </c>
      <c r="J492">
        <f>(D492/C492)*1000</f>
        <v>14.970700128129987</v>
      </c>
      <c r="K492">
        <f>(E492/C492)*1000</f>
        <v>0.33676765824255417</v>
      </c>
      <c r="L492">
        <f>CORREL(C492:C990, D492:D990)</f>
        <v>0.80704067324633888</v>
      </c>
      <c r="M492">
        <f>CORREL(C492:C990,E492:E990)</f>
        <v>7.8421184552228573E-2</v>
      </c>
      <c r="N492">
        <f>LEN(A492)</f>
        <v>48</v>
      </c>
      <c r="O492" t="str">
        <f>IF(ISNUMBER(SEARCH("$",A492)), "Money", IF(ISNUMBER(SEARCH("Win",A492)), "Challenge",IF(ISNUMBER(SEARCH("Challenge",A492)), "Challenge",IF(ISNUMBER(SEARCH("Last To Leave",A492)),"Challenge",IF(ISNUMBER(SEARCH("Giving Away", A492)),"Giveaway",IF(ISNUMBER(SEARCH("Stranded",A492)),"Survival", IF(ISNUMBER(SEARCH("Survive",A492)), "Survival", IF(ISNUMBER(SEARCH("Days",A492)),"Endurance","Other"))))))))</f>
        <v>Other</v>
      </c>
    </row>
    <row r="493" spans="1:15" x14ac:dyDescent="0.3">
      <c r="A493" t="s">
        <v>502</v>
      </c>
      <c r="B493" s="1">
        <v>43364</v>
      </c>
      <c r="C493" s="2">
        <v>153054766</v>
      </c>
      <c r="D493" s="3">
        <v>2296885</v>
      </c>
      <c r="E493" s="3">
        <v>55697</v>
      </c>
      <c r="F493">
        <f>YEAR(B493)</f>
        <v>2018</v>
      </c>
      <c r="G493" t="str">
        <f>TEXT(B493,"MMMM")</f>
        <v>September</v>
      </c>
      <c r="H493" t="str">
        <f>TEXT(B493, "DDDD")</f>
        <v>Friday</v>
      </c>
      <c r="I493">
        <f>((D493+E493)/C493)*100</f>
        <v>1.5370850980230175</v>
      </c>
      <c r="J493">
        <f>(D493/C493)*1000</f>
        <v>15.006948558531004</v>
      </c>
      <c r="K493">
        <f>(E493/C493)*1000</f>
        <v>0.36390242169917142</v>
      </c>
      <c r="L493">
        <f>CORREL(C493:C991, D493:D991)</f>
        <v>0.80701442856624284</v>
      </c>
      <c r="M493">
        <f>CORREL(C493:C991,E493:E991)</f>
        <v>7.8359242669531828E-2</v>
      </c>
      <c r="N493">
        <f>LEN(A493)</f>
        <v>39</v>
      </c>
      <c r="O493" t="str">
        <f>IF(ISNUMBER(SEARCH("$",A493)), "Money", IF(ISNUMBER(SEARCH("Win",A493)), "Challenge",IF(ISNUMBER(SEARCH("Challenge",A493)), "Challenge",IF(ISNUMBER(SEARCH("Last To Leave",A493)),"Challenge",IF(ISNUMBER(SEARCH("Giving Away", A493)),"Giveaway",IF(ISNUMBER(SEARCH("Stranded",A493)),"Survival", IF(ISNUMBER(SEARCH("Survive",A493)), "Survival", IF(ISNUMBER(SEARCH("Days",A493)),"Endurance","Other"))))))))</f>
        <v>Other</v>
      </c>
    </row>
    <row r="494" spans="1:15" x14ac:dyDescent="0.3">
      <c r="A494" t="s">
        <v>503</v>
      </c>
      <c r="B494" s="1">
        <v>43434</v>
      </c>
      <c r="C494" s="2">
        <v>152657782</v>
      </c>
      <c r="D494" s="3">
        <v>2423273</v>
      </c>
      <c r="E494" s="3">
        <v>73190</v>
      </c>
      <c r="F494">
        <f>YEAR(B494)</f>
        <v>2018</v>
      </c>
      <c r="G494" t="str">
        <f>TEXT(B494,"MMMM")</f>
        <v>November</v>
      </c>
      <c r="H494" t="str">
        <f>TEXT(B494, "DDDD")</f>
        <v>Friday</v>
      </c>
      <c r="I494">
        <f>((D494+E494)/C494)*100</f>
        <v>1.6353329435901276</v>
      </c>
      <c r="J494">
        <f>(D494/C494)*1000</f>
        <v>15.873891053912994</v>
      </c>
      <c r="K494">
        <f>(E494/C494)*1000</f>
        <v>0.47943838198828281</v>
      </c>
      <c r="L494">
        <f>CORREL(C494:C992, D494:D992)</f>
        <v>0.80693432550929201</v>
      </c>
      <c r="M494">
        <f>CORREL(C494:C992,E494:E992)</f>
        <v>7.8202565591473344E-2</v>
      </c>
      <c r="N494">
        <f>LEN(A494)</f>
        <v>48</v>
      </c>
      <c r="O494" t="str">
        <f>IF(ISNUMBER(SEARCH("$",A494)), "Money", IF(ISNUMBER(SEARCH("Win",A494)), "Challenge",IF(ISNUMBER(SEARCH("Challenge",A494)), "Challenge",IF(ISNUMBER(SEARCH("Last To Leave",A494)),"Challenge",IF(ISNUMBER(SEARCH("Giving Away", A494)),"Giveaway",IF(ISNUMBER(SEARCH("Stranded",A494)),"Survival", IF(ISNUMBER(SEARCH("Survive",A494)), "Survival", IF(ISNUMBER(SEARCH("Days",A494)),"Endurance","Other"))))))))</f>
        <v>Money</v>
      </c>
    </row>
    <row r="495" spans="1:15" x14ac:dyDescent="0.3">
      <c r="A495" t="s">
        <v>504</v>
      </c>
      <c r="B495" s="1">
        <v>43336</v>
      </c>
      <c r="C495" s="2">
        <v>146254431</v>
      </c>
      <c r="D495" s="3">
        <v>3574582</v>
      </c>
      <c r="E495" s="3">
        <v>105449</v>
      </c>
      <c r="F495">
        <f>YEAR(B495)</f>
        <v>2018</v>
      </c>
      <c r="G495" t="str">
        <f>TEXT(B495,"MMMM")</f>
        <v>August</v>
      </c>
      <c r="H495" t="str">
        <f>TEXT(B495, "DDDD")</f>
        <v>Friday</v>
      </c>
      <c r="I495">
        <f>((D495+E495)/C495)*100</f>
        <v>2.5161842788886171</v>
      </c>
      <c r="J495">
        <f>(D495/C495)*1000</f>
        <v>24.440845829826515</v>
      </c>
      <c r="K495">
        <f>(E495/C495)*1000</f>
        <v>0.72099695905965411</v>
      </c>
      <c r="L495">
        <f>CORREL(C495:C993, D495:D993)</f>
        <v>0.80685386044642393</v>
      </c>
      <c r="M495">
        <f>CORREL(C495:C993,E495:E993)</f>
        <v>7.818113053546473E-2</v>
      </c>
      <c r="N495">
        <f>LEN(A495)</f>
        <v>48</v>
      </c>
      <c r="O495" t="str">
        <f>IF(ISNUMBER(SEARCH("$",A495)), "Money", IF(ISNUMBER(SEARCH("Win",A495)), "Challenge",IF(ISNUMBER(SEARCH("Challenge",A495)), "Challenge",IF(ISNUMBER(SEARCH("Last To Leave",A495)),"Challenge",IF(ISNUMBER(SEARCH("Giving Away", A495)),"Giveaway",IF(ISNUMBER(SEARCH("Stranded",A495)),"Survival", IF(ISNUMBER(SEARCH("Survive",A495)), "Survival", IF(ISNUMBER(SEARCH("Days",A495)),"Endurance","Other"))))))))</f>
        <v>Challenge</v>
      </c>
    </row>
    <row r="496" spans="1:15" x14ac:dyDescent="0.3">
      <c r="A496" t="s">
        <v>505</v>
      </c>
      <c r="B496" s="1">
        <v>43273</v>
      </c>
      <c r="C496" s="2">
        <v>132824269</v>
      </c>
      <c r="D496" s="3">
        <v>2001172</v>
      </c>
      <c r="E496" s="3">
        <v>63712</v>
      </c>
      <c r="F496">
        <f>YEAR(B496)</f>
        <v>2018</v>
      </c>
      <c r="G496" t="str">
        <f>TEXT(B496,"MMMM")</f>
        <v>June</v>
      </c>
      <c r="H496" t="str">
        <f>TEXT(B496, "DDDD")</f>
        <v>Friday</v>
      </c>
      <c r="I496">
        <f>((D496+E496)/C496)*100</f>
        <v>1.5545984295987354</v>
      </c>
      <c r="J496">
        <f>(D496/C496)*1000</f>
        <v>15.066312919064512</v>
      </c>
      <c r="K496">
        <f>(E496/C496)*1000</f>
        <v>0.47967137692284229</v>
      </c>
      <c r="L496">
        <f>CORREL(C496:C994, D496:D994)</f>
        <v>0.80680372485041829</v>
      </c>
      <c r="M496">
        <f>CORREL(C496:C994,E496:E994)</f>
        <v>7.8437353882824662E-2</v>
      </c>
      <c r="N496">
        <f>LEN(A496)</f>
        <v>39</v>
      </c>
      <c r="O496" t="str">
        <f>IF(ISNUMBER(SEARCH("$",A496)), "Money", IF(ISNUMBER(SEARCH("Win",A496)), "Challenge",IF(ISNUMBER(SEARCH("Challenge",A496)), "Challenge",IF(ISNUMBER(SEARCH("Last To Leave",A496)),"Challenge",IF(ISNUMBER(SEARCH("Giving Away", A496)),"Giveaway",IF(ISNUMBER(SEARCH("Stranded",A496)),"Survival", IF(ISNUMBER(SEARCH("Survive",A496)), "Survival", IF(ISNUMBER(SEARCH("Days",A496)),"Endurance","Other"))))))))</f>
        <v>Other</v>
      </c>
    </row>
    <row r="497" spans="1:15" x14ac:dyDescent="0.3">
      <c r="A497" t="s">
        <v>506</v>
      </c>
      <c r="B497" s="1">
        <v>43340</v>
      </c>
      <c r="C497" s="2">
        <v>122547732</v>
      </c>
      <c r="D497" s="3">
        <v>2498615</v>
      </c>
      <c r="E497" s="3">
        <v>66971</v>
      </c>
      <c r="F497">
        <f>YEAR(B497)</f>
        <v>2018</v>
      </c>
      <c r="G497" t="str">
        <f>TEXT(B497,"MMMM")</f>
        <v>August</v>
      </c>
      <c r="H497" t="str">
        <f>TEXT(B497, "DDDD")</f>
        <v>Tuesday</v>
      </c>
      <c r="I497">
        <f>((D497+E497)/C497)*100</f>
        <v>2.0935401725753686</v>
      </c>
      <c r="J497">
        <f>(D497/C497)*1000</f>
        <v>20.388912623858268</v>
      </c>
      <c r="K497">
        <f>(E497/C497)*1000</f>
        <v>0.54648910189541489</v>
      </c>
      <c r="L497">
        <f>CORREL(C497:C995, D497:D995)</f>
        <v>0.80669284739903802</v>
      </c>
      <c r="M497">
        <f>CORREL(C497:C995,E497:E995)</f>
        <v>7.8326993168758074E-2</v>
      </c>
      <c r="N497">
        <f>LEN(A497)</f>
        <v>68</v>
      </c>
      <c r="O497" t="str">
        <f>IF(ISNUMBER(SEARCH("$",A497)), "Money", IF(ISNUMBER(SEARCH("Win",A497)), "Challenge",IF(ISNUMBER(SEARCH("Challenge",A497)), "Challenge",IF(ISNUMBER(SEARCH("Last To Leave",A497)),"Challenge",IF(ISNUMBER(SEARCH("Giving Away", A497)),"Giveaway",IF(ISNUMBER(SEARCH("Stranded",A497)),"Survival", IF(ISNUMBER(SEARCH("Survive",A497)), "Survival", IF(ISNUMBER(SEARCH("Days",A497)),"Endurance","Other"))))))))</f>
        <v>Other</v>
      </c>
    </row>
    <row r="498" spans="1:15" x14ac:dyDescent="0.3">
      <c r="A498" t="s">
        <v>507</v>
      </c>
      <c r="B498" s="1">
        <v>43453</v>
      </c>
      <c r="C498" s="2">
        <v>120274022</v>
      </c>
      <c r="D498" s="3">
        <v>2119787</v>
      </c>
      <c r="E498" s="3">
        <v>73849</v>
      </c>
      <c r="F498">
        <f>YEAR(B498)</f>
        <v>2018</v>
      </c>
      <c r="G498" t="str">
        <f>TEXT(B498,"MMMM")</f>
        <v>December</v>
      </c>
      <c r="H498" t="str">
        <f>TEXT(B498, "DDDD")</f>
        <v>Wednesday</v>
      </c>
      <c r="I498">
        <f>((D498+E498)/C498)*100</f>
        <v>1.8238651734786089</v>
      </c>
      <c r="J498">
        <f>(D498/C498)*1000</f>
        <v>17.624645494934892</v>
      </c>
      <c r="K498">
        <f>(E498/C498)*1000</f>
        <v>0.61400623985119585</v>
      </c>
      <c r="L498">
        <f>CORREL(C498:C996, D498:D996)</f>
        <v>0.80658777215423583</v>
      </c>
      <c r="M498">
        <f>CORREL(C498:C996,E498:E996)</f>
        <v>7.8241861991324824E-2</v>
      </c>
      <c r="N498">
        <f>LEN(A498)</f>
        <v>47</v>
      </c>
      <c r="O498" t="str">
        <f>IF(ISNUMBER(SEARCH("$",A498)), "Money", IF(ISNUMBER(SEARCH("Win",A498)), "Challenge",IF(ISNUMBER(SEARCH("Challenge",A498)), "Challenge",IF(ISNUMBER(SEARCH("Last To Leave",A498)),"Challenge",IF(ISNUMBER(SEARCH("Giving Away", A498)),"Giveaway",IF(ISNUMBER(SEARCH("Stranded",A498)),"Survival", IF(ISNUMBER(SEARCH("Survive",A498)), "Survival", IF(ISNUMBER(SEARCH("Days",A498)),"Endurance","Other"))))))))</f>
        <v>Challenge</v>
      </c>
    </row>
    <row r="499" spans="1:15" x14ac:dyDescent="0.3">
      <c r="A499" t="s">
        <v>508</v>
      </c>
      <c r="B499" s="1">
        <v>43446</v>
      </c>
      <c r="C499" s="2">
        <v>106944598</v>
      </c>
      <c r="D499" s="3">
        <v>2160552</v>
      </c>
      <c r="E499" s="3">
        <v>94349</v>
      </c>
      <c r="F499">
        <f>YEAR(B499)</f>
        <v>2018</v>
      </c>
      <c r="G499" t="str">
        <f>TEXT(B499,"MMMM")</f>
        <v>December</v>
      </c>
      <c r="H499" t="str">
        <f>TEXT(B499, "DDDD")</f>
        <v>Wednesday</v>
      </c>
      <c r="I499">
        <f>((D499+E499)/C499)*100</f>
        <v>2.1084758297001591</v>
      </c>
      <c r="J499">
        <f>(D499/C499)*1000</f>
        <v>20.20253514815213</v>
      </c>
      <c r="K499">
        <f>(E499/C499)*1000</f>
        <v>0.88222314884946318</v>
      </c>
      <c r="L499">
        <f>CORREL(C499:C997, D499:D997)</f>
        <v>0.80646594012576134</v>
      </c>
      <c r="M499">
        <f>CORREL(C499:C997,E499:E997)</f>
        <v>7.822651883801475E-2</v>
      </c>
      <c r="N499">
        <f>LEN(A499)</f>
        <v>48</v>
      </c>
      <c r="O499" t="str">
        <f>IF(ISNUMBER(SEARCH("$",A499)), "Money", IF(ISNUMBER(SEARCH("Win",A499)), "Challenge",IF(ISNUMBER(SEARCH("Challenge",A499)), "Challenge",IF(ISNUMBER(SEARCH("Last To Leave",A499)),"Challenge",IF(ISNUMBER(SEARCH("Giving Away", A499)),"Giveaway",IF(ISNUMBER(SEARCH("Stranded",A499)),"Survival", IF(ISNUMBER(SEARCH("Survive",A499)), "Survival", IF(ISNUMBER(SEARCH("Days",A499)),"Endurance","Other"))))))))</f>
        <v>Money</v>
      </c>
    </row>
    <row r="500" spans="1:15" x14ac:dyDescent="0.3">
      <c r="A500" t="s">
        <v>509</v>
      </c>
      <c r="B500" s="1">
        <v>43441</v>
      </c>
      <c r="C500" s="2">
        <v>103404961</v>
      </c>
      <c r="D500" s="3">
        <v>1887609</v>
      </c>
      <c r="E500" s="3">
        <v>62894</v>
      </c>
      <c r="F500">
        <f>YEAR(B500)</f>
        <v>2018</v>
      </c>
      <c r="G500" t="str">
        <f>TEXT(B500,"MMMM")</f>
        <v>December</v>
      </c>
      <c r="H500" t="str">
        <f>TEXT(B500, "DDDD")</f>
        <v>Friday</v>
      </c>
      <c r="I500">
        <f>((D500+E500)/C500)*100</f>
        <v>1.8862760366013773</v>
      </c>
      <c r="J500">
        <f>(D500/C500)*1000</f>
        <v>18.254530360492087</v>
      </c>
      <c r="K500">
        <f>(E500/C500)*1000</f>
        <v>0.6082300055216886</v>
      </c>
      <c r="L500">
        <f>CORREL(C500:C998, D500:D998)</f>
        <v>0.8063372956787711</v>
      </c>
      <c r="M500">
        <f>CORREL(C500:C998,E500:E998)</f>
        <v>7.8448807444042395E-2</v>
      </c>
      <c r="N500">
        <f>LEN(A500)</f>
        <v>55</v>
      </c>
      <c r="O500" t="str">
        <f>IF(ISNUMBER(SEARCH("$",A500)), "Money", IF(ISNUMBER(SEARCH("Win",A500)), "Challenge",IF(ISNUMBER(SEARCH("Challenge",A500)), "Challenge",IF(ISNUMBER(SEARCH("Last To Leave",A500)),"Challenge",IF(ISNUMBER(SEARCH("Giving Away", A500)),"Giveaway",IF(ISNUMBER(SEARCH("Stranded",A500)),"Survival", IF(ISNUMBER(SEARCH("Survive",A500)), "Survival", IF(ISNUMBER(SEARCH("Days",A500)),"Endurance","Other"))))))))</f>
        <v>Other</v>
      </c>
    </row>
    <row r="501" spans="1:15" x14ac:dyDescent="0.3">
      <c r="A501" t="s">
        <v>510</v>
      </c>
      <c r="B501" s="1">
        <v>43385</v>
      </c>
      <c r="C501" s="2">
        <v>99268434</v>
      </c>
      <c r="D501" s="3">
        <v>1679378</v>
      </c>
      <c r="E501" s="3">
        <v>58872</v>
      </c>
      <c r="F501">
        <f>YEAR(B501)</f>
        <v>2018</v>
      </c>
      <c r="G501" t="str">
        <f>TEXT(B501,"MMMM")</f>
        <v>October</v>
      </c>
      <c r="H501" t="str">
        <f>TEXT(B501, "DDDD")</f>
        <v>Friday</v>
      </c>
      <c r="I501">
        <f>((D501+E501)/C501)*100</f>
        <v>1.751060160775781</v>
      </c>
      <c r="J501">
        <f>(D501/C501)*1000</f>
        <v>16.917542992569018</v>
      </c>
      <c r="K501">
        <f>(E501/C501)*1000</f>
        <v>0.5930586151887921</v>
      </c>
      <c r="L501">
        <f>CORREL(C501:C999, D501:D999)</f>
        <v>0.80619285708338162</v>
      </c>
      <c r="M501">
        <f>CORREL(C501:C999,E501:E999)</f>
        <v>7.8308147299092717E-2</v>
      </c>
      <c r="N501">
        <f>LEN(A501)</f>
        <v>45</v>
      </c>
      <c r="O501" t="str">
        <f>IF(ISNUMBER(SEARCH("$",A501)), "Money", IF(ISNUMBER(SEARCH("Win",A501)), "Challenge",IF(ISNUMBER(SEARCH("Challenge",A501)), "Challenge",IF(ISNUMBER(SEARCH("Last To Leave",A501)),"Challenge",IF(ISNUMBER(SEARCH("Giving Away", A501)),"Giveaway",IF(ISNUMBER(SEARCH("Stranded",A501)),"Survival", IF(ISNUMBER(SEARCH("Survive",A501)), "Survival", IF(ISNUMBER(SEARCH("Days",A501)),"Endurance","Other"))))))))</f>
        <v>Money</v>
      </c>
    </row>
    <row r="502" spans="1:15" x14ac:dyDescent="0.3">
      <c r="A502" t="s">
        <v>511</v>
      </c>
      <c r="B502" s="1">
        <v>43295</v>
      </c>
      <c r="C502" s="2">
        <v>98810884</v>
      </c>
      <c r="D502" s="3">
        <v>2141601</v>
      </c>
      <c r="E502" s="3">
        <v>59212</v>
      </c>
      <c r="F502">
        <f>YEAR(B502)</f>
        <v>2018</v>
      </c>
      <c r="G502" t="str">
        <f>TEXT(B502,"MMMM")</f>
        <v>July</v>
      </c>
      <c r="H502" t="str">
        <f>TEXT(B502, "DDDD")</f>
        <v>Saturday</v>
      </c>
      <c r="I502">
        <f>((D502+E502)/C502)*100</f>
        <v>2.2272981587736833</v>
      </c>
      <c r="J502">
        <f>(D502/C502)*1000</f>
        <v>21.673735860919937</v>
      </c>
      <c r="K502">
        <f>(E502/C502)*1000</f>
        <v>0.59924572681689603</v>
      </c>
      <c r="L502">
        <f>CORREL(C502:C1000, D502:D1000)</f>
        <v>0.80603532958328983</v>
      </c>
      <c r="M502">
        <f>CORREL(C502:C1000,E502:E1000)</f>
        <v>7.8116264506116126E-2</v>
      </c>
      <c r="N502">
        <f>LEN(A502)</f>
        <v>37</v>
      </c>
      <c r="O502" t="str">
        <f>IF(ISNUMBER(SEARCH("$",A502)), "Money", IF(ISNUMBER(SEARCH("Win",A502)), "Challenge",IF(ISNUMBER(SEARCH("Challenge",A502)), "Challenge",IF(ISNUMBER(SEARCH("Last To Leave",A502)),"Challenge",IF(ISNUMBER(SEARCH("Giving Away", A502)),"Giveaway",IF(ISNUMBER(SEARCH("Stranded",A502)),"Survival", IF(ISNUMBER(SEARCH("Survive",A502)), "Survival", IF(ISNUMBER(SEARCH("Days",A502)),"Endurance","Other"))))))))</f>
        <v>Money</v>
      </c>
    </row>
    <row r="503" spans="1:15" x14ac:dyDescent="0.3">
      <c r="A503" t="s">
        <v>512</v>
      </c>
      <c r="B503" s="1">
        <v>43406</v>
      </c>
      <c r="C503" s="2">
        <v>97944535</v>
      </c>
      <c r="D503" s="3">
        <v>1720321</v>
      </c>
      <c r="E503" s="3">
        <v>73488</v>
      </c>
      <c r="F503">
        <f>YEAR(B503)</f>
        <v>2018</v>
      </c>
      <c r="G503" t="str">
        <f>TEXT(B503,"MMMM")</f>
        <v>November</v>
      </c>
      <c r="H503" t="str">
        <f>TEXT(B503, "DDDD")</f>
        <v>Friday</v>
      </c>
      <c r="I503">
        <f>((D503+E503)/C503)*100</f>
        <v>1.8314538937777385</v>
      </c>
      <c r="J503">
        <f>(D503/C503)*1000</f>
        <v>17.564236738680723</v>
      </c>
      <c r="K503">
        <f>(E503/C503)*1000</f>
        <v>0.75030219909666218</v>
      </c>
      <c r="L503">
        <f>CORREL(C503:C1001, D503:D1001)</f>
        <v>0.80590084973893972</v>
      </c>
      <c r="M503">
        <f>CORREL(C503:C1001,E503:E1001)</f>
        <v>7.7927020974368932E-2</v>
      </c>
      <c r="N503">
        <f>LEN(A503)</f>
        <v>47</v>
      </c>
      <c r="O503" t="str">
        <f>IF(ISNUMBER(SEARCH("$",A503)), "Money", IF(ISNUMBER(SEARCH("Win",A503)), "Challenge",IF(ISNUMBER(SEARCH("Challenge",A503)), "Challenge",IF(ISNUMBER(SEARCH("Last To Leave",A503)),"Challenge",IF(ISNUMBER(SEARCH("Giving Away", A503)),"Giveaway",IF(ISNUMBER(SEARCH("Stranded",A503)),"Survival", IF(ISNUMBER(SEARCH("Survive",A503)), "Survival", IF(ISNUMBER(SEARCH("Days",A503)),"Endurance","Other"))))))))</f>
        <v>Challenge</v>
      </c>
    </row>
    <row r="504" spans="1:15" x14ac:dyDescent="0.3">
      <c r="A504" t="s">
        <v>513</v>
      </c>
      <c r="B504" s="1">
        <v>43281</v>
      </c>
      <c r="C504" s="2">
        <v>97908709</v>
      </c>
      <c r="D504" s="3">
        <v>1790587</v>
      </c>
      <c r="E504" s="3">
        <v>53824</v>
      </c>
      <c r="F504">
        <f>YEAR(B504)</f>
        <v>2018</v>
      </c>
      <c r="G504" t="str">
        <f>TEXT(B504,"MMMM")</f>
        <v>June</v>
      </c>
      <c r="H504" t="str">
        <f>TEXT(B504, "DDDD")</f>
        <v>Saturday</v>
      </c>
      <c r="I504">
        <f>((D504+E504)/C504)*100</f>
        <v>1.8838068838186803</v>
      </c>
      <c r="J504">
        <f>(D504/C504)*1000</f>
        <v>18.288332246317331</v>
      </c>
      <c r="K504">
        <f>(E504/C504)*1000</f>
        <v>0.54973659186947299</v>
      </c>
      <c r="L504">
        <f>CORREL(C504:C1002, D504:D1002)</f>
        <v>0.80574250782234458</v>
      </c>
      <c r="M504">
        <f>CORREL(C504:C1002,E504:E1002)</f>
        <v>7.7908547683496823E-2</v>
      </c>
      <c r="N504">
        <f>LEN(A504)</f>
        <v>46</v>
      </c>
      <c r="O504" t="str">
        <f>IF(ISNUMBER(SEARCH("$",A504)), "Money", IF(ISNUMBER(SEARCH("Win",A504)), "Challenge",IF(ISNUMBER(SEARCH("Challenge",A504)), "Challenge",IF(ISNUMBER(SEARCH("Last To Leave",A504)),"Challenge",IF(ISNUMBER(SEARCH("Giving Away", A504)),"Giveaway",IF(ISNUMBER(SEARCH("Stranded",A504)),"Survival", IF(ISNUMBER(SEARCH("Survive",A504)), "Survival", IF(ISNUMBER(SEARCH("Days",A504)),"Endurance","Other"))))))))</f>
        <v>Other</v>
      </c>
    </row>
    <row r="505" spans="1:15" x14ac:dyDescent="0.3">
      <c r="A505" t="s">
        <v>514</v>
      </c>
      <c r="B505" s="1">
        <v>43377</v>
      </c>
      <c r="C505" s="2">
        <v>75789505</v>
      </c>
      <c r="D505" s="3">
        <v>1539111</v>
      </c>
      <c r="E505" s="3">
        <v>47086</v>
      </c>
      <c r="F505">
        <f>YEAR(B505)</f>
        <v>2018</v>
      </c>
      <c r="G505" t="str">
        <f>TEXT(B505,"MMMM")</f>
        <v>October</v>
      </c>
      <c r="H505" t="str">
        <f>TEXT(B505, "DDDD")</f>
        <v>Thursday</v>
      </c>
      <c r="I505">
        <f>((D505+E505)/C505)*100</f>
        <v>2.092897954670637</v>
      </c>
      <c r="J505">
        <f>(D505/C505)*1000</f>
        <v>20.307706192301954</v>
      </c>
      <c r="K505">
        <f>(E505/C505)*1000</f>
        <v>0.62127335440441256</v>
      </c>
      <c r="L505">
        <f>CORREL(C505:C1003, D505:D1003)</f>
        <v>0.80558665675065688</v>
      </c>
      <c r="M505">
        <f>CORREL(C505:C1003,E505:E1003)</f>
        <v>7.765237149599756E-2</v>
      </c>
      <c r="N505">
        <f>LEN(A505)</f>
        <v>44</v>
      </c>
      <c r="O505" t="str">
        <f>IF(ISNUMBER(SEARCH("$",A505)), "Money", IF(ISNUMBER(SEARCH("Win",A505)), "Challenge",IF(ISNUMBER(SEARCH("Challenge",A505)), "Challenge",IF(ISNUMBER(SEARCH("Last To Leave",A505)),"Challenge",IF(ISNUMBER(SEARCH("Giving Away", A505)),"Giveaway",IF(ISNUMBER(SEARCH("Stranded",A505)),"Survival", IF(ISNUMBER(SEARCH("Survive",A505)), "Survival", IF(ISNUMBER(SEARCH("Days",A505)),"Endurance","Other"))))))))</f>
        <v>Money</v>
      </c>
    </row>
    <row r="506" spans="1:15" x14ac:dyDescent="0.3">
      <c r="A506" t="s">
        <v>515</v>
      </c>
      <c r="B506" s="1">
        <v>43274</v>
      </c>
      <c r="C506" s="2">
        <v>75402322</v>
      </c>
      <c r="D506" s="3">
        <v>1642686</v>
      </c>
      <c r="E506" s="3">
        <v>98521</v>
      </c>
      <c r="F506">
        <f>YEAR(B506)</f>
        <v>2018</v>
      </c>
      <c r="G506" t="str">
        <f>TEXT(B506,"MMMM")</f>
        <v>June</v>
      </c>
      <c r="H506" t="str">
        <f>TEXT(B506, "DDDD")</f>
        <v>Saturday</v>
      </c>
      <c r="I506">
        <f>((D506+E506)/C506)*100</f>
        <v>2.3092219892114199</v>
      </c>
      <c r="J506">
        <f>(D506/C506)*1000</f>
        <v>21.785615567647902</v>
      </c>
      <c r="K506">
        <f>(E506/C506)*1000</f>
        <v>1.3066043244662944</v>
      </c>
      <c r="L506">
        <f>CORREL(C506:C1004, D506:D1004)</f>
        <v>0.80540495669509815</v>
      </c>
      <c r="M506">
        <f>CORREL(C506:C1004,E506:E1004)</f>
        <v>7.7273849446850174E-2</v>
      </c>
      <c r="N506">
        <f>LEN(A506)</f>
        <v>38</v>
      </c>
      <c r="O506" t="str">
        <f>IF(ISNUMBER(SEARCH("$",A506)), "Money", IF(ISNUMBER(SEARCH("Win",A506)), "Challenge",IF(ISNUMBER(SEARCH("Challenge",A506)), "Challenge",IF(ISNUMBER(SEARCH("Last To Leave",A506)),"Challenge",IF(ISNUMBER(SEARCH("Giving Away", A506)),"Giveaway",IF(ISNUMBER(SEARCH("Stranded",A506)),"Survival", IF(ISNUMBER(SEARCH("Survive",A506)), "Survival", IF(ISNUMBER(SEARCH("Days",A506)),"Endurance","Other"))))))))</f>
        <v>Other</v>
      </c>
    </row>
    <row r="507" spans="1:15" x14ac:dyDescent="0.3">
      <c r="A507" t="s">
        <v>516</v>
      </c>
      <c r="B507" s="1">
        <v>43349</v>
      </c>
      <c r="C507" s="2">
        <v>70083705</v>
      </c>
      <c r="D507" s="3">
        <v>1136947</v>
      </c>
      <c r="E507" s="3">
        <v>37610</v>
      </c>
      <c r="F507">
        <f>YEAR(B507)</f>
        <v>2018</v>
      </c>
      <c r="G507" t="str">
        <f>TEXT(B507,"MMMM")</f>
        <v>September</v>
      </c>
      <c r="H507" t="str">
        <f>TEXT(B507, "DDDD")</f>
        <v>Thursday</v>
      </c>
      <c r="I507">
        <f>((D507+E507)/C507)*100</f>
        <v>1.675934512879991</v>
      </c>
      <c r="J507">
        <f>(D507/C507)*1000</f>
        <v>16.222701125746703</v>
      </c>
      <c r="K507">
        <f>(E507/C507)*1000</f>
        <v>0.53664400305320625</v>
      </c>
      <c r="L507">
        <f>CORREL(C507:C1005, D507:D1005)</f>
        <v>0.80522926553164687</v>
      </c>
      <c r="M507">
        <f>CORREL(C507:C1005,E507:E1005)</f>
        <v>7.7609543728710734E-2</v>
      </c>
      <c r="N507">
        <f>LEN(A507)</f>
        <v>52</v>
      </c>
      <c r="O507" t="str">
        <f>IF(ISNUMBER(SEARCH("$",A507)), "Money", IF(ISNUMBER(SEARCH("Win",A507)), "Challenge",IF(ISNUMBER(SEARCH("Challenge",A507)), "Challenge",IF(ISNUMBER(SEARCH("Last To Leave",A507)),"Challenge",IF(ISNUMBER(SEARCH("Giving Away", A507)),"Giveaway",IF(ISNUMBER(SEARCH("Stranded",A507)),"Survival", IF(ISNUMBER(SEARCH("Survive",A507)), "Survival", IF(ISNUMBER(SEARCH("Days",A507)),"Endurance","Other"))))))))</f>
        <v>Challenge</v>
      </c>
    </row>
    <row r="508" spans="1:15" x14ac:dyDescent="0.3">
      <c r="A508" t="s">
        <v>517</v>
      </c>
      <c r="B508" s="1">
        <v>43357</v>
      </c>
      <c r="C508" s="2">
        <v>66482814</v>
      </c>
      <c r="D508" s="3">
        <v>1325710</v>
      </c>
      <c r="E508" s="3">
        <v>39661</v>
      </c>
      <c r="F508">
        <f>YEAR(B508)</f>
        <v>2018</v>
      </c>
      <c r="G508" t="str">
        <f>TEXT(B508,"MMMM")</f>
        <v>September</v>
      </c>
      <c r="H508" t="str">
        <f>TEXT(B508, "DDDD")</f>
        <v>Friday</v>
      </c>
      <c r="I508">
        <f>((D508+E508)/C508)*100</f>
        <v>2.0537202291106391</v>
      </c>
      <c r="J508">
        <f>(D508/C508)*1000</f>
        <v>19.940642103386299</v>
      </c>
      <c r="K508">
        <f>(E508/C508)*1000</f>
        <v>0.59656018772009256</v>
      </c>
      <c r="L508">
        <f>CORREL(C508:C1006, D508:D1006)</f>
        <v>0.80501671539909703</v>
      </c>
      <c r="M508">
        <f>CORREL(C508:C1006,E508:E1006)</f>
        <v>7.7086152931136506E-2</v>
      </c>
      <c r="N508">
        <f>LEN(A508)</f>
        <v>51</v>
      </c>
      <c r="O508" t="str">
        <f>IF(ISNUMBER(SEARCH("$",A508)), "Money", IF(ISNUMBER(SEARCH("Win",A508)), "Challenge",IF(ISNUMBER(SEARCH("Challenge",A508)), "Challenge",IF(ISNUMBER(SEARCH("Last To Leave",A508)),"Challenge",IF(ISNUMBER(SEARCH("Giving Away", A508)),"Giveaway",IF(ISNUMBER(SEARCH("Stranded",A508)),"Survival", IF(ISNUMBER(SEARCH("Survive",A508)), "Survival", IF(ISNUMBER(SEARCH("Days",A508)),"Endurance","Other"))))))))</f>
        <v>Money</v>
      </c>
    </row>
    <row r="509" spans="1:15" x14ac:dyDescent="0.3">
      <c r="A509" t="s">
        <v>518</v>
      </c>
      <c r="B509" s="1">
        <v>43436</v>
      </c>
      <c r="C509" s="2">
        <v>65382269</v>
      </c>
      <c r="D509" s="3">
        <v>1033097</v>
      </c>
      <c r="E509" s="3">
        <v>48534</v>
      </c>
      <c r="F509">
        <f>YEAR(B509)</f>
        <v>2018</v>
      </c>
      <c r="G509" t="str">
        <f>TEXT(B509,"MMMM")</f>
        <v>December</v>
      </c>
      <c r="H509" t="str">
        <f>TEXT(B509, "DDDD")</f>
        <v>Sunday</v>
      </c>
      <c r="I509">
        <f>((D509+E509)/C509)*100</f>
        <v>1.654318543151202</v>
      </c>
      <c r="J509">
        <f>(D509/C509)*1000</f>
        <v>15.800874087132092</v>
      </c>
      <c r="K509">
        <f>(E509/C509)*1000</f>
        <v>0.74231134437992663</v>
      </c>
      <c r="L509">
        <f>CORREL(C509:C1007, D509:D1007)</f>
        <v>0.80481363176877807</v>
      </c>
      <c r="M509">
        <f>CORREL(C509:C1007,E509:E1007)</f>
        <v>7.6579993626499684E-2</v>
      </c>
      <c r="N509">
        <f>LEN(A509)</f>
        <v>38</v>
      </c>
      <c r="O509" t="str">
        <f>IF(ISNUMBER(SEARCH("$",A509)), "Money", IF(ISNUMBER(SEARCH("Win",A509)), "Challenge",IF(ISNUMBER(SEARCH("Challenge",A509)), "Challenge",IF(ISNUMBER(SEARCH("Last To Leave",A509)),"Challenge",IF(ISNUMBER(SEARCH("Giving Away", A509)),"Giveaway",IF(ISNUMBER(SEARCH("Stranded",A509)),"Survival", IF(ISNUMBER(SEARCH("Survive",A509)), "Survival", IF(ISNUMBER(SEARCH("Days",A509)),"Endurance","Other"))))))))</f>
        <v>Other</v>
      </c>
    </row>
    <row r="510" spans="1:15" x14ac:dyDescent="0.3">
      <c r="A510" t="s">
        <v>519</v>
      </c>
      <c r="B510" s="1">
        <v>43327</v>
      </c>
      <c r="C510" s="2">
        <v>57165215</v>
      </c>
      <c r="D510" s="3">
        <v>1005545</v>
      </c>
      <c r="E510" s="3">
        <v>32050</v>
      </c>
      <c r="F510">
        <f>YEAR(B510)</f>
        <v>2018</v>
      </c>
      <c r="G510" t="str">
        <f>TEXT(B510,"MMMM")</f>
        <v>August</v>
      </c>
      <c r="H510" t="str">
        <f>TEXT(B510, "DDDD")</f>
        <v>Wednesday</v>
      </c>
      <c r="I510">
        <f>((D510+E510)/C510)*100</f>
        <v>1.8150810768401728</v>
      </c>
      <c r="J510">
        <f>(D510/C510)*1000</f>
        <v>17.590155131927695</v>
      </c>
      <c r="K510">
        <f>(E510/C510)*1000</f>
        <v>0.56065563647403405</v>
      </c>
      <c r="L510">
        <f>CORREL(C510:C1008, D510:D1008)</f>
        <v>0.80458887843394855</v>
      </c>
      <c r="M510">
        <f>CORREL(C510:C1008,E510:E1008)</f>
        <v>7.6196425639333112E-2</v>
      </c>
      <c r="N510">
        <f>LEN(A510)</f>
        <v>50</v>
      </c>
      <c r="O510" t="str">
        <f>IF(ISNUMBER(SEARCH("$",A510)), "Money", IF(ISNUMBER(SEARCH("Win",A510)), "Challenge",IF(ISNUMBER(SEARCH("Challenge",A510)), "Challenge",IF(ISNUMBER(SEARCH("Last To Leave",A510)),"Challenge",IF(ISNUMBER(SEARCH("Giving Away", A510)),"Giveaway",IF(ISNUMBER(SEARCH("Stranded",A510)),"Survival", IF(ISNUMBER(SEARCH("Survive",A510)), "Survival", IF(ISNUMBER(SEARCH("Days",A510)),"Endurance","Other"))))))))</f>
        <v>Money</v>
      </c>
    </row>
    <row r="511" spans="1:15" x14ac:dyDescent="0.3">
      <c r="A511" t="s">
        <v>520</v>
      </c>
      <c r="B511" s="1">
        <v>43260</v>
      </c>
      <c r="C511" s="2">
        <v>55321115</v>
      </c>
      <c r="D511" s="3">
        <v>1222370</v>
      </c>
      <c r="E511" s="3">
        <v>93610</v>
      </c>
      <c r="F511">
        <f>YEAR(B511)</f>
        <v>2018</v>
      </c>
      <c r="G511" t="str">
        <f>TEXT(B511,"MMMM")</f>
        <v>June</v>
      </c>
      <c r="H511" t="str">
        <f>TEXT(B511, "DDDD")</f>
        <v>Saturday</v>
      </c>
      <c r="I511">
        <f>((D511+E511)/C511)*100</f>
        <v>2.3788023795254309</v>
      </c>
      <c r="J511">
        <f>(D511/C511)*1000</f>
        <v>22.095903164641566</v>
      </c>
      <c r="K511">
        <f>(E511/C511)*1000</f>
        <v>1.6921206306127416</v>
      </c>
      <c r="L511">
        <f>CORREL(C511:C1009, D511:D1009)</f>
        <v>0.80435623888405461</v>
      </c>
      <c r="M511">
        <f>CORREL(C511:C1009,E511:E1009)</f>
        <v>7.5548938902530796E-2</v>
      </c>
      <c r="N511">
        <f>LEN(A511)</f>
        <v>48</v>
      </c>
      <c r="O511" t="str">
        <f>IF(ISNUMBER(SEARCH("$",A511)), "Money", IF(ISNUMBER(SEARCH("Win",A511)), "Challenge",IF(ISNUMBER(SEARCH("Challenge",A511)), "Challenge",IF(ISNUMBER(SEARCH("Last To Leave",A511)),"Challenge",IF(ISNUMBER(SEARCH("Giving Away", A511)),"Giveaway",IF(ISNUMBER(SEARCH("Stranded",A511)),"Survival", IF(ISNUMBER(SEARCH("Survive",A511)), "Survival", IF(ISNUMBER(SEARCH("Days",A511)),"Endurance","Other"))))))))</f>
        <v>Other</v>
      </c>
    </row>
    <row r="512" spans="1:15" x14ac:dyDescent="0.3">
      <c r="A512" t="s">
        <v>521</v>
      </c>
      <c r="B512" s="1">
        <v>43176</v>
      </c>
      <c r="C512" s="2">
        <v>54429329</v>
      </c>
      <c r="D512" s="3">
        <v>1400787</v>
      </c>
      <c r="E512" s="3">
        <v>74133</v>
      </c>
      <c r="F512">
        <f>YEAR(B512)</f>
        <v>2018</v>
      </c>
      <c r="G512" t="str">
        <f>TEXT(B512,"MMMM")</f>
        <v>March</v>
      </c>
      <c r="H512" t="str">
        <f>TEXT(B512, "DDDD")</f>
        <v>Saturday</v>
      </c>
      <c r="I512">
        <f>((D512+E512)/C512)*100</f>
        <v>2.7097890550882964</v>
      </c>
      <c r="J512">
        <f>(D512/C512)*1000</f>
        <v>25.73588588608175</v>
      </c>
      <c r="K512">
        <f>(E512/C512)*1000</f>
        <v>1.3620046648012141</v>
      </c>
      <c r="L512">
        <f>CORREL(C512:C1010, D512:D1010)</f>
        <v>0.80413829829434846</v>
      </c>
      <c r="M512">
        <f>CORREL(C512:C1010,E512:E1010)</f>
        <v>7.5847018599542973E-2</v>
      </c>
      <c r="N512">
        <f>LEN(A512)</f>
        <v>36</v>
      </c>
      <c r="O512" t="str">
        <f>IF(ISNUMBER(SEARCH("$",A512)), "Money", IF(ISNUMBER(SEARCH("Win",A512)), "Challenge",IF(ISNUMBER(SEARCH("Challenge",A512)), "Challenge",IF(ISNUMBER(SEARCH("Last To Leave",A512)),"Challenge",IF(ISNUMBER(SEARCH("Giving Away", A512)),"Giveaway",IF(ISNUMBER(SEARCH("Stranded",A512)),"Survival", IF(ISNUMBER(SEARCH("Survive",A512)), "Survival", IF(ISNUMBER(SEARCH("Days",A512)),"Endurance","Other"))))))))</f>
        <v>Other</v>
      </c>
    </row>
    <row r="513" spans="1:15" x14ac:dyDescent="0.3">
      <c r="A513" t="s">
        <v>522</v>
      </c>
      <c r="B513" s="1">
        <v>43317</v>
      </c>
      <c r="C513" s="2">
        <v>53769886</v>
      </c>
      <c r="D513" s="3">
        <v>1112912</v>
      </c>
      <c r="E513" s="3">
        <v>50407</v>
      </c>
      <c r="F513">
        <f>YEAR(B513)</f>
        <v>2018</v>
      </c>
      <c r="G513" t="str">
        <f>TEXT(B513,"MMMM")</f>
        <v>August</v>
      </c>
      <c r="H513" t="str">
        <f>TEXT(B513, "DDDD")</f>
        <v>Sunday</v>
      </c>
      <c r="I513">
        <f>((D513+E513)/C513)*100</f>
        <v>2.1635139788096258</v>
      </c>
      <c r="J513">
        <f>(D513/C513)*1000</f>
        <v>20.697681970164489</v>
      </c>
      <c r="K513">
        <f>(E513/C513)*1000</f>
        <v>0.93745781793176941</v>
      </c>
      <c r="L513">
        <f>CORREL(C513:C1011, D513:D1011)</f>
        <v>0.80393427121001027</v>
      </c>
      <c r="M513">
        <f>CORREL(C513:C1011,E513:E1011)</f>
        <v>7.5838833608480122E-2</v>
      </c>
      <c r="N513">
        <f>LEN(A513)</f>
        <v>47</v>
      </c>
      <c r="O513" t="str">
        <f>IF(ISNUMBER(SEARCH("$",A513)), "Money", IF(ISNUMBER(SEARCH("Win",A513)), "Challenge",IF(ISNUMBER(SEARCH("Challenge",A513)), "Challenge",IF(ISNUMBER(SEARCH("Last To Leave",A513)),"Challenge",IF(ISNUMBER(SEARCH("Giving Away", A513)),"Giveaway",IF(ISNUMBER(SEARCH("Stranded",A513)),"Survival", IF(ISNUMBER(SEARCH("Survive",A513)), "Survival", IF(ISNUMBER(SEARCH("Days",A513)),"Endurance","Other"))))))))</f>
        <v>Money</v>
      </c>
    </row>
    <row r="514" spans="1:15" x14ac:dyDescent="0.3">
      <c r="A514" t="s">
        <v>523</v>
      </c>
      <c r="B514" s="1">
        <v>43148</v>
      </c>
      <c r="C514" s="2">
        <v>47745553</v>
      </c>
      <c r="D514" s="3">
        <v>1301916</v>
      </c>
      <c r="E514" s="3">
        <v>72163</v>
      </c>
      <c r="F514">
        <f>YEAR(B514)</f>
        <v>2018</v>
      </c>
      <c r="G514" t="str">
        <f>TEXT(B514,"MMMM")</f>
        <v>February</v>
      </c>
      <c r="H514" t="str">
        <f>TEXT(B514, "DDDD")</f>
        <v>Saturday</v>
      </c>
      <c r="I514">
        <f>((D514+E514)/C514)*100</f>
        <v>2.8779203793073673</v>
      </c>
      <c r="J514">
        <f>(D514/C514)*1000</f>
        <v>27.267796018615599</v>
      </c>
      <c r="K514">
        <f>(E514/C514)*1000</f>
        <v>1.5114077744580736</v>
      </c>
      <c r="L514">
        <f>CORREL(C514:C1012, D514:D1012)</f>
        <v>0.80370425523723676</v>
      </c>
      <c r="M514">
        <f>CORREL(C514:C1012,E514:E1012)</f>
        <v>7.5458133285797632E-2</v>
      </c>
      <c r="N514">
        <f>LEN(A514)</f>
        <v>40</v>
      </c>
      <c r="O514" t="str">
        <f>IF(ISNUMBER(SEARCH("$",A514)), "Money", IF(ISNUMBER(SEARCH("Win",A514)), "Challenge",IF(ISNUMBER(SEARCH("Challenge",A514)), "Challenge",IF(ISNUMBER(SEARCH("Last To Leave",A514)),"Challenge",IF(ISNUMBER(SEARCH("Giving Away", A514)),"Giveaway",IF(ISNUMBER(SEARCH("Stranded",A514)),"Survival", IF(ISNUMBER(SEARCH("Survive",A514)), "Survival", IF(ISNUMBER(SEARCH("Days",A514)),"Endurance","Other"))))))))</f>
        <v>Money</v>
      </c>
    </row>
    <row r="515" spans="1:15" x14ac:dyDescent="0.3">
      <c r="A515" t="s">
        <v>524</v>
      </c>
      <c r="B515" s="1">
        <v>43450</v>
      </c>
      <c r="C515" s="2">
        <v>47441064</v>
      </c>
      <c r="D515" s="3">
        <v>1723250</v>
      </c>
      <c r="E515" s="3">
        <v>48959</v>
      </c>
      <c r="F515">
        <f>YEAR(B515)</f>
        <v>2018</v>
      </c>
      <c r="G515" t="str">
        <f>TEXT(B515,"MMMM")</f>
        <v>December</v>
      </c>
      <c r="H515" t="str">
        <f>TEXT(B515, "DDDD")</f>
        <v>Sunday</v>
      </c>
      <c r="I515">
        <f>((D515+E515)/C515)*100</f>
        <v>3.7356012925848376</v>
      </c>
      <c r="J515">
        <f>(D515/C515)*1000</f>
        <v>36.324016678883929</v>
      </c>
      <c r="K515">
        <f>(E515/C515)*1000</f>
        <v>1.0319962469644441</v>
      </c>
      <c r="L515">
        <f>CORREL(C515:C1013, D515:D1013)</f>
        <v>0.80348900977127935</v>
      </c>
      <c r="M515">
        <f>CORREL(C515:C1013,E515:E1013)</f>
        <v>7.5418192051288468E-2</v>
      </c>
      <c r="N515">
        <f>LEN(A515)</f>
        <v>28</v>
      </c>
      <c r="O515" t="str">
        <f>IF(ISNUMBER(SEARCH("$",A515)), "Money", IF(ISNUMBER(SEARCH("Win",A515)), "Challenge",IF(ISNUMBER(SEARCH("Challenge",A515)), "Challenge",IF(ISNUMBER(SEARCH("Last To Leave",A515)),"Challenge",IF(ISNUMBER(SEARCH("Giving Away", A515)),"Giveaway",IF(ISNUMBER(SEARCH("Stranded",A515)),"Survival", IF(ISNUMBER(SEARCH("Survive",A515)), "Survival", IF(ISNUMBER(SEARCH("Days",A515)),"Endurance","Other"))))))))</f>
        <v>Money</v>
      </c>
    </row>
    <row r="516" spans="1:15" x14ac:dyDescent="0.3">
      <c r="A516" t="s">
        <v>525</v>
      </c>
      <c r="B516" s="1">
        <v>43396</v>
      </c>
      <c r="C516" s="2">
        <v>46533184</v>
      </c>
      <c r="D516" s="3">
        <v>1206876</v>
      </c>
      <c r="E516" s="3">
        <v>46300</v>
      </c>
      <c r="F516">
        <f>YEAR(B516)</f>
        <v>2018</v>
      </c>
      <c r="G516" t="str">
        <f>TEXT(B516,"MMMM")</f>
        <v>October</v>
      </c>
      <c r="H516" t="str">
        <f>TEXT(B516, "DDDD")</f>
        <v>Tuesday</v>
      </c>
      <c r="I516">
        <f>((D516+E516)/C516)*100</f>
        <v>2.6930802757877048</v>
      </c>
      <c r="J516">
        <f>(D516/C516)*1000</f>
        <v>25.935813891437132</v>
      </c>
      <c r="K516">
        <f>(E516/C516)*1000</f>
        <v>0.99498886643991524</v>
      </c>
      <c r="L516">
        <f>CORREL(C516:C1014, D516:D1014)</f>
        <v>0.80331570248676831</v>
      </c>
      <c r="M516">
        <f>CORREL(C516:C1014,E516:E1014)</f>
        <v>7.500099284878016E-2</v>
      </c>
      <c r="N516">
        <f>LEN(A516)</f>
        <v>35</v>
      </c>
      <c r="O516" t="str">
        <f>IF(ISNUMBER(SEARCH("$",A516)), "Money", IF(ISNUMBER(SEARCH("Win",A516)), "Challenge",IF(ISNUMBER(SEARCH("Challenge",A516)), "Challenge",IF(ISNUMBER(SEARCH("Last To Leave",A516)),"Challenge",IF(ISNUMBER(SEARCH("Giving Away", A516)),"Giveaway",IF(ISNUMBER(SEARCH("Stranded",A516)),"Survival", IF(ISNUMBER(SEARCH("Survive",A516)), "Survival", IF(ISNUMBER(SEARCH("Days",A516)),"Endurance","Other"))))))))</f>
        <v>Money</v>
      </c>
    </row>
    <row r="517" spans="1:15" x14ac:dyDescent="0.3">
      <c r="A517" t="s">
        <v>526</v>
      </c>
      <c r="B517" s="1">
        <v>43314</v>
      </c>
      <c r="C517" s="2">
        <v>45963993</v>
      </c>
      <c r="D517" s="3">
        <v>1209058</v>
      </c>
      <c r="E517" s="3">
        <v>49636</v>
      </c>
      <c r="F517">
        <f>YEAR(B517)</f>
        <v>2018</v>
      </c>
      <c r="G517" t="str">
        <f>TEXT(B517,"MMMM")</f>
        <v>August</v>
      </c>
      <c r="H517" t="str">
        <f>TEXT(B517, "DDDD")</f>
        <v>Thursday</v>
      </c>
      <c r="I517">
        <f>((D517+E517)/C517)*100</f>
        <v>2.7384348439875534</v>
      </c>
      <c r="J517">
        <f>(D517/C517)*1000</f>
        <v>26.304459666939728</v>
      </c>
      <c r="K517">
        <f>(E517/C517)*1000</f>
        <v>1.0798887729358064</v>
      </c>
      <c r="L517">
        <f>CORREL(C517:C1015, D517:D1015)</f>
        <v>0.80308893318499575</v>
      </c>
      <c r="M517">
        <f>CORREL(C517:C1015,E517:E1015)</f>
        <v>7.4536743328910679E-2</v>
      </c>
      <c r="N517">
        <f>LEN(A517)</f>
        <v>33</v>
      </c>
      <c r="O517" t="str">
        <f>IF(ISNUMBER(SEARCH("$",A517)), "Money", IF(ISNUMBER(SEARCH("Win",A517)), "Challenge",IF(ISNUMBER(SEARCH("Challenge",A517)), "Challenge",IF(ISNUMBER(SEARCH("Last To Leave",A517)),"Challenge",IF(ISNUMBER(SEARCH("Giving Away", A517)),"Giveaway",IF(ISNUMBER(SEARCH("Stranded",A517)),"Survival", IF(ISNUMBER(SEARCH("Survive",A517)), "Survival", IF(ISNUMBER(SEARCH("Days",A517)),"Endurance","Other"))))))))</f>
        <v>Other</v>
      </c>
    </row>
    <row r="518" spans="1:15" x14ac:dyDescent="0.3">
      <c r="A518" t="s">
        <v>527</v>
      </c>
      <c r="B518" s="1">
        <v>43113</v>
      </c>
      <c r="C518" s="2">
        <v>45146491</v>
      </c>
      <c r="D518" s="3">
        <v>1116789</v>
      </c>
      <c r="E518" s="3">
        <v>69193</v>
      </c>
      <c r="F518">
        <f>YEAR(B518)</f>
        <v>2018</v>
      </c>
      <c r="G518" t="str">
        <f>TEXT(B518,"MMMM")</f>
        <v>January</v>
      </c>
      <c r="H518" t="str">
        <f>TEXT(B518, "DDDD")</f>
        <v>Saturday</v>
      </c>
      <c r="I518">
        <f>((D518+E518)/C518)*100</f>
        <v>2.6269638541786118</v>
      </c>
      <c r="J518">
        <f>(D518/C518)*1000</f>
        <v>24.737005584775126</v>
      </c>
      <c r="K518">
        <f>(E518/C518)*1000</f>
        <v>1.5326329570109891</v>
      </c>
      <c r="L518">
        <f>CORREL(C518:C1016, D518:D1016)</f>
        <v>0.80286090779210573</v>
      </c>
      <c r="M518">
        <f>CORREL(C518:C1016,E518:E1016)</f>
        <v>7.4123061259290746E-2</v>
      </c>
      <c r="N518">
        <f>LEN(A518)</f>
        <v>44</v>
      </c>
      <c r="O518" t="str">
        <f>IF(ISNUMBER(SEARCH("$",A518)), "Money", IF(ISNUMBER(SEARCH("Win",A518)), "Challenge",IF(ISNUMBER(SEARCH("Challenge",A518)), "Challenge",IF(ISNUMBER(SEARCH("Last To Leave",A518)),"Challenge",IF(ISNUMBER(SEARCH("Giving Away", A518)),"Giveaway",IF(ISNUMBER(SEARCH("Stranded",A518)),"Survival", IF(ISNUMBER(SEARCH("Survive",A518)), "Survival", IF(ISNUMBER(SEARCH("Days",A518)),"Endurance","Other"))))))))</f>
        <v>Other</v>
      </c>
    </row>
    <row r="519" spans="1:15" x14ac:dyDescent="0.3">
      <c r="A519" t="s">
        <v>528</v>
      </c>
      <c r="B519" s="1">
        <v>43421</v>
      </c>
      <c r="C519" s="2">
        <v>45024398</v>
      </c>
      <c r="D519" s="3">
        <v>929929</v>
      </c>
      <c r="E519" s="3">
        <v>54317</v>
      </c>
      <c r="F519">
        <f>YEAR(B519)</f>
        <v>2018</v>
      </c>
      <c r="G519" t="str">
        <f>TEXT(B519,"MMMM")</f>
        <v>November</v>
      </c>
      <c r="H519" t="str">
        <f>TEXT(B519, "DDDD")</f>
        <v>Saturday</v>
      </c>
      <c r="I519">
        <f>((D519+E519)/C519)*100</f>
        <v>2.1860281174664453</v>
      </c>
      <c r="J519">
        <f>(D519/C519)*1000</f>
        <v>20.653890808267999</v>
      </c>
      <c r="K519">
        <f>(E519/C519)*1000</f>
        <v>1.206390366396459</v>
      </c>
      <c r="L519">
        <f>CORREL(C519:C1017, D519:D1017)</f>
        <v>0.80262267439559365</v>
      </c>
      <c r="M519">
        <f>CORREL(C519:C1017,E519:E1017)</f>
        <v>7.4029470641416836E-2</v>
      </c>
      <c r="N519">
        <f>LEN(A519)</f>
        <v>38</v>
      </c>
      <c r="O519" t="str">
        <f>IF(ISNUMBER(SEARCH("$",A519)), "Money", IF(ISNUMBER(SEARCH("Win",A519)), "Challenge",IF(ISNUMBER(SEARCH("Challenge",A519)), "Challenge",IF(ISNUMBER(SEARCH("Last To Leave",A519)),"Challenge",IF(ISNUMBER(SEARCH("Giving Away", A519)),"Giveaway",IF(ISNUMBER(SEARCH("Stranded",A519)),"Survival", IF(ISNUMBER(SEARCH("Survive",A519)), "Survival", IF(ISNUMBER(SEARCH("Days",A519)),"Endurance","Other"))))))))</f>
        <v>Money</v>
      </c>
    </row>
    <row r="520" spans="1:15" x14ac:dyDescent="0.3">
      <c r="A520" t="s">
        <v>529</v>
      </c>
      <c r="B520" s="1">
        <v>43382</v>
      </c>
      <c r="C520" s="2">
        <v>44200113</v>
      </c>
      <c r="D520" s="3">
        <v>933560</v>
      </c>
      <c r="E520" s="3">
        <v>32617</v>
      </c>
      <c r="F520">
        <f>YEAR(B520)</f>
        <v>2018</v>
      </c>
      <c r="G520" t="str">
        <f>TEXT(B520,"MMMM")</f>
        <v>October</v>
      </c>
      <c r="H520" t="str">
        <f>TEXT(B520, "DDDD")</f>
        <v>Tuesday</v>
      </c>
      <c r="I520">
        <f>((D520+E520)/C520)*100</f>
        <v>2.1859152260538339</v>
      </c>
      <c r="J520">
        <f>(D520/C520)*1000</f>
        <v>21.121212970654621</v>
      </c>
      <c r="K520">
        <f>(E520/C520)*1000</f>
        <v>0.73793928988371593</v>
      </c>
      <c r="L520">
        <f>CORREL(C520:C1018, D520:D1018)</f>
        <v>0.80236585968215179</v>
      </c>
      <c r="M520">
        <f>CORREL(C520:C1018,E520:E1018)</f>
        <v>7.3687693600540866E-2</v>
      </c>
      <c r="N520">
        <f>LEN(A520)</f>
        <v>34</v>
      </c>
      <c r="O520" t="str">
        <f>IF(ISNUMBER(SEARCH("$",A520)), "Money", IF(ISNUMBER(SEARCH("Win",A520)), "Challenge",IF(ISNUMBER(SEARCH("Challenge",A520)), "Challenge",IF(ISNUMBER(SEARCH("Last To Leave",A520)),"Challenge",IF(ISNUMBER(SEARCH("Giving Away", A520)),"Giveaway",IF(ISNUMBER(SEARCH("Stranded",A520)),"Survival", IF(ISNUMBER(SEARCH("Survive",A520)), "Survival", IF(ISNUMBER(SEARCH("Days",A520)),"Endurance","Other"))))))))</f>
        <v>Other</v>
      </c>
    </row>
    <row r="521" spans="1:15" x14ac:dyDescent="0.3">
      <c r="A521" t="s">
        <v>530</v>
      </c>
      <c r="B521" s="1">
        <v>43428</v>
      </c>
      <c r="C521" s="2">
        <v>43992732</v>
      </c>
      <c r="D521" s="3">
        <v>1127878</v>
      </c>
      <c r="E521" s="3">
        <v>67651</v>
      </c>
      <c r="F521">
        <f>YEAR(B521)</f>
        <v>2018</v>
      </c>
      <c r="G521" t="str">
        <f>TEXT(B521,"MMMM")</f>
        <v>November</v>
      </c>
      <c r="H521" t="str">
        <f>TEXT(B521, "DDDD")</f>
        <v>Saturday</v>
      </c>
      <c r="I521">
        <f>((D521+E521)/C521)*100</f>
        <v>2.7175602551803331</v>
      </c>
      <c r="J521">
        <f>(D521/C521)*1000</f>
        <v>25.637825811772725</v>
      </c>
      <c r="K521">
        <f>(E521/C521)*1000</f>
        <v>1.5377767400306033</v>
      </c>
      <c r="L521">
        <f>CORREL(C521:C1019, D521:D1019)</f>
        <v>0.8021074037934508</v>
      </c>
      <c r="M521">
        <f>CORREL(C521:C1019,E521:E1019)</f>
        <v>7.2984009858197627E-2</v>
      </c>
      <c r="N521">
        <f>LEN(A521)</f>
        <v>49</v>
      </c>
      <c r="O521" t="str">
        <f>IF(ISNUMBER(SEARCH("$",A521)), "Money", IF(ISNUMBER(SEARCH("Win",A521)), "Challenge",IF(ISNUMBER(SEARCH("Challenge",A521)), "Challenge",IF(ISNUMBER(SEARCH("Last To Leave",A521)),"Challenge",IF(ISNUMBER(SEARCH("Giving Away", A521)),"Giveaway",IF(ISNUMBER(SEARCH("Stranded",A521)),"Survival", IF(ISNUMBER(SEARCH("Survive",A521)), "Survival", IF(ISNUMBER(SEARCH("Days",A521)),"Endurance","Other"))))))))</f>
        <v>Other</v>
      </c>
    </row>
    <row r="522" spans="1:15" x14ac:dyDescent="0.3">
      <c r="A522" t="s">
        <v>531</v>
      </c>
      <c r="B522" s="1">
        <v>43354</v>
      </c>
      <c r="C522" s="2">
        <v>43731563</v>
      </c>
      <c r="D522" s="3">
        <v>714838</v>
      </c>
      <c r="E522" s="3">
        <v>18754</v>
      </c>
      <c r="F522">
        <f>YEAR(B522)</f>
        <v>2018</v>
      </c>
      <c r="G522" t="str">
        <f>TEXT(B522,"MMMM")</f>
        <v>September</v>
      </c>
      <c r="H522" t="str">
        <f>TEXT(B522, "DDDD")</f>
        <v>Tuesday</v>
      </c>
      <c r="I522">
        <f>((D522+E522)/C522)*100</f>
        <v>1.6774886367541906</v>
      </c>
      <c r="J522">
        <f>(D522/C522)*1000</f>
        <v>16.346042788363178</v>
      </c>
      <c r="K522">
        <f>(E522/C522)*1000</f>
        <v>0.42884357917872729</v>
      </c>
      <c r="L522">
        <f>CORREL(C522:C1020, D522:D1020)</f>
        <v>0.80186521019227797</v>
      </c>
      <c r="M522">
        <f>CORREL(C522:C1020,E522:E1020)</f>
        <v>7.2860004728301897E-2</v>
      </c>
      <c r="N522">
        <f>LEN(A522)</f>
        <v>29</v>
      </c>
      <c r="O522" t="str">
        <f>IF(ISNUMBER(SEARCH("$",A522)), "Money", IF(ISNUMBER(SEARCH("Win",A522)), "Challenge",IF(ISNUMBER(SEARCH("Challenge",A522)), "Challenge",IF(ISNUMBER(SEARCH("Last To Leave",A522)),"Challenge",IF(ISNUMBER(SEARCH("Giving Away", A522)),"Giveaway",IF(ISNUMBER(SEARCH("Stranded",A522)),"Survival", IF(ISNUMBER(SEARCH("Survive",A522)), "Survival", IF(ISNUMBER(SEARCH("Days",A522)),"Endurance","Other"))))))))</f>
        <v>Other</v>
      </c>
    </row>
    <row r="523" spans="1:15" x14ac:dyDescent="0.3">
      <c r="A523" t="s">
        <v>532</v>
      </c>
      <c r="B523" s="1">
        <v>43224</v>
      </c>
      <c r="C523" s="2">
        <v>41397174</v>
      </c>
      <c r="D523" s="3">
        <v>759470</v>
      </c>
      <c r="E523" s="3">
        <v>26524</v>
      </c>
      <c r="F523">
        <f>YEAR(B523)</f>
        <v>2018</v>
      </c>
      <c r="G523" t="str">
        <f>TEXT(B523,"MMMM")</f>
        <v>May</v>
      </c>
      <c r="H523" t="str">
        <f>TEXT(B523, "DDDD")</f>
        <v>Friday</v>
      </c>
      <c r="I523">
        <f>((D523+E523)/C523)*100</f>
        <v>1.8986658364650688</v>
      </c>
      <c r="J523">
        <f>(D523/C523)*1000</f>
        <v>18.345938300039514</v>
      </c>
      <c r="K523">
        <f>(E523/C523)*1000</f>
        <v>0.6407200646111737</v>
      </c>
      <c r="L523">
        <f>CORREL(C523:C1021, D523:D1021)</f>
        <v>0.801584116836215</v>
      </c>
      <c r="M523">
        <f>CORREL(C523:C1021,E523:E1021)</f>
        <v>7.1919745776640079E-2</v>
      </c>
      <c r="N523">
        <f>LEN(A523)</f>
        <v>50</v>
      </c>
      <c r="O523" t="str">
        <f>IF(ISNUMBER(SEARCH("$",A523)), "Money", IF(ISNUMBER(SEARCH("Win",A523)), "Challenge",IF(ISNUMBER(SEARCH("Challenge",A523)), "Challenge",IF(ISNUMBER(SEARCH("Last To Leave",A523)),"Challenge",IF(ISNUMBER(SEARCH("Giving Away", A523)),"Giveaway",IF(ISNUMBER(SEARCH("Stranded",A523)),"Survival", IF(ISNUMBER(SEARCH("Survive",A523)), "Survival", IF(ISNUMBER(SEARCH("Days",A523)),"Endurance","Other"))))))))</f>
        <v>Other</v>
      </c>
    </row>
    <row r="524" spans="1:15" x14ac:dyDescent="0.3">
      <c r="A524" t="s">
        <v>533</v>
      </c>
      <c r="B524" s="1">
        <v>43203</v>
      </c>
      <c r="C524" s="2">
        <v>39362064</v>
      </c>
      <c r="D524" s="3">
        <v>626294</v>
      </c>
      <c r="E524" s="3">
        <v>35442</v>
      </c>
      <c r="F524">
        <f>YEAR(B524)</f>
        <v>2018</v>
      </c>
      <c r="G524" t="str">
        <f>TEXT(B524,"MMMM")</f>
        <v>April</v>
      </c>
      <c r="H524" t="str">
        <f>TEXT(B524, "DDDD")</f>
        <v>Friday</v>
      </c>
      <c r="I524">
        <f>((D524+E524)/C524)*100</f>
        <v>1.6811516794444519</v>
      </c>
      <c r="J524">
        <f>(D524/C524)*1000</f>
        <v>15.911106693998569</v>
      </c>
      <c r="K524">
        <f>(E524/C524)*1000</f>
        <v>0.90041010044595227</v>
      </c>
      <c r="L524">
        <f>CORREL(C524:C1022, D524:D1022)</f>
        <v>0.80130389126932378</v>
      </c>
      <c r="M524">
        <f>CORREL(C524:C1022,E524:E1022)</f>
        <v>7.1093516445123656E-2</v>
      </c>
      <c r="N524">
        <f>LEN(A524)</f>
        <v>60</v>
      </c>
      <c r="O524" t="str">
        <f>IF(ISNUMBER(SEARCH("$",A524)), "Money", IF(ISNUMBER(SEARCH("Win",A524)), "Challenge",IF(ISNUMBER(SEARCH("Challenge",A524)), "Challenge",IF(ISNUMBER(SEARCH("Last To Leave",A524)),"Challenge",IF(ISNUMBER(SEARCH("Giving Away", A524)),"Giveaway",IF(ISNUMBER(SEARCH("Stranded",A524)),"Survival", IF(ISNUMBER(SEARCH("Survive",A524)), "Survival", IF(ISNUMBER(SEARCH("Days",A524)),"Endurance","Other"))))))))</f>
        <v>Other</v>
      </c>
    </row>
    <row r="525" spans="1:15" x14ac:dyDescent="0.3">
      <c r="A525" t="s">
        <v>534</v>
      </c>
      <c r="B525" s="1">
        <v>43399</v>
      </c>
      <c r="C525" s="2">
        <v>38878445</v>
      </c>
      <c r="D525" s="3">
        <v>1310426</v>
      </c>
      <c r="E525" s="3">
        <v>104839</v>
      </c>
      <c r="F525">
        <f>YEAR(B525)</f>
        <v>2018</v>
      </c>
      <c r="G525" t="str">
        <f>TEXT(B525,"MMMM")</f>
        <v>October</v>
      </c>
      <c r="H525" t="str">
        <f>TEXT(B525, "DDDD")</f>
        <v>Friday</v>
      </c>
      <c r="I525">
        <f>((D525+E525)/C525)*100</f>
        <v>3.6402304670364263</v>
      </c>
      <c r="J525">
        <f>(D525/C525)*1000</f>
        <v>33.70572048341954</v>
      </c>
      <c r="K525">
        <f>(E525/C525)*1000</f>
        <v>2.6965841869447198</v>
      </c>
      <c r="L525">
        <f>CORREL(C525:C1023, D525:D1023)</f>
        <v>0.80100921171353912</v>
      </c>
      <c r="M525">
        <f>CORREL(C525:C1023,E525:E1023)</f>
        <v>7.0406446338148104E-2</v>
      </c>
      <c r="N525">
        <f>LEN(A525)</f>
        <v>44</v>
      </c>
      <c r="O525" t="str">
        <f>IF(ISNUMBER(SEARCH("$",A525)), "Money", IF(ISNUMBER(SEARCH("Win",A525)), "Challenge",IF(ISNUMBER(SEARCH("Challenge",A525)), "Challenge",IF(ISNUMBER(SEARCH("Last To Leave",A525)),"Challenge",IF(ISNUMBER(SEARCH("Giving Away", A525)),"Giveaway",IF(ISNUMBER(SEARCH("Stranded",A525)),"Survival", IF(ISNUMBER(SEARCH("Survive",A525)), "Survival", IF(ISNUMBER(SEARCH("Days",A525)),"Endurance","Other"))))))))</f>
        <v>Other</v>
      </c>
    </row>
    <row r="526" spans="1:15" x14ac:dyDescent="0.3">
      <c r="A526" t="s">
        <v>535</v>
      </c>
      <c r="B526" s="1">
        <v>43144</v>
      </c>
      <c r="C526" s="2">
        <v>37764441</v>
      </c>
      <c r="D526" s="3">
        <v>1075025</v>
      </c>
      <c r="E526" s="3">
        <v>35021</v>
      </c>
      <c r="F526">
        <f>YEAR(B526)</f>
        <v>2018</v>
      </c>
      <c r="G526" t="str">
        <f>TEXT(B526,"MMMM")</f>
        <v>February</v>
      </c>
      <c r="H526" t="str">
        <f>TEXT(B526, "DDDD")</f>
        <v>Tuesday</v>
      </c>
      <c r="I526">
        <f>((D526+E526)/C526)*100</f>
        <v>2.9393947602719712</v>
      </c>
      <c r="J526">
        <f>(D526/C526)*1000</f>
        <v>28.466593746217505</v>
      </c>
      <c r="K526">
        <f>(E526/C526)*1000</f>
        <v>0.92735385650220536</v>
      </c>
      <c r="L526">
        <f>CORREL(C526:C1024, D526:D1024)</f>
        <v>0.80077979481311257</v>
      </c>
      <c r="M526">
        <f>CORREL(C526:C1024,E526:E1024)</f>
        <v>7.0931060352213748E-2</v>
      </c>
      <c r="N526">
        <f>LEN(A526)</f>
        <v>45</v>
      </c>
      <c r="O526" t="str">
        <f>IF(ISNUMBER(SEARCH("$",A526)), "Money", IF(ISNUMBER(SEARCH("Win",A526)), "Challenge",IF(ISNUMBER(SEARCH("Challenge",A526)), "Challenge",IF(ISNUMBER(SEARCH("Last To Leave",A526)),"Challenge",IF(ISNUMBER(SEARCH("Giving Away", A526)),"Giveaway",IF(ISNUMBER(SEARCH("Stranded",A526)),"Survival", IF(ISNUMBER(SEARCH("Survive",A526)), "Survival", IF(ISNUMBER(SEARCH("Days",A526)),"Endurance","Other"))))))))</f>
        <v>Money</v>
      </c>
    </row>
    <row r="527" spans="1:15" x14ac:dyDescent="0.3">
      <c r="A527" t="s">
        <v>536</v>
      </c>
      <c r="B527" s="1">
        <v>43308</v>
      </c>
      <c r="C527" s="2">
        <v>37483476</v>
      </c>
      <c r="D527" s="3">
        <v>620884</v>
      </c>
      <c r="E527" s="3">
        <v>17382</v>
      </c>
      <c r="F527">
        <f>YEAR(B527)</f>
        <v>2018</v>
      </c>
      <c r="G527" t="str">
        <f>TEXT(B527,"MMMM")</f>
        <v>July</v>
      </c>
      <c r="H527" t="str">
        <f>TEXT(B527, "DDDD")</f>
        <v>Friday</v>
      </c>
      <c r="I527">
        <f>((D527+E527)/C527)*100</f>
        <v>1.702792985367739</v>
      </c>
      <c r="J527">
        <f>(D527/C527)*1000</f>
        <v>16.564205518186199</v>
      </c>
      <c r="K527">
        <f>(E527/C527)*1000</f>
        <v>0.4637243354911908</v>
      </c>
      <c r="L527">
        <f>CORREL(C527:C1025, D527:D1025)</f>
        <v>0.80052378431112281</v>
      </c>
      <c r="M527">
        <f>CORREL(C527:C1025,E527:E1025)</f>
        <v>7.0227470565493444E-2</v>
      </c>
      <c r="N527">
        <f>LEN(A527)</f>
        <v>37</v>
      </c>
      <c r="O527" t="str">
        <f>IF(ISNUMBER(SEARCH("$",A527)), "Money", IF(ISNUMBER(SEARCH("Win",A527)), "Challenge",IF(ISNUMBER(SEARCH("Challenge",A527)), "Challenge",IF(ISNUMBER(SEARCH("Last To Leave",A527)),"Challenge",IF(ISNUMBER(SEARCH("Giving Away", A527)),"Giveaway",IF(ISNUMBER(SEARCH("Stranded",A527)),"Survival", IF(ISNUMBER(SEARCH("Survive",A527)), "Survival", IF(ISNUMBER(SEARCH("Days",A527)),"Endurance","Other"))))))))</f>
        <v>Other</v>
      </c>
    </row>
    <row r="528" spans="1:15" x14ac:dyDescent="0.3">
      <c r="A528" t="s">
        <v>537</v>
      </c>
      <c r="B528" s="1">
        <v>43362</v>
      </c>
      <c r="C528" s="2">
        <v>37458894</v>
      </c>
      <c r="D528" s="3">
        <v>583966</v>
      </c>
      <c r="E528" s="3">
        <v>18291</v>
      </c>
      <c r="F528">
        <f>YEAR(B528)</f>
        <v>2018</v>
      </c>
      <c r="G528" t="str">
        <f>TEXT(B528,"MMMM")</f>
        <v>September</v>
      </c>
      <c r="H528" t="str">
        <f>TEXT(B528, "DDDD")</f>
        <v>Wednesday</v>
      </c>
      <c r="I528">
        <f>((D528+E528)/C528)*100</f>
        <v>1.6077810519445661</v>
      </c>
      <c r="J528">
        <f>(D528/C528)*1000</f>
        <v>15.589515269724728</v>
      </c>
      <c r="K528">
        <f>(E528/C528)*1000</f>
        <v>0.48829524972093408</v>
      </c>
      <c r="L528">
        <f>CORREL(C528:C1026, D528:D1026)</f>
        <v>0.80022177098415592</v>
      </c>
      <c r="M528">
        <f>CORREL(C528:C1026,E528:E1026)</f>
        <v>6.9214350471152944E-2</v>
      </c>
      <c r="N528">
        <f>LEN(A528)</f>
        <v>55</v>
      </c>
      <c r="O528" t="str">
        <f>IF(ISNUMBER(SEARCH("$",A528)), "Money", IF(ISNUMBER(SEARCH("Win",A528)), "Challenge",IF(ISNUMBER(SEARCH("Challenge",A528)), "Challenge",IF(ISNUMBER(SEARCH("Last To Leave",A528)),"Challenge",IF(ISNUMBER(SEARCH("Giving Away", A528)),"Giveaway",IF(ISNUMBER(SEARCH("Stranded",A528)),"Survival", IF(ISNUMBER(SEARCH("Survive",A528)), "Survival", IF(ISNUMBER(SEARCH("Days",A528)),"Endurance","Other"))))))))</f>
        <v>Other</v>
      </c>
    </row>
    <row r="529" spans="1:15" x14ac:dyDescent="0.3">
      <c r="A529" t="s">
        <v>538</v>
      </c>
      <c r="B529" s="1">
        <v>43242</v>
      </c>
      <c r="C529" s="2">
        <v>37444874</v>
      </c>
      <c r="D529" s="3">
        <v>910197</v>
      </c>
      <c r="E529" s="3">
        <v>43961</v>
      </c>
      <c r="F529">
        <f>YEAR(B529)</f>
        <v>2018</v>
      </c>
      <c r="G529" t="str">
        <f>TEXT(B529,"MMMM")</f>
        <v>May</v>
      </c>
      <c r="H529" t="str">
        <f>TEXT(B529, "DDDD")</f>
        <v>Tuesday</v>
      </c>
      <c r="I529">
        <f>((D529+E529)/C529)*100</f>
        <v>2.548167207078865</v>
      </c>
      <c r="J529">
        <f>(D529/C529)*1000</f>
        <v>24.307652897964083</v>
      </c>
      <c r="K529">
        <f>(E529/C529)*1000</f>
        <v>1.1740191728245633</v>
      </c>
      <c r="L529">
        <f>CORREL(C529:C1027, D529:D1027)</f>
        <v>0.79991419509489425</v>
      </c>
      <c r="M529">
        <f>CORREL(C529:C1027,E529:E1027)</f>
        <v>6.8209830194834578E-2</v>
      </c>
      <c r="N529">
        <f>LEN(A529)</f>
        <v>50</v>
      </c>
      <c r="O529" t="str">
        <f>IF(ISNUMBER(SEARCH("$",A529)), "Money", IF(ISNUMBER(SEARCH("Win",A529)), "Challenge",IF(ISNUMBER(SEARCH("Challenge",A529)), "Challenge",IF(ISNUMBER(SEARCH("Last To Leave",A529)),"Challenge",IF(ISNUMBER(SEARCH("Giving Away", A529)),"Giveaway",IF(ISNUMBER(SEARCH("Stranded",A529)),"Survival", IF(ISNUMBER(SEARCH("Survive",A529)), "Survival", IF(ISNUMBER(SEARCH("Days",A529)),"Endurance","Other"))))))))</f>
        <v>Other</v>
      </c>
    </row>
    <row r="530" spans="1:15" x14ac:dyDescent="0.3">
      <c r="A530" t="s">
        <v>539</v>
      </c>
      <c r="B530" s="1">
        <v>43152</v>
      </c>
      <c r="C530" s="2">
        <v>36816454</v>
      </c>
      <c r="D530" s="3">
        <v>857109</v>
      </c>
      <c r="E530" s="3">
        <v>38260</v>
      </c>
      <c r="F530">
        <f>YEAR(B530)</f>
        <v>2018</v>
      </c>
      <c r="G530" t="str">
        <f>TEXT(B530,"MMMM")</f>
        <v>February</v>
      </c>
      <c r="H530" t="str">
        <f>TEXT(B530, "DDDD")</f>
        <v>Wednesday</v>
      </c>
      <c r="I530">
        <f>((D530+E530)/C530)*100</f>
        <v>2.4319805486970583</v>
      </c>
      <c r="J530">
        <f>(D530/C530)*1000</f>
        <v>23.280596224720611</v>
      </c>
      <c r="K530">
        <f>(E530/C530)*1000</f>
        <v>1.0392092622499711</v>
      </c>
      <c r="L530">
        <f>CORREL(C530:C1028, D530:D1028)</f>
        <v>0.7996353037715056</v>
      </c>
      <c r="M530">
        <f>CORREL(C530:C1028,E530:E1028)</f>
        <v>6.7646075460468358E-2</v>
      </c>
      <c r="N530">
        <f>LEN(A530)</f>
        <v>56</v>
      </c>
      <c r="O530" t="str">
        <f>IF(ISNUMBER(SEARCH("$",A530)), "Money", IF(ISNUMBER(SEARCH("Win",A530)), "Challenge",IF(ISNUMBER(SEARCH("Challenge",A530)), "Challenge",IF(ISNUMBER(SEARCH("Last To Leave",A530)),"Challenge",IF(ISNUMBER(SEARCH("Giving Away", A530)),"Giveaway",IF(ISNUMBER(SEARCH("Stranded",A530)),"Survival", IF(ISNUMBER(SEARCH("Survive",A530)), "Survival", IF(ISNUMBER(SEARCH("Days",A530)),"Endurance","Other"))))))))</f>
        <v>Money</v>
      </c>
    </row>
    <row r="531" spans="1:15" x14ac:dyDescent="0.3">
      <c r="A531" t="s">
        <v>540</v>
      </c>
      <c r="B531" s="1">
        <v>43401</v>
      </c>
      <c r="C531" s="2">
        <v>36328287</v>
      </c>
      <c r="D531" s="3">
        <v>972061</v>
      </c>
      <c r="E531" s="3">
        <v>35213</v>
      </c>
      <c r="F531">
        <f>YEAR(B531)</f>
        <v>2018</v>
      </c>
      <c r="G531" t="str">
        <f>TEXT(B531,"MMMM")</f>
        <v>October</v>
      </c>
      <c r="H531" t="str">
        <f>TEXT(B531, "DDDD")</f>
        <v>Sunday</v>
      </c>
      <c r="I531">
        <f>((D531+E531)/C531)*100</f>
        <v>2.7726988613583679</v>
      </c>
      <c r="J531">
        <f>(D531/C531)*1000</f>
        <v>26.757688850013764</v>
      </c>
      <c r="K531">
        <f>(E531/C531)*1000</f>
        <v>0.96929976356991454</v>
      </c>
      <c r="L531">
        <f>CORREL(C531:C1029, D531:D1029)</f>
        <v>0.79934900558177968</v>
      </c>
      <c r="M531">
        <f>CORREL(C531:C1029,E531:E1029)</f>
        <v>6.6976668867277184E-2</v>
      </c>
      <c r="N531">
        <f>LEN(A531)</f>
        <v>41</v>
      </c>
      <c r="O531" t="str">
        <f>IF(ISNUMBER(SEARCH("$",A531)), "Money", IF(ISNUMBER(SEARCH("Win",A531)), "Challenge",IF(ISNUMBER(SEARCH("Challenge",A531)), "Challenge",IF(ISNUMBER(SEARCH("Last To Leave",A531)),"Challenge",IF(ISNUMBER(SEARCH("Giving Away", A531)),"Giveaway",IF(ISNUMBER(SEARCH("Stranded",A531)),"Survival", IF(ISNUMBER(SEARCH("Survive",A531)), "Survival", IF(ISNUMBER(SEARCH("Days",A531)),"Endurance","Other"))))))))</f>
        <v>Money</v>
      </c>
    </row>
    <row r="532" spans="1:15" x14ac:dyDescent="0.3">
      <c r="A532" t="s">
        <v>541</v>
      </c>
      <c r="B532" s="1">
        <v>43181</v>
      </c>
      <c r="C532" s="2">
        <v>33872154</v>
      </c>
      <c r="D532" s="3">
        <v>894472</v>
      </c>
      <c r="E532" s="3">
        <v>44156</v>
      </c>
      <c r="F532">
        <f>YEAR(B532)</f>
        <v>2018</v>
      </c>
      <c r="G532" t="str">
        <f>TEXT(B532,"MMMM")</f>
        <v>March</v>
      </c>
      <c r="H532" t="str">
        <f>TEXT(B532, "DDDD")</f>
        <v>Thursday</v>
      </c>
      <c r="I532">
        <f>((D532+E532)/C532)*100</f>
        <v>2.7710903770690227</v>
      </c>
      <c r="J532">
        <f>(D532/C532)*1000</f>
        <v>26.407296093422342</v>
      </c>
      <c r="K532">
        <f>(E532/C532)*1000</f>
        <v>1.303607677267882</v>
      </c>
      <c r="L532">
        <f>CORREL(C532:C1030, D532:D1030)</f>
        <v>0.7990724129276312</v>
      </c>
      <c r="M532">
        <f>CORREL(C532:C1030,E532:E1030)</f>
        <v>6.6247651045734976E-2</v>
      </c>
      <c r="N532">
        <f>LEN(A532)</f>
        <v>45</v>
      </c>
      <c r="O532" t="str">
        <f>IF(ISNUMBER(SEARCH("$",A532)), "Money", IF(ISNUMBER(SEARCH("Win",A532)), "Challenge",IF(ISNUMBER(SEARCH("Challenge",A532)), "Challenge",IF(ISNUMBER(SEARCH("Last To Leave",A532)),"Challenge",IF(ISNUMBER(SEARCH("Giving Away", A532)),"Giveaway",IF(ISNUMBER(SEARCH("Stranded",A532)),"Survival", IF(ISNUMBER(SEARCH("Survive",A532)), "Survival", IF(ISNUMBER(SEARCH("Days",A532)),"Endurance","Other"))))))))</f>
        <v>Other</v>
      </c>
    </row>
    <row r="533" spans="1:15" x14ac:dyDescent="0.3">
      <c r="A533" t="s">
        <v>542</v>
      </c>
      <c r="B533" s="1">
        <v>43128</v>
      </c>
      <c r="C533" s="2">
        <v>32937569</v>
      </c>
      <c r="D533" s="3">
        <v>1050913</v>
      </c>
      <c r="E533" s="3">
        <v>54275</v>
      </c>
      <c r="F533">
        <f>YEAR(B533)</f>
        <v>2018</v>
      </c>
      <c r="G533" t="str">
        <f>TEXT(B533,"MMMM")</f>
        <v>January</v>
      </c>
      <c r="H533" t="str">
        <f>TEXT(B533, "DDDD")</f>
        <v>Sunday</v>
      </c>
      <c r="I533">
        <f>((D533+E533)/C533)*100</f>
        <v>3.3554024585117381</v>
      </c>
      <c r="J533">
        <f>(D533/C533)*1000</f>
        <v>31.906210200273129</v>
      </c>
      <c r="K533">
        <f>(E533/C533)*1000</f>
        <v>1.6478143848442488</v>
      </c>
      <c r="L533">
        <f>CORREL(C533:C1031, D533:D1031)</f>
        <v>0.79878568245017501</v>
      </c>
      <c r="M533">
        <f>CORREL(C533:C1031,E533:E1031)</f>
        <v>6.5667815590046016E-2</v>
      </c>
      <c r="N533">
        <f>LEN(A533)</f>
        <v>60</v>
      </c>
      <c r="O533" t="str">
        <f>IF(ISNUMBER(SEARCH("$",A533)), "Money", IF(ISNUMBER(SEARCH("Win",A533)), "Challenge",IF(ISNUMBER(SEARCH("Challenge",A533)), "Challenge",IF(ISNUMBER(SEARCH("Last To Leave",A533)),"Challenge",IF(ISNUMBER(SEARCH("Giving Away", A533)),"Giveaway",IF(ISNUMBER(SEARCH("Stranded",A533)),"Survival", IF(ISNUMBER(SEARCH("Survive",A533)), "Survival", IF(ISNUMBER(SEARCH("Days",A533)),"Endurance","Other"))))))))</f>
        <v>Money</v>
      </c>
    </row>
    <row r="534" spans="1:15" x14ac:dyDescent="0.3">
      <c r="A534" t="s">
        <v>543</v>
      </c>
      <c r="B534" s="1">
        <v>43213</v>
      </c>
      <c r="C534" s="2">
        <v>32857901</v>
      </c>
      <c r="D534" s="3">
        <v>650873</v>
      </c>
      <c r="E534" s="3">
        <v>44265</v>
      </c>
      <c r="F534">
        <f>YEAR(B534)</f>
        <v>2018</v>
      </c>
      <c r="G534" t="str">
        <f>TEXT(B534,"MMMM")</f>
        <v>April</v>
      </c>
      <c r="H534" t="str">
        <f>TEXT(B534, "DDDD")</f>
        <v>Monday</v>
      </c>
      <c r="I534">
        <f>((D534+E534)/C534)*100</f>
        <v>2.1155885763975002</v>
      </c>
      <c r="J534">
        <f>(D534/C534)*1000</f>
        <v>19.808721196159183</v>
      </c>
      <c r="K534">
        <f>(E534/C534)*1000</f>
        <v>1.3471645678158199</v>
      </c>
      <c r="L534">
        <f>CORREL(C534:C1032, D534:D1032)</f>
        <v>0.79851411435273467</v>
      </c>
      <c r="M534">
        <f>CORREL(C534:C1032,E534:E1032)</f>
        <v>6.5266719091490871E-2</v>
      </c>
      <c r="N534">
        <f>LEN(A534)</f>
        <v>43</v>
      </c>
      <c r="O534" t="str">
        <f>IF(ISNUMBER(SEARCH("$",A534)), "Money", IF(ISNUMBER(SEARCH("Win",A534)), "Challenge",IF(ISNUMBER(SEARCH("Challenge",A534)), "Challenge",IF(ISNUMBER(SEARCH("Last To Leave",A534)),"Challenge",IF(ISNUMBER(SEARCH("Giving Away", A534)),"Giveaway",IF(ISNUMBER(SEARCH("Stranded",A534)),"Survival", IF(ISNUMBER(SEARCH("Survive",A534)), "Survival", IF(ISNUMBER(SEARCH("Days",A534)),"Endurance","Other"))))))))</f>
        <v>Other</v>
      </c>
    </row>
    <row r="535" spans="1:15" x14ac:dyDescent="0.3">
      <c r="A535" t="s">
        <v>544</v>
      </c>
      <c r="B535" s="1">
        <v>43457</v>
      </c>
      <c r="C535" s="2">
        <v>31598205</v>
      </c>
      <c r="D535" s="3">
        <v>1021295</v>
      </c>
      <c r="E535" s="3">
        <v>69750</v>
      </c>
      <c r="F535">
        <f>YEAR(B535)</f>
        <v>2018</v>
      </c>
      <c r="G535" t="str">
        <f>TEXT(B535,"MMMM")</f>
        <v>December</v>
      </c>
      <c r="H535" t="str">
        <f>TEXT(B535, "DDDD")</f>
        <v>Sunday</v>
      </c>
      <c r="I535">
        <f>((D535+E535)/C535)*100</f>
        <v>3.4528701867716851</v>
      </c>
      <c r="J535">
        <f>(D535/C535)*1000</f>
        <v>32.321297997781834</v>
      </c>
      <c r="K535">
        <f>(E535/C535)*1000</f>
        <v>2.2074038699350171</v>
      </c>
      <c r="L535">
        <f>CORREL(C535:C1033, D535:D1033)</f>
        <v>0.79819793863977684</v>
      </c>
      <c r="M535">
        <f>CORREL(C535:C1033,E535:E1033)</f>
        <v>6.4679700993940034E-2</v>
      </c>
      <c r="N535">
        <f>LEN(A535)</f>
        <v>36</v>
      </c>
      <c r="O535" t="str">
        <f>IF(ISNUMBER(SEARCH("$",A535)), "Money", IF(ISNUMBER(SEARCH("Win",A535)), "Challenge",IF(ISNUMBER(SEARCH("Challenge",A535)), "Challenge",IF(ISNUMBER(SEARCH("Last To Leave",A535)),"Challenge",IF(ISNUMBER(SEARCH("Giving Away", A535)),"Giveaway",IF(ISNUMBER(SEARCH("Stranded",A535)),"Survival", IF(ISNUMBER(SEARCH("Survive",A535)), "Survival", IF(ISNUMBER(SEARCH("Days",A535)),"Endurance","Other"))))))))</f>
        <v>Money</v>
      </c>
    </row>
    <row r="536" spans="1:15" x14ac:dyDescent="0.3">
      <c r="A536" t="s">
        <v>545</v>
      </c>
      <c r="B536" s="1">
        <v>43215</v>
      </c>
      <c r="C536" s="2">
        <v>31561635</v>
      </c>
      <c r="D536" s="3">
        <v>779366</v>
      </c>
      <c r="E536" s="3">
        <v>46666</v>
      </c>
      <c r="F536">
        <f>YEAR(B536)</f>
        <v>2018</v>
      </c>
      <c r="G536" t="str">
        <f>TEXT(B536,"MMMM")</f>
        <v>April</v>
      </c>
      <c r="H536" t="str">
        <f>TEXT(B536, "DDDD")</f>
        <v>Wednesday</v>
      </c>
      <c r="I536">
        <f>((D536+E536)/C536)*100</f>
        <v>2.6172028160138092</v>
      </c>
      <c r="J536">
        <f>(D536/C536)*1000</f>
        <v>24.69346090593849</v>
      </c>
      <c r="K536">
        <f>(E536/C536)*1000</f>
        <v>1.4785672541996002</v>
      </c>
      <c r="L536">
        <f>CORREL(C536:C1034, D536:D1034)</f>
        <v>0.79791914878262249</v>
      </c>
      <c r="M536">
        <f>CORREL(C536:C1034,E536:E1034)</f>
        <v>6.4558840660720679E-2</v>
      </c>
      <c r="N536">
        <f>LEN(A536)</f>
        <v>53</v>
      </c>
      <c r="O536" t="str">
        <f>IF(ISNUMBER(SEARCH("$",A536)), "Money", IF(ISNUMBER(SEARCH("Win",A536)), "Challenge",IF(ISNUMBER(SEARCH("Challenge",A536)), "Challenge",IF(ISNUMBER(SEARCH("Last To Leave",A536)),"Challenge",IF(ISNUMBER(SEARCH("Giving Away", A536)),"Giveaway",IF(ISNUMBER(SEARCH("Stranded",A536)),"Survival", IF(ISNUMBER(SEARCH("Survive",A536)), "Survival", IF(ISNUMBER(SEARCH("Days",A536)),"Endurance","Other"))))))))</f>
        <v>Challenge</v>
      </c>
    </row>
    <row r="537" spans="1:15" x14ac:dyDescent="0.3">
      <c r="A537" t="s">
        <v>546</v>
      </c>
      <c r="B537" s="1">
        <v>43392</v>
      </c>
      <c r="C537" s="2">
        <v>31443723</v>
      </c>
      <c r="D537" s="3">
        <v>744774</v>
      </c>
      <c r="E537" s="3">
        <v>33184</v>
      </c>
      <c r="F537">
        <f>YEAR(B537)</f>
        <v>2018</v>
      </c>
      <c r="G537" t="str">
        <f>TEXT(B537,"MMMM")</f>
        <v>October</v>
      </c>
      <c r="H537" t="str">
        <f>TEXT(B537, "DDDD")</f>
        <v>Friday</v>
      </c>
      <c r="I537">
        <f>((D537+E537)/C537)*100</f>
        <v>2.4741281431591289</v>
      </c>
      <c r="J537">
        <f>(D537/C537)*1000</f>
        <v>23.685935663534501</v>
      </c>
      <c r="K537">
        <f>(E537/C537)*1000</f>
        <v>1.0553457680567915</v>
      </c>
      <c r="L537">
        <f>CORREL(C537:C1035, D537:D1035)</f>
        <v>0.79761147548694877</v>
      </c>
      <c r="M537">
        <f>CORREL(C537:C1035,E537:E1035)</f>
        <v>6.4007251450487607E-2</v>
      </c>
      <c r="N537">
        <f>LEN(A537)</f>
        <v>47</v>
      </c>
      <c r="O537" t="str">
        <f>IF(ISNUMBER(SEARCH("$",A537)), "Money", IF(ISNUMBER(SEARCH("Win",A537)), "Challenge",IF(ISNUMBER(SEARCH("Challenge",A537)), "Challenge",IF(ISNUMBER(SEARCH("Last To Leave",A537)),"Challenge",IF(ISNUMBER(SEARCH("Giving Away", A537)),"Giveaway",IF(ISNUMBER(SEARCH("Stranded",A537)),"Survival", IF(ISNUMBER(SEARCH("Survive",A537)), "Survival", IF(ISNUMBER(SEARCH("Days",A537)),"Endurance","Other"))))))))</f>
        <v>Money</v>
      </c>
    </row>
    <row r="538" spans="1:15" x14ac:dyDescent="0.3">
      <c r="A538" t="s">
        <v>547</v>
      </c>
      <c r="B538" s="1">
        <v>43292</v>
      </c>
      <c r="C538" s="2">
        <v>30273965</v>
      </c>
      <c r="D538" s="3">
        <v>860801</v>
      </c>
      <c r="E538" s="3">
        <v>42888</v>
      </c>
      <c r="F538">
        <f>YEAR(B538)</f>
        <v>2018</v>
      </c>
      <c r="G538" t="str">
        <f>TEXT(B538,"MMMM")</f>
        <v>July</v>
      </c>
      <c r="H538" t="str">
        <f>TEXT(B538, "DDDD")</f>
        <v>Wednesday</v>
      </c>
      <c r="I538">
        <f>((D538+E538)/C538)*100</f>
        <v>2.9850368129843581</v>
      </c>
      <c r="J538">
        <f>(D538/C538)*1000</f>
        <v>28.433705330636407</v>
      </c>
      <c r="K538">
        <f>(E538/C538)*1000</f>
        <v>1.4166627992071734</v>
      </c>
      <c r="L538">
        <f>CORREL(C538:C1036, D538:D1036)</f>
        <v>0.79729776905001415</v>
      </c>
      <c r="M538">
        <f>CORREL(C538:C1036,E538:E1036)</f>
        <v>6.320227502345363E-2</v>
      </c>
      <c r="N538">
        <f>LEN(A538)</f>
        <v>32</v>
      </c>
      <c r="O538" t="str">
        <f>IF(ISNUMBER(SEARCH("$",A538)), "Money", IF(ISNUMBER(SEARCH("Win",A538)), "Challenge",IF(ISNUMBER(SEARCH("Challenge",A538)), "Challenge",IF(ISNUMBER(SEARCH("Last To Leave",A538)),"Challenge",IF(ISNUMBER(SEARCH("Giving Away", A538)),"Giveaway",IF(ISNUMBER(SEARCH("Stranded",A538)),"Survival", IF(ISNUMBER(SEARCH("Survive",A538)), "Survival", IF(ISNUMBER(SEARCH("Days",A538)),"Endurance","Other"))))))))</f>
        <v>Other</v>
      </c>
    </row>
    <row r="539" spans="1:15" x14ac:dyDescent="0.3">
      <c r="A539" t="s">
        <v>548</v>
      </c>
      <c r="B539" s="1">
        <v>43417</v>
      </c>
      <c r="C539" s="2">
        <v>29922701</v>
      </c>
      <c r="D539" s="3">
        <v>813649</v>
      </c>
      <c r="E539" s="3">
        <v>32015</v>
      </c>
      <c r="F539">
        <f>YEAR(B539)</f>
        <v>2018</v>
      </c>
      <c r="G539" t="str">
        <f>TEXT(B539,"MMMM")</f>
        <v>November</v>
      </c>
      <c r="H539" t="str">
        <f>TEXT(B539, "DDDD")</f>
        <v>Tuesday</v>
      </c>
      <c r="I539">
        <f>((D539+E539)/C539)*100</f>
        <v>2.8261619831712386</v>
      </c>
      <c r="J539">
        <f>(D539/C539)*1000</f>
        <v>27.191696364576181</v>
      </c>
      <c r="K539">
        <f>(E539/C539)*1000</f>
        <v>1.0699234671362052</v>
      </c>
      <c r="L539">
        <f>CORREL(C539:C1037, D539:D1037)</f>
        <v>0.79699438248482257</v>
      </c>
      <c r="M539">
        <f>CORREL(C539:C1037,E539:E1037)</f>
        <v>6.2569146905953374E-2</v>
      </c>
      <c r="N539">
        <f>LEN(A539)</f>
        <v>48</v>
      </c>
      <c r="O539" t="str">
        <f>IF(ISNUMBER(SEARCH("$",A539)), "Money", IF(ISNUMBER(SEARCH("Win",A539)), "Challenge",IF(ISNUMBER(SEARCH("Challenge",A539)), "Challenge",IF(ISNUMBER(SEARCH("Last To Leave",A539)),"Challenge",IF(ISNUMBER(SEARCH("Giving Away", A539)),"Giveaway",IF(ISNUMBER(SEARCH("Stranded",A539)),"Survival", IF(ISNUMBER(SEARCH("Survive",A539)), "Survival", IF(ISNUMBER(SEARCH("Days",A539)),"Endurance","Other"))))))))</f>
        <v>Other</v>
      </c>
    </row>
    <row r="540" spans="1:15" x14ac:dyDescent="0.3">
      <c r="A540" t="s">
        <v>549</v>
      </c>
      <c r="B540" s="1">
        <v>43279</v>
      </c>
      <c r="C540" s="2">
        <v>29733665</v>
      </c>
      <c r="D540" s="3">
        <v>805802</v>
      </c>
      <c r="E540" s="3">
        <v>43496</v>
      </c>
      <c r="F540">
        <f>YEAR(B540)</f>
        <v>2018</v>
      </c>
      <c r="G540" t="str">
        <f>TEXT(B540,"MMMM")</f>
        <v>June</v>
      </c>
      <c r="H540" t="str">
        <f>TEXT(B540, "DDDD")</f>
        <v>Thursday</v>
      </c>
      <c r="I540">
        <f>((D540+E540)/C540)*100</f>
        <v>2.8563515463028186</v>
      </c>
      <c r="J540">
        <f>(D540/C540)*1000</f>
        <v>27.10066182557717</v>
      </c>
      <c r="K540">
        <f>(E540/C540)*1000</f>
        <v>1.4628536374510173</v>
      </c>
      <c r="L540">
        <f>CORREL(C540:C1038, D540:D1038)</f>
        <v>0.79668342963295113</v>
      </c>
      <c r="M540">
        <f>CORREL(C540:C1038,E540:E1038)</f>
        <v>6.1727218780436341E-2</v>
      </c>
      <c r="N540">
        <f>LEN(A540)</f>
        <v>35</v>
      </c>
      <c r="O540" t="str">
        <f>IF(ISNUMBER(SEARCH("$",A540)), "Money", IF(ISNUMBER(SEARCH("Win",A540)), "Challenge",IF(ISNUMBER(SEARCH("Challenge",A540)), "Challenge",IF(ISNUMBER(SEARCH("Last To Leave",A540)),"Challenge",IF(ISNUMBER(SEARCH("Giving Away", A540)),"Giveaway",IF(ISNUMBER(SEARCH("Stranded",A540)),"Survival", IF(ISNUMBER(SEARCH("Survive",A540)), "Survival", IF(ISNUMBER(SEARCH("Days",A540)),"Endurance","Other"))))))))</f>
        <v>Other</v>
      </c>
    </row>
    <row r="541" spans="1:15" x14ac:dyDescent="0.3">
      <c r="A541" t="s">
        <v>550</v>
      </c>
      <c r="B541" s="1">
        <v>43365</v>
      </c>
      <c r="C541" s="2">
        <v>29049488</v>
      </c>
      <c r="D541" s="3">
        <v>793621</v>
      </c>
      <c r="E541" s="3">
        <v>133125</v>
      </c>
      <c r="F541">
        <f>YEAR(B541)</f>
        <v>2018</v>
      </c>
      <c r="G541" t="str">
        <f>TEXT(B541,"MMMM")</f>
        <v>September</v>
      </c>
      <c r="H541" t="str">
        <f>TEXT(B541, "DDDD")</f>
        <v>Saturday</v>
      </c>
      <c r="I541">
        <f>((D541+E541)/C541)*100</f>
        <v>3.1902317865292495</v>
      </c>
      <c r="J541">
        <f>(D541/C541)*1000</f>
        <v>27.319620917243018</v>
      </c>
      <c r="K541">
        <f>(E541/C541)*1000</f>
        <v>4.5826969480494801</v>
      </c>
      <c r="L541">
        <f>CORREL(C541:C1039, D541:D1039)</f>
        <v>0.79636923534681847</v>
      </c>
      <c r="M541">
        <f>CORREL(C541:C1039,E541:E1039)</f>
        <v>6.1094959714450288E-2</v>
      </c>
      <c r="N541">
        <f>LEN(A541)</f>
        <v>41</v>
      </c>
      <c r="O541" t="str">
        <f>IF(ISNUMBER(SEARCH("$",A541)), "Money", IF(ISNUMBER(SEARCH("Win",A541)), "Challenge",IF(ISNUMBER(SEARCH("Challenge",A541)), "Challenge",IF(ISNUMBER(SEARCH("Last To Leave",A541)),"Challenge",IF(ISNUMBER(SEARCH("Giving Away", A541)),"Giveaway",IF(ISNUMBER(SEARCH("Stranded",A541)),"Survival", IF(ISNUMBER(SEARCH("Survive",A541)), "Survival", IF(ISNUMBER(SEARCH("Days",A541)),"Endurance","Other"))))))))</f>
        <v>Other</v>
      </c>
    </row>
    <row r="542" spans="1:15" x14ac:dyDescent="0.3">
      <c r="A542" t="s">
        <v>551</v>
      </c>
      <c r="B542" s="1">
        <v>43344</v>
      </c>
      <c r="C542" s="2">
        <v>28843541</v>
      </c>
      <c r="D542" s="3">
        <v>539162</v>
      </c>
      <c r="E542" s="3">
        <v>16078</v>
      </c>
      <c r="F542">
        <f>YEAR(B542)</f>
        <v>2018</v>
      </c>
      <c r="G542" t="str">
        <f>TEXT(B542,"MMMM")</f>
        <v>September</v>
      </c>
      <c r="H542" t="str">
        <f>TEXT(B542, "DDDD")</f>
        <v>Saturday</v>
      </c>
      <c r="I542">
        <f>((D542+E542)/C542)*100</f>
        <v>1.9250063645098223</v>
      </c>
      <c r="J542">
        <f>(D542/C542)*1000</f>
        <v>18.692642487966371</v>
      </c>
      <c r="K542">
        <f>(E542/C542)*1000</f>
        <v>0.55742115713185147</v>
      </c>
      <c r="L542">
        <f>CORREL(C542:C1040, D542:D1040)</f>
        <v>0.79605127451680691</v>
      </c>
      <c r="M542">
        <f>CORREL(C542:C1040,E542:E1040)</f>
        <v>6.2202112169954187E-2</v>
      </c>
      <c r="N542">
        <f>LEN(A542)</f>
        <v>27</v>
      </c>
      <c r="O542" t="str">
        <f>IF(ISNUMBER(SEARCH("$",A542)), "Money", IF(ISNUMBER(SEARCH("Win",A542)), "Challenge",IF(ISNUMBER(SEARCH("Challenge",A542)), "Challenge",IF(ISNUMBER(SEARCH("Last To Leave",A542)),"Challenge",IF(ISNUMBER(SEARCH("Giving Away", A542)),"Giveaway",IF(ISNUMBER(SEARCH("Stranded",A542)),"Survival", IF(ISNUMBER(SEARCH("Survive",A542)), "Survival", IF(ISNUMBER(SEARCH("Days",A542)),"Endurance","Other"))))))))</f>
        <v>Other</v>
      </c>
    </row>
    <row r="543" spans="1:15" x14ac:dyDescent="0.3">
      <c r="A543" t="s">
        <v>552</v>
      </c>
      <c r="B543" s="1">
        <v>43298</v>
      </c>
      <c r="C543" s="2">
        <v>28836019</v>
      </c>
      <c r="D543" s="3">
        <v>619004</v>
      </c>
      <c r="E543" s="3">
        <v>36432</v>
      </c>
      <c r="F543">
        <f>YEAR(B543)</f>
        <v>2018</v>
      </c>
      <c r="G543" t="str">
        <f>TEXT(B543,"MMMM")</f>
        <v>July</v>
      </c>
      <c r="H543" t="str">
        <f>TEXT(B543, "DDDD")</f>
        <v>Tuesday</v>
      </c>
      <c r="I543">
        <f>((D543+E543)/C543)*100</f>
        <v>2.2729767240061811</v>
      </c>
      <c r="J543">
        <f>(D543/C543)*1000</f>
        <v>21.466347348432528</v>
      </c>
      <c r="K543">
        <f>(E543/C543)*1000</f>
        <v>1.2634198916292849</v>
      </c>
      <c r="L543">
        <f>CORREL(C543:C1041, D543:D1041)</f>
        <v>0.79570290971999369</v>
      </c>
      <c r="M543">
        <f>CORREL(C543:C1041,E543:E1041)</f>
        <v>6.1045568188646315E-2</v>
      </c>
      <c r="N543">
        <f>LEN(A543)</f>
        <v>39</v>
      </c>
      <c r="O543" t="str">
        <f>IF(ISNUMBER(SEARCH("$",A543)), "Money", IF(ISNUMBER(SEARCH("Win",A543)), "Challenge",IF(ISNUMBER(SEARCH("Challenge",A543)), "Challenge",IF(ISNUMBER(SEARCH("Last To Leave",A543)),"Challenge",IF(ISNUMBER(SEARCH("Giving Away", A543)),"Giveaway",IF(ISNUMBER(SEARCH("Stranded",A543)),"Survival", IF(ISNUMBER(SEARCH("Survive",A543)), "Survival", IF(ISNUMBER(SEARCH("Days",A543)),"Endurance","Other"))))))))</f>
        <v>Other</v>
      </c>
    </row>
    <row r="544" spans="1:15" x14ac:dyDescent="0.3">
      <c r="A544" t="s">
        <v>553</v>
      </c>
      <c r="B544" s="1">
        <v>43111</v>
      </c>
      <c r="C544" s="2">
        <v>27807233</v>
      </c>
      <c r="D544" s="3">
        <v>580141</v>
      </c>
      <c r="E544" s="3">
        <v>35988</v>
      </c>
      <c r="F544">
        <f>YEAR(B544)</f>
        <v>2018</v>
      </c>
      <c r="G544" t="str">
        <f>TEXT(B544,"MMMM")</f>
        <v>January</v>
      </c>
      <c r="H544" t="str">
        <f>TEXT(B544, "DDDD")</f>
        <v>Thursday</v>
      </c>
      <c r="I544">
        <f>((D544+E544)/C544)*100</f>
        <v>2.2157148825271467</v>
      </c>
      <c r="J544">
        <f>(D544/C544)*1000</f>
        <v>20.862953174808872</v>
      </c>
      <c r="K544">
        <f>(E544/C544)*1000</f>
        <v>1.2941956504625973</v>
      </c>
      <c r="L544">
        <f>CORREL(C544:C1042, D544:D1042)</f>
        <v>0.79536034504874054</v>
      </c>
      <c r="M544">
        <f>CORREL(C544:C1042,E544:E1042)</f>
        <v>6.026697993661486E-2</v>
      </c>
      <c r="N544">
        <f>LEN(A544)</f>
        <v>45</v>
      </c>
      <c r="O544" t="str">
        <f>IF(ISNUMBER(SEARCH("$",A544)), "Money", IF(ISNUMBER(SEARCH("Win",A544)), "Challenge",IF(ISNUMBER(SEARCH("Challenge",A544)), "Challenge",IF(ISNUMBER(SEARCH("Last To Leave",A544)),"Challenge",IF(ISNUMBER(SEARCH("Giving Away", A544)),"Giveaway",IF(ISNUMBER(SEARCH("Stranded",A544)),"Survival", IF(ISNUMBER(SEARCH("Survive",A544)), "Survival", IF(ISNUMBER(SEARCH("Days",A544)),"Endurance","Other"))))))))</f>
        <v>Other</v>
      </c>
    </row>
    <row r="545" spans="1:15" x14ac:dyDescent="0.3">
      <c r="A545" t="s">
        <v>554</v>
      </c>
      <c r="B545" s="1">
        <v>43139</v>
      </c>
      <c r="C545" s="2">
        <v>27124390</v>
      </c>
      <c r="D545" s="3">
        <v>758518</v>
      </c>
      <c r="E545" s="3">
        <v>24658</v>
      </c>
      <c r="F545">
        <f>YEAR(B545)</f>
        <v>2018</v>
      </c>
      <c r="G545" t="str">
        <f>TEXT(B545,"MMMM")</f>
        <v>February</v>
      </c>
      <c r="H545" t="str">
        <f>TEXT(B545, "DDDD")</f>
        <v>Thursday</v>
      </c>
      <c r="I545">
        <f>((D545+E545)/C545)*100</f>
        <v>2.8873497247311368</v>
      </c>
      <c r="J545">
        <f>(D545/C545)*1000</f>
        <v>27.964426112439764</v>
      </c>
      <c r="K545">
        <f>(E545/C545)*1000</f>
        <v>0.9090711348716044</v>
      </c>
      <c r="L545">
        <f>CORREL(C545:C1043, D545:D1043)</f>
        <v>0.79501060179738103</v>
      </c>
      <c r="M545">
        <f>CORREL(C545:C1043,E545:E1043)</f>
        <v>5.947144890748924E-2</v>
      </c>
      <c r="N545">
        <f>LEN(A545)</f>
        <v>47</v>
      </c>
      <c r="O545" t="str">
        <f>IF(ISNUMBER(SEARCH("$",A545)), "Money", IF(ISNUMBER(SEARCH("Win",A545)), "Challenge",IF(ISNUMBER(SEARCH("Challenge",A545)), "Challenge",IF(ISNUMBER(SEARCH("Last To Leave",A545)),"Challenge",IF(ISNUMBER(SEARCH("Giving Away", A545)),"Giveaway",IF(ISNUMBER(SEARCH("Stranded",A545)),"Survival", IF(ISNUMBER(SEARCH("Survive",A545)), "Survival", IF(ISNUMBER(SEARCH("Days",A545)),"Endurance","Other"))))))))</f>
        <v>Money</v>
      </c>
    </row>
    <row r="546" spans="1:15" x14ac:dyDescent="0.3">
      <c r="A546" t="s">
        <v>555</v>
      </c>
      <c r="B546" s="1">
        <v>43220</v>
      </c>
      <c r="C546" s="2">
        <v>27017959</v>
      </c>
      <c r="D546" s="3">
        <v>544680</v>
      </c>
      <c r="E546" s="3">
        <v>24270</v>
      </c>
      <c r="F546">
        <f>YEAR(B546)</f>
        <v>2018</v>
      </c>
      <c r="G546" t="str">
        <f>TEXT(B546,"MMMM")</f>
        <v>April</v>
      </c>
      <c r="H546" t="str">
        <f>TEXT(B546, "DDDD")</f>
        <v>Monday</v>
      </c>
      <c r="I546">
        <f>((D546+E546)/C546)*100</f>
        <v>2.1058215389252757</v>
      </c>
      <c r="J546">
        <f>(D546/C546)*1000</f>
        <v>20.159923997219774</v>
      </c>
      <c r="K546">
        <f>(E546/C546)*1000</f>
        <v>0.8982913920329807</v>
      </c>
      <c r="L546">
        <f>CORREL(C546:C1044, D546:D1044)</f>
        <v>0.7946782475911035</v>
      </c>
      <c r="M546">
        <f>CORREL(C546:C1044,E546:E1044)</f>
        <v>5.844947545288498E-2</v>
      </c>
      <c r="N546">
        <f>LEN(A546)</f>
        <v>41</v>
      </c>
      <c r="O546" t="str">
        <f>IF(ISNUMBER(SEARCH("$",A546)), "Money", IF(ISNUMBER(SEARCH("Win",A546)), "Challenge",IF(ISNUMBER(SEARCH("Challenge",A546)), "Challenge",IF(ISNUMBER(SEARCH("Last To Leave",A546)),"Challenge",IF(ISNUMBER(SEARCH("Giving Away", A546)),"Giveaway",IF(ISNUMBER(SEARCH("Stranded",A546)),"Survival", IF(ISNUMBER(SEARCH("Survive",A546)), "Survival", IF(ISNUMBER(SEARCH("Days",A546)),"Endurance","Other"))))))))</f>
        <v>Other</v>
      </c>
    </row>
    <row r="547" spans="1:15" x14ac:dyDescent="0.3">
      <c r="A547" t="s">
        <v>556</v>
      </c>
      <c r="B547" s="1">
        <v>43429</v>
      </c>
      <c r="C547" s="2">
        <v>26773246</v>
      </c>
      <c r="D547" s="3">
        <v>1686575</v>
      </c>
      <c r="E547" s="3">
        <v>166333</v>
      </c>
      <c r="F547">
        <f>YEAR(B547)</f>
        <v>2018</v>
      </c>
      <c r="G547" t="str">
        <f>TEXT(B547,"MMMM")</f>
        <v>November</v>
      </c>
      <c r="H547" t="str">
        <f>TEXT(B547, "DDDD")</f>
        <v>Sunday</v>
      </c>
      <c r="I547">
        <f>((D547+E547)/C547)*100</f>
        <v>6.9207446866920801</v>
      </c>
      <c r="J547">
        <f>(D547/C547)*1000</f>
        <v>62.994789649338742</v>
      </c>
      <c r="K547">
        <f>(E547/C547)*1000</f>
        <v>6.2126572175820591</v>
      </c>
      <c r="L547">
        <f>CORREL(C547:C1045, D547:D1045)</f>
        <v>0.79431888328969136</v>
      </c>
      <c r="M547">
        <f>CORREL(C547:C1045,E547:E1045)</f>
        <v>5.7412101184466283E-2</v>
      </c>
      <c r="N547">
        <f>LEN(A547)</f>
        <v>30</v>
      </c>
      <c r="O547" t="str">
        <f>IF(ISNUMBER(SEARCH("$",A547)), "Money", IF(ISNUMBER(SEARCH("Win",A547)), "Challenge",IF(ISNUMBER(SEARCH("Challenge",A547)), "Challenge",IF(ISNUMBER(SEARCH("Last To Leave",A547)),"Challenge",IF(ISNUMBER(SEARCH("Giving Away", A547)),"Giveaway",IF(ISNUMBER(SEARCH("Stranded",A547)),"Survival", IF(ISNUMBER(SEARCH("Survive",A547)), "Survival", IF(ISNUMBER(SEARCH("Days",A547)),"Endurance","Other"))))))))</f>
        <v>Other</v>
      </c>
    </row>
    <row r="548" spans="1:15" x14ac:dyDescent="0.3">
      <c r="A548" t="s">
        <v>557</v>
      </c>
      <c r="B548" s="1">
        <v>43125</v>
      </c>
      <c r="C548" s="2">
        <v>26667437</v>
      </c>
      <c r="D548" s="3">
        <v>719020</v>
      </c>
      <c r="E548" s="3">
        <v>37979</v>
      </c>
      <c r="F548">
        <f>YEAR(B548)</f>
        <v>2018</v>
      </c>
      <c r="G548" t="str">
        <f>TEXT(B548,"MMMM")</f>
        <v>January</v>
      </c>
      <c r="H548" t="str">
        <f>TEXT(B548, "DDDD")</f>
        <v>Thursday</v>
      </c>
      <c r="I548">
        <f>((D548+E548)/C548)*100</f>
        <v>2.8386642480865332</v>
      </c>
      <c r="J548">
        <f>(D548/C548)*1000</f>
        <v>26.962471121615472</v>
      </c>
      <c r="K548">
        <f>(E548/C548)*1000</f>
        <v>1.4241713592498595</v>
      </c>
      <c r="L548">
        <f>CORREL(C548:C1046, D548:D1046)</f>
        <v>0.79410630183528153</v>
      </c>
      <c r="M548">
        <f>CORREL(C548:C1046,E548:E1046)</f>
        <v>5.9227529325178822E-2</v>
      </c>
      <c r="N548">
        <f>LEN(A548)</f>
        <v>33</v>
      </c>
      <c r="O548" t="str">
        <f>IF(ISNUMBER(SEARCH("$",A548)), "Money", IF(ISNUMBER(SEARCH("Win",A548)), "Challenge",IF(ISNUMBER(SEARCH("Challenge",A548)), "Challenge",IF(ISNUMBER(SEARCH("Last To Leave",A548)),"Challenge",IF(ISNUMBER(SEARCH("Giving Away", A548)),"Giveaway",IF(ISNUMBER(SEARCH("Stranded",A548)),"Survival", IF(ISNUMBER(SEARCH("Survive",A548)), "Survival", IF(ISNUMBER(SEARCH("Days",A548)),"Endurance","Other"))))))))</f>
        <v>Other</v>
      </c>
    </row>
    <row r="549" spans="1:15" x14ac:dyDescent="0.3">
      <c r="A549" t="s">
        <v>558</v>
      </c>
      <c r="B549" s="1">
        <v>43179</v>
      </c>
      <c r="C549" s="2">
        <v>25946038</v>
      </c>
      <c r="D549" s="3">
        <v>573331</v>
      </c>
      <c r="E549" s="3">
        <v>23209</v>
      </c>
      <c r="F549">
        <f>YEAR(B549)</f>
        <v>2018</v>
      </c>
      <c r="G549" t="str">
        <f>TEXT(B549,"MMMM")</f>
        <v>March</v>
      </c>
      <c r="H549" t="str">
        <f>TEXT(B549, "DDDD")</f>
        <v>Tuesday</v>
      </c>
      <c r="I549">
        <f>((D549+E549)/C549)*100</f>
        <v>2.2991564261179298</v>
      </c>
      <c r="J549">
        <f>(D549/C549)*1000</f>
        <v>22.097053893160872</v>
      </c>
      <c r="K549">
        <f>(E549/C549)*1000</f>
        <v>0.89451036801842354</v>
      </c>
      <c r="L549">
        <f>CORREL(C549:C1047, D549:D1047)</f>
        <v>0.79376184666152239</v>
      </c>
      <c r="M549">
        <f>CORREL(C549:C1047,E549:E1047)</f>
        <v>5.8451969260930631E-2</v>
      </c>
      <c r="N549">
        <f>LEN(A549)</f>
        <v>44</v>
      </c>
      <c r="O549" t="str">
        <f>IF(ISNUMBER(SEARCH("$",A549)), "Money", IF(ISNUMBER(SEARCH("Win",A549)), "Challenge",IF(ISNUMBER(SEARCH("Challenge",A549)), "Challenge",IF(ISNUMBER(SEARCH("Last To Leave",A549)),"Challenge",IF(ISNUMBER(SEARCH("Giving Away", A549)),"Giveaway",IF(ISNUMBER(SEARCH("Stranded",A549)),"Survival", IF(ISNUMBER(SEARCH("Survive",A549)), "Survival", IF(ISNUMBER(SEARCH("Days",A549)),"Endurance","Other"))))))))</f>
        <v>Other</v>
      </c>
    </row>
    <row r="550" spans="1:15" x14ac:dyDescent="0.3">
      <c r="A550" t="s">
        <v>559</v>
      </c>
      <c r="B550" s="1">
        <v>43233</v>
      </c>
      <c r="C550" s="2">
        <v>24808605</v>
      </c>
      <c r="D550" s="3">
        <v>541400</v>
      </c>
      <c r="E550" s="3">
        <v>18400</v>
      </c>
      <c r="F550">
        <f>YEAR(B550)</f>
        <v>2018</v>
      </c>
      <c r="G550" t="str">
        <f>TEXT(B550,"MMMM")</f>
        <v>May</v>
      </c>
      <c r="H550" t="str">
        <f>TEXT(B550, "DDDD")</f>
        <v>Sunday</v>
      </c>
      <c r="I550">
        <f>((D550+E550)/C550)*100</f>
        <v>2.2564751222408517</v>
      </c>
      <c r="J550">
        <f>(D550/C550)*1000</f>
        <v>21.823073082908127</v>
      </c>
      <c r="K550">
        <f>(E550/C550)*1000</f>
        <v>0.74167813950038708</v>
      </c>
      <c r="L550">
        <f>CORREL(C550:C1048, D550:D1048)</f>
        <v>0.79339755401931544</v>
      </c>
      <c r="M550">
        <f>CORREL(C550:C1048,E550:E1048)</f>
        <v>5.7377647996761774E-2</v>
      </c>
      <c r="N550">
        <f>LEN(A550)</f>
        <v>40</v>
      </c>
      <c r="O550" t="str">
        <f>IF(ISNUMBER(SEARCH("$",A550)), "Money", IF(ISNUMBER(SEARCH("Win",A550)), "Challenge",IF(ISNUMBER(SEARCH("Challenge",A550)), "Challenge",IF(ISNUMBER(SEARCH("Last To Leave",A550)),"Challenge",IF(ISNUMBER(SEARCH("Giving Away", A550)),"Giveaway",IF(ISNUMBER(SEARCH("Stranded",A550)),"Survival", IF(ISNUMBER(SEARCH("Survive",A550)), "Survival", IF(ISNUMBER(SEARCH("Days",A550)),"Endurance","Other"))))))))</f>
        <v>Other</v>
      </c>
    </row>
    <row r="551" spans="1:15" x14ac:dyDescent="0.3">
      <c r="A551" t="s">
        <v>560</v>
      </c>
      <c r="B551" s="1">
        <v>43211</v>
      </c>
      <c r="C551" s="2">
        <v>24630916</v>
      </c>
      <c r="D551" s="3">
        <v>629729</v>
      </c>
      <c r="E551" s="3">
        <v>28885</v>
      </c>
      <c r="F551">
        <f>YEAR(B551)</f>
        <v>2018</v>
      </c>
      <c r="G551" t="str">
        <f>TEXT(B551,"MMMM")</f>
        <v>April</v>
      </c>
      <c r="H551" t="str">
        <f>TEXT(B551, "DDDD")</f>
        <v>Saturday</v>
      </c>
      <c r="I551">
        <f>((D551+E551)/C551)*100</f>
        <v>2.6739322240390897</v>
      </c>
      <c r="J551">
        <f>(D551/C551)*1000</f>
        <v>25.566609053435123</v>
      </c>
      <c r="K551">
        <f>(E551/C551)*1000</f>
        <v>1.1727131869557754</v>
      </c>
      <c r="L551">
        <f>CORREL(C551:C1049, D551:D1049)</f>
        <v>0.79302639478486969</v>
      </c>
      <c r="M551">
        <f>CORREL(C551:C1049,E551:E1049)</f>
        <v>5.6195582678022611E-2</v>
      </c>
      <c r="N551">
        <f>LEN(A551)</f>
        <v>69</v>
      </c>
      <c r="O551" t="str">
        <f>IF(ISNUMBER(SEARCH("$",A551)), "Money", IF(ISNUMBER(SEARCH("Win",A551)), "Challenge",IF(ISNUMBER(SEARCH("Challenge",A551)), "Challenge",IF(ISNUMBER(SEARCH("Last To Leave",A551)),"Challenge",IF(ISNUMBER(SEARCH("Giving Away", A551)),"Giveaway",IF(ISNUMBER(SEARCH("Stranded",A551)),"Survival", IF(ISNUMBER(SEARCH("Survive",A551)), "Survival", IF(ISNUMBER(SEARCH("Days",A551)),"Endurance","Other"))))))))</f>
        <v>Money</v>
      </c>
    </row>
    <row r="552" spans="1:15" x14ac:dyDescent="0.3">
      <c r="A552" t="s">
        <v>561</v>
      </c>
      <c r="B552" s="1">
        <v>43221</v>
      </c>
      <c r="C552" s="2">
        <v>23960364</v>
      </c>
      <c r="D552" s="3">
        <v>502903</v>
      </c>
      <c r="E552" s="3">
        <v>29466</v>
      </c>
      <c r="F552">
        <f>YEAR(B552)</f>
        <v>2018</v>
      </c>
      <c r="G552" t="str">
        <f>TEXT(B552,"MMMM")</f>
        <v>May</v>
      </c>
      <c r="H552" t="str">
        <f>TEXT(B552, "DDDD")</f>
        <v>Tuesday</v>
      </c>
      <c r="I552">
        <f>((D552+E552)/C552)*100</f>
        <v>2.2218735909020415</v>
      </c>
      <c r="J552">
        <f>(D552/C552)*1000</f>
        <v>20.988954925726503</v>
      </c>
      <c r="K552">
        <f>(E552/C552)*1000</f>
        <v>1.2297809832939097</v>
      </c>
      <c r="L552">
        <f>CORREL(C552:C1050, D552:D1050)</f>
        <v>0.79266258236038589</v>
      </c>
      <c r="M552">
        <f>CORREL(C552:C1050,E552:E1050)</f>
        <v>5.5212623670569089E-2</v>
      </c>
      <c r="N552">
        <f>LEN(A552)</f>
        <v>29</v>
      </c>
      <c r="O552" t="str">
        <f>IF(ISNUMBER(SEARCH("$",A552)), "Money", IF(ISNUMBER(SEARCH("Win",A552)), "Challenge",IF(ISNUMBER(SEARCH("Challenge",A552)), "Challenge",IF(ISNUMBER(SEARCH("Last To Leave",A552)),"Challenge",IF(ISNUMBER(SEARCH("Giving Away", A552)),"Giveaway",IF(ISNUMBER(SEARCH("Stranded",A552)),"Survival", IF(ISNUMBER(SEARCH("Survive",A552)), "Survival", IF(ISNUMBER(SEARCH("Days",A552)),"Endurance","Other"))))))))</f>
        <v>Money</v>
      </c>
    </row>
    <row r="553" spans="1:15" x14ac:dyDescent="0.3">
      <c r="A553" t="s">
        <v>562</v>
      </c>
      <c r="B553" s="1">
        <v>43275</v>
      </c>
      <c r="C553" s="2">
        <v>21895445</v>
      </c>
      <c r="D553" s="3">
        <v>638834</v>
      </c>
      <c r="E553" s="3">
        <v>24392</v>
      </c>
      <c r="F553">
        <f>YEAR(B553)</f>
        <v>2018</v>
      </c>
      <c r="G553" t="str">
        <f>TEXT(B553,"MMMM")</f>
        <v>June</v>
      </c>
      <c r="H553" t="str">
        <f>TEXT(B553, "DDDD")</f>
        <v>Sunday</v>
      </c>
      <c r="I553">
        <f>((D553+E553)/C553)*100</f>
        <v>3.0290592404036549</v>
      </c>
      <c r="J553">
        <f>(D553/C553)*1000</f>
        <v>29.176570743366945</v>
      </c>
      <c r="K553">
        <f>(E553/C553)*1000</f>
        <v>1.114021660669605</v>
      </c>
      <c r="L553">
        <f>CORREL(C553:C1051, D553:D1051)</f>
        <v>0.79228065466685293</v>
      </c>
      <c r="M553">
        <f>CORREL(C553:C1051,E553:E1051)</f>
        <v>5.4231637934710086E-2</v>
      </c>
      <c r="N553">
        <f>LEN(A553)</f>
        <v>59</v>
      </c>
      <c r="O553" t="str">
        <f>IF(ISNUMBER(SEARCH("$",A553)), "Money", IF(ISNUMBER(SEARCH("Win",A553)), "Challenge",IF(ISNUMBER(SEARCH("Challenge",A553)), "Challenge",IF(ISNUMBER(SEARCH("Last To Leave",A553)),"Challenge",IF(ISNUMBER(SEARCH("Giving Away", A553)),"Giveaway",IF(ISNUMBER(SEARCH("Stranded",A553)),"Survival", IF(ISNUMBER(SEARCH("Survive",A553)), "Survival", IF(ISNUMBER(SEARCH("Days",A553)),"Endurance","Other"))))))))</f>
        <v>Money</v>
      </c>
    </row>
    <row r="554" spans="1:15" x14ac:dyDescent="0.3">
      <c r="A554" t="s">
        <v>563</v>
      </c>
      <c r="B554" s="1">
        <v>43201</v>
      </c>
      <c r="C554" s="2">
        <v>20289603</v>
      </c>
      <c r="D554" s="3">
        <v>501616</v>
      </c>
      <c r="E554" s="3">
        <v>38007</v>
      </c>
      <c r="F554">
        <f>YEAR(B554)</f>
        <v>2018</v>
      </c>
      <c r="G554" t="str">
        <f>TEXT(B554,"MMMM")</f>
        <v>April</v>
      </c>
      <c r="H554" t="str">
        <f>TEXT(B554, "DDDD")</f>
        <v>Wednesday</v>
      </c>
      <c r="I554">
        <f>((D554+E554)/C554)*100</f>
        <v>2.6596035417745729</v>
      </c>
      <c r="J554">
        <f>(D554/C554)*1000</f>
        <v>24.722810002738843</v>
      </c>
      <c r="K554">
        <f>(E554/C554)*1000</f>
        <v>1.8732254150068881</v>
      </c>
      <c r="L554">
        <f>CORREL(C554:C1052, D554:D1052)</f>
        <v>0.79191182632810175</v>
      </c>
      <c r="M554">
        <f>CORREL(C554:C1052,E554:E1052)</f>
        <v>5.3132816762143847E-2</v>
      </c>
      <c r="N554">
        <f>LEN(A554)</f>
        <v>50</v>
      </c>
      <c r="O554" t="str">
        <f>IF(ISNUMBER(SEARCH("$",A554)), "Money", IF(ISNUMBER(SEARCH("Win",A554)), "Challenge",IF(ISNUMBER(SEARCH("Challenge",A554)), "Challenge",IF(ISNUMBER(SEARCH("Last To Leave",A554)),"Challenge",IF(ISNUMBER(SEARCH("Giving Away", A554)),"Giveaway",IF(ISNUMBER(SEARCH("Stranded",A554)),"Survival", IF(ISNUMBER(SEARCH("Survive",A554)), "Survival", IF(ISNUMBER(SEARCH("Days",A554)),"Endurance","Other"))))))))</f>
        <v>Other</v>
      </c>
    </row>
    <row r="555" spans="1:15" x14ac:dyDescent="0.3">
      <c r="A555" t="s">
        <v>564</v>
      </c>
      <c r="B555" s="1">
        <v>43194</v>
      </c>
      <c r="C555" s="2">
        <v>20153489</v>
      </c>
      <c r="D555" s="3">
        <v>553760</v>
      </c>
      <c r="E555" s="3">
        <v>21729</v>
      </c>
      <c r="F555">
        <f>YEAR(B555)</f>
        <v>2018</v>
      </c>
      <c r="G555" t="str">
        <f>TEXT(B555,"MMMM")</f>
        <v>April</v>
      </c>
      <c r="H555" t="str">
        <f>TEXT(B555, "DDDD")</f>
        <v>Wednesday</v>
      </c>
      <c r="I555">
        <f>((D555+E555)/C555)*100</f>
        <v>2.8555303749142396</v>
      </c>
      <c r="J555">
        <f>(D555/C555)*1000</f>
        <v>27.477128153839764</v>
      </c>
      <c r="K555">
        <f>(E555/C555)*1000</f>
        <v>1.0781755953026297</v>
      </c>
      <c r="L555">
        <f>CORREL(C555:C1053, D555:D1053)</f>
        <v>0.79152284729913958</v>
      </c>
      <c r="M555">
        <f>CORREL(C555:C1053,E555:E1053)</f>
        <v>5.2299593464168175E-2</v>
      </c>
      <c r="N555">
        <f>LEN(A555)</f>
        <v>59</v>
      </c>
      <c r="O555" t="str">
        <f>IF(ISNUMBER(SEARCH("$",A555)), "Money", IF(ISNUMBER(SEARCH("Win",A555)), "Challenge",IF(ISNUMBER(SEARCH("Challenge",A555)), "Challenge",IF(ISNUMBER(SEARCH("Last To Leave",A555)),"Challenge",IF(ISNUMBER(SEARCH("Giving Away", A555)),"Giveaway",IF(ISNUMBER(SEARCH("Stranded",A555)),"Survival", IF(ISNUMBER(SEARCH("Survive",A555)), "Survival", IF(ISNUMBER(SEARCH("Days",A555)),"Endurance","Other"))))))))</f>
        <v>Money</v>
      </c>
    </row>
    <row r="556" spans="1:15" x14ac:dyDescent="0.3">
      <c r="A556" t="s">
        <v>565</v>
      </c>
      <c r="B556" s="1">
        <v>43408</v>
      </c>
      <c r="C556" s="2">
        <v>18672838</v>
      </c>
      <c r="D556" s="3">
        <v>511578</v>
      </c>
      <c r="E556" s="3">
        <v>24959</v>
      </c>
      <c r="F556">
        <f>YEAR(B556)</f>
        <v>2018</v>
      </c>
      <c r="G556" t="str">
        <f>TEXT(B556,"MMMM")</f>
        <v>November</v>
      </c>
      <c r="H556" t="str">
        <f>TEXT(B556, "DDDD")</f>
        <v>Sunday</v>
      </c>
      <c r="I556">
        <f>((D556+E556)/C556)*100</f>
        <v>2.8733554053218908</v>
      </c>
      <c r="J556">
        <f>(D556/C556)*1000</f>
        <v>27.396906672676106</v>
      </c>
      <c r="K556">
        <f>(E556/C556)*1000</f>
        <v>1.336647380542797</v>
      </c>
      <c r="L556">
        <f>CORREL(C556:C1054, D556:D1054)</f>
        <v>0.79113707027337443</v>
      </c>
      <c r="M556">
        <f>CORREL(C556:C1054,E556:E1054)</f>
        <v>5.1123191196868187E-2</v>
      </c>
      <c r="N556">
        <f>LEN(A556)</f>
        <v>36</v>
      </c>
      <c r="O556" t="str">
        <f>IF(ISNUMBER(SEARCH("$",A556)), "Money", IF(ISNUMBER(SEARCH("Win",A556)), "Challenge",IF(ISNUMBER(SEARCH("Challenge",A556)), "Challenge",IF(ISNUMBER(SEARCH("Last To Leave",A556)),"Challenge",IF(ISNUMBER(SEARCH("Giving Away", A556)),"Giveaway",IF(ISNUMBER(SEARCH("Stranded",A556)),"Survival", IF(ISNUMBER(SEARCH("Survive",A556)), "Survival", IF(ISNUMBER(SEARCH("Days",A556)),"Endurance","Other"))))))))</f>
        <v>Money</v>
      </c>
    </row>
    <row r="557" spans="1:15" x14ac:dyDescent="0.3">
      <c r="A557" t="s">
        <v>566</v>
      </c>
      <c r="B557" s="1">
        <v>43160</v>
      </c>
      <c r="C557" s="2">
        <v>18466743</v>
      </c>
      <c r="D557" s="3">
        <v>427489</v>
      </c>
      <c r="E557" s="3">
        <v>28286</v>
      </c>
      <c r="F557">
        <f>YEAR(B557)</f>
        <v>2018</v>
      </c>
      <c r="G557" t="str">
        <f>TEXT(B557,"MMMM")</f>
        <v>March</v>
      </c>
      <c r="H557" t="str">
        <f>TEXT(B557, "DDDD")</f>
        <v>Thursday</v>
      </c>
      <c r="I557">
        <f>((D557+E557)/C557)*100</f>
        <v>2.4680854658561069</v>
      </c>
      <c r="J557">
        <f>(D557/C557)*1000</f>
        <v>23.149128138080442</v>
      </c>
      <c r="K557">
        <f>(E557/C557)*1000</f>
        <v>1.5317265204806283</v>
      </c>
      <c r="L557">
        <f>CORREL(C557:C1055, D557:D1055)</f>
        <v>0.79074264872871269</v>
      </c>
      <c r="M557">
        <f>CORREL(C557:C1055,E557:E1055)</f>
        <v>4.9998657644340777E-2</v>
      </c>
      <c r="N557">
        <f>LEN(A557)</f>
        <v>37</v>
      </c>
      <c r="O557" t="str">
        <f>IF(ISNUMBER(SEARCH("$",A557)), "Money", IF(ISNUMBER(SEARCH("Win",A557)), "Challenge",IF(ISNUMBER(SEARCH("Challenge",A557)), "Challenge",IF(ISNUMBER(SEARCH("Last To Leave",A557)),"Challenge",IF(ISNUMBER(SEARCH("Giving Away", A557)),"Giveaway",IF(ISNUMBER(SEARCH("Stranded",A557)),"Survival", IF(ISNUMBER(SEARCH("Survive",A557)), "Survival", IF(ISNUMBER(SEARCH("Days",A557)),"Endurance","Other"))))))))</f>
        <v>Other</v>
      </c>
    </row>
    <row r="558" spans="1:15" x14ac:dyDescent="0.3">
      <c r="A558" t="s">
        <v>567</v>
      </c>
      <c r="B558" s="1">
        <v>43175</v>
      </c>
      <c r="C558" s="2">
        <v>18186789</v>
      </c>
      <c r="D558" s="3">
        <v>452761</v>
      </c>
      <c r="E558" s="3">
        <v>40763</v>
      </c>
      <c r="F558">
        <f>YEAR(B558)</f>
        <v>2018</v>
      </c>
      <c r="G558" t="str">
        <f>TEXT(B558,"MMMM")</f>
        <v>March</v>
      </c>
      <c r="H558" t="str">
        <f>TEXT(B558, "DDDD")</f>
        <v>Friday</v>
      </c>
      <c r="I558">
        <f>((D558+E558)/C558)*100</f>
        <v>2.7136401043636673</v>
      </c>
      <c r="J558">
        <f>(D558/C558)*1000</f>
        <v>24.895048818128366</v>
      </c>
      <c r="K558">
        <f>(E558/C558)*1000</f>
        <v>2.2413522255083071</v>
      </c>
      <c r="L558">
        <f>CORREL(C558:C1056, D558:D1056)</f>
        <v>0.79033423990678109</v>
      </c>
      <c r="M558">
        <f>CORREL(C558:C1056,E558:E1056)</f>
        <v>4.8934284892297307E-2</v>
      </c>
      <c r="N558">
        <f>LEN(A558)</f>
        <v>44</v>
      </c>
      <c r="O558" t="str">
        <f>IF(ISNUMBER(SEARCH("$",A558)), "Money", IF(ISNUMBER(SEARCH("Win",A558)), "Challenge",IF(ISNUMBER(SEARCH("Challenge",A558)), "Challenge",IF(ISNUMBER(SEARCH("Last To Leave",A558)),"Challenge",IF(ISNUMBER(SEARCH("Giving Away", A558)),"Giveaway",IF(ISNUMBER(SEARCH("Stranded",A558)),"Survival", IF(ISNUMBER(SEARCH("Survive",A558)), "Survival", IF(ISNUMBER(SEARCH("Days",A558)),"Endurance","Other"))))))))</f>
        <v>Other</v>
      </c>
    </row>
    <row r="559" spans="1:15" x14ac:dyDescent="0.3">
      <c r="A559" t="s">
        <v>568</v>
      </c>
      <c r="B559" s="1">
        <v>43306</v>
      </c>
      <c r="C559" s="2">
        <v>17756305</v>
      </c>
      <c r="D559" s="3">
        <v>393715</v>
      </c>
      <c r="E559" s="3">
        <v>31965</v>
      </c>
      <c r="F559">
        <f>YEAR(B559)</f>
        <v>2018</v>
      </c>
      <c r="G559" t="str">
        <f>TEXT(B559,"MMMM")</f>
        <v>July</v>
      </c>
      <c r="H559" t="str">
        <f>TEXT(B559, "DDDD")</f>
        <v>Wednesday</v>
      </c>
      <c r="I559">
        <f>((D559+E559)/C559)*100</f>
        <v>2.3973456189224054</v>
      </c>
      <c r="J559">
        <f>(D559/C559)*1000</f>
        <v>22.173250572120722</v>
      </c>
      <c r="K559">
        <f>(E559/C559)*1000</f>
        <v>1.8002056171033332</v>
      </c>
      <c r="L559">
        <f>CORREL(C559:C1057, D559:D1057)</f>
        <v>0.78992545399823244</v>
      </c>
      <c r="M559">
        <f>CORREL(C559:C1057,E559:E1057)</f>
        <v>4.8124417751008251E-2</v>
      </c>
      <c r="N559">
        <f>LEN(A559)</f>
        <v>47</v>
      </c>
      <c r="O559" t="str">
        <f>IF(ISNUMBER(SEARCH("$",A559)), "Money", IF(ISNUMBER(SEARCH("Win",A559)), "Challenge",IF(ISNUMBER(SEARCH("Challenge",A559)), "Challenge",IF(ISNUMBER(SEARCH("Last To Leave",A559)),"Challenge",IF(ISNUMBER(SEARCH("Giving Away", A559)),"Giveaway",IF(ISNUMBER(SEARCH("Stranded",A559)),"Survival", IF(ISNUMBER(SEARCH("Survive",A559)), "Survival", IF(ISNUMBER(SEARCH("Days",A559)),"Endurance","Other"))))))))</f>
        <v>Other</v>
      </c>
    </row>
    <row r="560" spans="1:15" x14ac:dyDescent="0.3">
      <c r="A560" t="s">
        <v>569</v>
      </c>
      <c r="B560" s="1">
        <v>43252</v>
      </c>
      <c r="C560" s="2">
        <v>17395085</v>
      </c>
      <c r="D560" s="3">
        <v>429202</v>
      </c>
      <c r="E560" s="3">
        <v>35866</v>
      </c>
      <c r="F560">
        <f>YEAR(B560)</f>
        <v>2018</v>
      </c>
      <c r="G560" t="str">
        <f>TEXT(B560,"MMMM")</f>
        <v>June</v>
      </c>
      <c r="H560" t="str">
        <f>TEXT(B560, "DDDD")</f>
        <v>Friday</v>
      </c>
      <c r="I560">
        <f>((D560+E560)/C560)*100</f>
        <v>2.6735598015186475</v>
      </c>
      <c r="J560">
        <f>(D560/C560)*1000</f>
        <v>24.673751234903424</v>
      </c>
      <c r="K560">
        <f>(E560/C560)*1000</f>
        <v>2.0618467802830511</v>
      </c>
      <c r="L560">
        <f>CORREL(C560:C1058, D560:D1058)</f>
        <v>0.78950557626231055</v>
      </c>
      <c r="M560">
        <f>CORREL(C560:C1058,E560:E1058)</f>
        <v>4.7119987126262648E-2</v>
      </c>
      <c r="N560">
        <f>LEN(A560)</f>
        <v>26</v>
      </c>
      <c r="O560" t="str">
        <f>IF(ISNUMBER(SEARCH("$",A560)), "Money", IF(ISNUMBER(SEARCH("Win",A560)), "Challenge",IF(ISNUMBER(SEARCH("Challenge",A560)), "Challenge",IF(ISNUMBER(SEARCH("Last To Leave",A560)),"Challenge",IF(ISNUMBER(SEARCH("Giving Away", A560)),"Giveaway",IF(ISNUMBER(SEARCH("Stranded",A560)),"Survival", IF(ISNUMBER(SEARCH("Survive",A560)), "Survival", IF(ISNUMBER(SEARCH("Days",A560)),"Endurance","Other"))))))))</f>
        <v>Other</v>
      </c>
    </row>
    <row r="561" spans="1:15" x14ac:dyDescent="0.3">
      <c r="A561" t="s">
        <v>570</v>
      </c>
      <c r="B561" s="1">
        <v>43371</v>
      </c>
      <c r="C561" s="2">
        <v>17391390</v>
      </c>
      <c r="D561" s="3">
        <v>425541</v>
      </c>
      <c r="E561" s="3">
        <v>21552</v>
      </c>
      <c r="F561">
        <f>YEAR(B561)</f>
        <v>2018</v>
      </c>
      <c r="G561" t="str">
        <f>TEXT(B561,"MMMM")</f>
        <v>September</v>
      </c>
      <c r="H561" t="str">
        <f>TEXT(B561, "DDDD")</f>
        <v>Friday</v>
      </c>
      <c r="I561">
        <f>((D561+E561)/C561)*100</f>
        <v>2.5707720889474617</v>
      </c>
      <c r="J561">
        <f>(D561/C561)*1000</f>
        <v>24.46848699270156</v>
      </c>
      <c r="K561">
        <f>(E561/C561)*1000</f>
        <v>1.2392338967730583</v>
      </c>
      <c r="L561">
        <f>CORREL(C561:C1059, D561:D1059)</f>
        <v>0.78908650079153309</v>
      </c>
      <c r="M561">
        <f>CORREL(C561:C1059,E561:E1059)</f>
        <v>4.6189897862934169E-2</v>
      </c>
      <c r="N561">
        <f>LEN(A561)</f>
        <v>47</v>
      </c>
      <c r="O561" t="str">
        <f>IF(ISNUMBER(SEARCH("$",A561)), "Money", IF(ISNUMBER(SEARCH("Win",A561)), "Challenge",IF(ISNUMBER(SEARCH("Challenge",A561)), "Challenge",IF(ISNUMBER(SEARCH("Last To Leave",A561)),"Challenge",IF(ISNUMBER(SEARCH("Giving Away", A561)),"Giveaway",IF(ISNUMBER(SEARCH("Stranded",A561)),"Survival", IF(ISNUMBER(SEARCH("Survive",A561)), "Survival", IF(ISNUMBER(SEARCH("Days",A561)),"Endurance","Other"))))))))</f>
        <v>Money</v>
      </c>
    </row>
    <row r="562" spans="1:15" x14ac:dyDescent="0.3">
      <c r="A562" t="s">
        <v>571</v>
      </c>
      <c r="B562" s="1">
        <v>43245</v>
      </c>
      <c r="C562" s="2">
        <v>15965506</v>
      </c>
      <c r="D562" s="3">
        <v>316115</v>
      </c>
      <c r="E562" s="3">
        <v>12156</v>
      </c>
      <c r="F562">
        <f>YEAR(B562)</f>
        <v>2018</v>
      </c>
      <c r="G562" t="str">
        <f>TEXT(B562,"MMMM")</f>
        <v>May</v>
      </c>
      <c r="H562" t="str">
        <f>TEXT(B562, "DDDD")</f>
        <v>Friday</v>
      </c>
      <c r="I562">
        <f>((D562+E562)/C562)*100</f>
        <v>2.0561265017218995</v>
      </c>
      <c r="J562">
        <f>(D562/C562)*1000</f>
        <v>19.799873552394768</v>
      </c>
      <c r="K562">
        <f>(E562/C562)*1000</f>
        <v>0.76139146482422793</v>
      </c>
      <c r="L562">
        <f>CORREL(C562:C1060, D562:D1060)</f>
        <v>0.78866327824995719</v>
      </c>
      <c r="M562">
        <f>CORREL(C562:C1060,E562:E1060)</f>
        <v>4.4945743120318508E-2</v>
      </c>
      <c r="N562">
        <f>LEN(A562)</f>
        <v>50</v>
      </c>
      <c r="O562" t="str">
        <f>IF(ISNUMBER(SEARCH("$",A562)), "Money", IF(ISNUMBER(SEARCH("Win",A562)), "Challenge",IF(ISNUMBER(SEARCH("Challenge",A562)), "Challenge",IF(ISNUMBER(SEARCH("Last To Leave",A562)),"Challenge",IF(ISNUMBER(SEARCH("Giving Away", A562)),"Giveaway",IF(ISNUMBER(SEARCH("Stranded",A562)),"Survival", IF(ISNUMBER(SEARCH("Survive",A562)), "Survival", IF(ISNUMBER(SEARCH("Days",A562)),"Endurance","Other"))))))))</f>
        <v>Other</v>
      </c>
    </row>
    <row r="563" spans="1:15" x14ac:dyDescent="0.3">
      <c r="A563" t="s">
        <v>572</v>
      </c>
      <c r="B563" s="1">
        <v>43231</v>
      </c>
      <c r="C563" s="2">
        <v>15258283</v>
      </c>
      <c r="D563" s="3">
        <v>452440</v>
      </c>
      <c r="E563" s="3">
        <v>30503</v>
      </c>
      <c r="F563">
        <f>YEAR(B563)</f>
        <v>2018</v>
      </c>
      <c r="G563" t="str">
        <f>TEXT(B563,"MMMM")</f>
        <v>May</v>
      </c>
      <c r="H563" t="str">
        <f>TEXT(B563, "DDDD")</f>
        <v>Friday</v>
      </c>
      <c r="I563">
        <f>((D563+E563)/C563)*100</f>
        <v>3.1651202169995147</v>
      </c>
      <c r="J563">
        <f>(D563/C563)*1000</f>
        <v>29.652091260858118</v>
      </c>
      <c r="K563">
        <f>(E563/C563)*1000</f>
        <v>1.9991109091370241</v>
      </c>
      <c r="L563">
        <f>CORREL(C563:C1061, D563:D1061)</f>
        <v>0.78822195000602568</v>
      </c>
      <c r="M563">
        <f>CORREL(C563:C1061,E563:E1061)</f>
        <v>4.3482701816961178E-2</v>
      </c>
      <c r="N563">
        <f>LEN(A563)</f>
        <v>32</v>
      </c>
      <c r="O563" t="str">
        <f>IF(ISNUMBER(SEARCH("$",A563)), "Money", IF(ISNUMBER(SEARCH("Win",A563)), "Challenge",IF(ISNUMBER(SEARCH("Challenge",A563)), "Challenge",IF(ISNUMBER(SEARCH("Last To Leave",A563)),"Challenge",IF(ISNUMBER(SEARCH("Giving Away", A563)),"Giveaway",IF(ISNUMBER(SEARCH("Stranded",A563)),"Survival", IF(ISNUMBER(SEARCH("Survive",A563)), "Survival", IF(ISNUMBER(SEARCH("Days",A563)),"Endurance","Other"))))))))</f>
        <v>Money</v>
      </c>
    </row>
    <row r="564" spans="1:15" x14ac:dyDescent="0.3">
      <c r="A564" t="s">
        <v>573</v>
      </c>
      <c r="B564" s="1">
        <v>43189</v>
      </c>
      <c r="C564" s="2">
        <v>15030213</v>
      </c>
      <c r="D564" s="3">
        <v>355303</v>
      </c>
      <c r="E564" s="3">
        <v>19429</v>
      </c>
      <c r="F564">
        <f>YEAR(B564)</f>
        <v>2018</v>
      </c>
      <c r="G564" t="str">
        <f>TEXT(B564,"MMMM")</f>
        <v>March</v>
      </c>
      <c r="H564" t="str">
        <f>TEXT(B564, "DDDD")</f>
        <v>Friday</v>
      </c>
      <c r="I564">
        <f>((D564+E564)/C564)*100</f>
        <v>2.4931915469195278</v>
      </c>
      <c r="J564">
        <f>(D564/C564)*1000</f>
        <v>23.639252484312763</v>
      </c>
      <c r="K564">
        <f>(E564/C564)*1000</f>
        <v>1.2926629848825162</v>
      </c>
      <c r="L564">
        <f>CORREL(C564:C1062, D564:D1062)</f>
        <v>0.78779454212918221</v>
      </c>
      <c r="M564">
        <f>CORREL(C564:C1062,E564:E1062)</f>
        <v>4.2402994093893566E-2</v>
      </c>
      <c r="N564">
        <f>LEN(A564)</f>
        <v>27</v>
      </c>
      <c r="O564" t="str">
        <f>IF(ISNUMBER(SEARCH("$",A564)), "Money", IF(ISNUMBER(SEARCH("Win",A564)), "Challenge",IF(ISNUMBER(SEARCH("Challenge",A564)), "Challenge",IF(ISNUMBER(SEARCH("Last To Leave",A564)),"Challenge",IF(ISNUMBER(SEARCH("Giving Away", A564)),"Giveaway",IF(ISNUMBER(SEARCH("Stranded",A564)),"Survival", IF(ISNUMBER(SEARCH("Survive",A564)), "Survival", IF(ISNUMBER(SEARCH("Days",A564)),"Endurance","Other"))))))))</f>
        <v>Money</v>
      </c>
    </row>
    <row r="565" spans="1:15" x14ac:dyDescent="0.3">
      <c r="A565" t="s">
        <v>574</v>
      </c>
      <c r="B565" s="1">
        <v>43222</v>
      </c>
      <c r="C565" s="2">
        <v>14821877</v>
      </c>
      <c r="D565" s="3">
        <v>346405</v>
      </c>
      <c r="E565" s="3">
        <v>20929</v>
      </c>
      <c r="F565">
        <f>YEAR(B565)</f>
        <v>2018</v>
      </c>
      <c r="G565" t="str">
        <f>TEXT(B565,"MMMM")</f>
        <v>May</v>
      </c>
      <c r="H565" t="str">
        <f>TEXT(B565, "DDDD")</f>
        <v>Wednesday</v>
      </c>
      <c r="I565">
        <f>((D565+E565)/C565)*100</f>
        <v>2.4783230895790052</v>
      </c>
      <c r="J565">
        <f>(D565/C565)*1000</f>
        <v>23.371196509052126</v>
      </c>
      <c r="K565">
        <f>(E565/C565)*1000</f>
        <v>1.4120343867379281</v>
      </c>
      <c r="L565">
        <f>CORREL(C565:C1063, D565:D1063)</f>
        <v>0.78735031249064447</v>
      </c>
      <c r="M565">
        <f>CORREL(C565:C1063,E565:E1063)</f>
        <v>4.1071264611919102E-2</v>
      </c>
      <c r="N565">
        <f>LEN(A565)</f>
        <v>48</v>
      </c>
      <c r="O565" t="str">
        <f>IF(ISNUMBER(SEARCH("$",A565)), "Money", IF(ISNUMBER(SEARCH("Win",A565)), "Challenge",IF(ISNUMBER(SEARCH("Challenge",A565)), "Challenge",IF(ISNUMBER(SEARCH("Last To Leave",A565)),"Challenge",IF(ISNUMBER(SEARCH("Giving Away", A565)),"Giveaway",IF(ISNUMBER(SEARCH("Stranded",A565)),"Survival", IF(ISNUMBER(SEARCH("Survive",A565)), "Survival", IF(ISNUMBER(SEARCH("Days",A565)),"Endurance","Other"))))))))</f>
        <v>Money</v>
      </c>
    </row>
    <row r="566" spans="1:15" x14ac:dyDescent="0.3">
      <c r="A566" t="s">
        <v>575</v>
      </c>
      <c r="B566" s="1">
        <v>43459</v>
      </c>
      <c r="C566" s="2">
        <v>14578889</v>
      </c>
      <c r="D566" s="3">
        <v>487393</v>
      </c>
      <c r="E566" s="3">
        <v>33576</v>
      </c>
      <c r="F566">
        <f>YEAR(B566)</f>
        <v>2018</v>
      </c>
      <c r="G566" t="str">
        <f>TEXT(B566,"MMMM")</f>
        <v>December</v>
      </c>
      <c r="H566" t="str">
        <f>TEXT(B566, "DDDD")</f>
        <v>Tuesday</v>
      </c>
      <c r="I566">
        <f>((D566+E566)/C566)*100</f>
        <v>3.5734478806992773</v>
      </c>
      <c r="J566">
        <f>(D566/C566)*1000</f>
        <v>33.431422655045935</v>
      </c>
      <c r="K566">
        <f>(E566/C566)*1000</f>
        <v>2.3030561519468322</v>
      </c>
      <c r="L566">
        <f>CORREL(C566:C1064, D566:D1064)</f>
        <v>0.78690085871765147</v>
      </c>
      <c r="M566">
        <f>CORREL(C566:C1064,E566:E1064)</f>
        <v>3.9760527609283079E-2</v>
      </c>
      <c r="N566">
        <f>LEN(A566)</f>
        <v>26</v>
      </c>
      <c r="O566" t="str">
        <f>IF(ISNUMBER(SEARCH("$",A566)), "Money", IF(ISNUMBER(SEARCH("Win",A566)), "Challenge",IF(ISNUMBER(SEARCH("Challenge",A566)), "Challenge",IF(ISNUMBER(SEARCH("Last To Leave",A566)),"Challenge",IF(ISNUMBER(SEARCH("Giving Away", A566)),"Giveaway",IF(ISNUMBER(SEARCH("Stranded",A566)),"Survival", IF(ISNUMBER(SEARCH("Survive",A566)), "Survival", IF(ISNUMBER(SEARCH("Days",A566)),"Endurance","Other"))))))))</f>
        <v>Money</v>
      </c>
    </row>
    <row r="567" spans="1:15" x14ac:dyDescent="0.3">
      <c r="A567" t="s">
        <v>576</v>
      </c>
      <c r="B567" s="1">
        <v>43192</v>
      </c>
      <c r="C567" s="2">
        <v>13424822</v>
      </c>
      <c r="D567" s="3">
        <v>341237</v>
      </c>
      <c r="E567" s="3">
        <v>24029</v>
      </c>
      <c r="F567">
        <f>YEAR(B567)</f>
        <v>2018</v>
      </c>
      <c r="G567" t="str">
        <f>TEXT(B567,"MMMM")</f>
        <v>April</v>
      </c>
      <c r="H567" t="str">
        <f>TEXT(B567, "DDDD")</f>
        <v>Monday</v>
      </c>
      <c r="I567">
        <f>((D567+E567)/C567)*100</f>
        <v>2.7208256467013121</v>
      </c>
      <c r="J567">
        <f>(D567/C567)*1000</f>
        <v>25.418363088910976</v>
      </c>
      <c r="K567">
        <f>(E567/C567)*1000</f>
        <v>1.7898933781021453</v>
      </c>
      <c r="L567">
        <f>CORREL(C567:C1065, D567:D1065)</f>
        <v>0.78646660070303887</v>
      </c>
      <c r="M567">
        <f>CORREL(C567:C1065,E567:E1065)</f>
        <v>3.8718104931556287E-2</v>
      </c>
      <c r="N567">
        <f>LEN(A567)</f>
        <v>50</v>
      </c>
      <c r="O567" t="str">
        <f>IF(ISNUMBER(SEARCH("$",A567)), "Money", IF(ISNUMBER(SEARCH("Win",A567)), "Challenge",IF(ISNUMBER(SEARCH("Challenge",A567)), "Challenge",IF(ISNUMBER(SEARCH("Last To Leave",A567)),"Challenge",IF(ISNUMBER(SEARCH("Giving Away", A567)),"Giveaway",IF(ISNUMBER(SEARCH("Stranded",A567)),"Survival", IF(ISNUMBER(SEARCH("Survive",A567)), "Survival", IF(ISNUMBER(SEARCH("Days",A567)),"Endurance","Other"))))))))</f>
        <v>Other</v>
      </c>
    </row>
    <row r="568" spans="1:15" x14ac:dyDescent="0.3">
      <c r="A568" t="s">
        <v>577</v>
      </c>
      <c r="B568" s="1">
        <v>43162</v>
      </c>
      <c r="C568" s="2">
        <v>11395057</v>
      </c>
      <c r="D568" s="3">
        <v>273307</v>
      </c>
      <c r="E568" s="3">
        <v>15595</v>
      </c>
      <c r="F568">
        <f>YEAR(B568)</f>
        <v>2018</v>
      </c>
      <c r="G568" t="str">
        <f>TEXT(B568,"MMMM")</f>
        <v>March</v>
      </c>
      <c r="H568" t="str">
        <f>TEXT(B568, "DDDD")</f>
        <v>Saturday</v>
      </c>
      <c r="I568">
        <f>((D568+E568)/C568)*100</f>
        <v>2.5353273792311879</v>
      </c>
      <c r="J568">
        <f>(D568/C568)*1000</f>
        <v>23.984697926478123</v>
      </c>
      <c r="K568">
        <f>(E568/C568)*1000</f>
        <v>1.3685758658337557</v>
      </c>
      <c r="L568">
        <f>CORREL(C568:C1066, D568:D1066)</f>
        <v>0.78600816870032186</v>
      </c>
      <c r="M568">
        <f>CORREL(C568:C1066,E568:E1066)</f>
        <v>3.7449665105690012E-2</v>
      </c>
      <c r="N568">
        <f>LEN(A568)</f>
        <v>50</v>
      </c>
      <c r="O568" t="str">
        <f>IF(ISNUMBER(SEARCH("$",A568)), "Money", IF(ISNUMBER(SEARCH("Win",A568)), "Challenge",IF(ISNUMBER(SEARCH("Challenge",A568)), "Challenge",IF(ISNUMBER(SEARCH("Last To Leave",A568)),"Challenge",IF(ISNUMBER(SEARCH("Giving Away", A568)),"Giveaway",IF(ISNUMBER(SEARCH("Stranded",A568)),"Survival", IF(ISNUMBER(SEARCH("Survive",A568)), "Survival", IF(ISNUMBER(SEARCH("Days",A568)),"Endurance","Other"))))))))</f>
        <v>Money</v>
      </c>
    </row>
    <row r="569" spans="1:15" x14ac:dyDescent="0.3">
      <c r="A569" t="s">
        <v>578</v>
      </c>
      <c r="B569" s="1">
        <v>43259</v>
      </c>
      <c r="C569" s="2">
        <v>11375154</v>
      </c>
      <c r="D569" s="3">
        <v>292205</v>
      </c>
      <c r="E569" s="3">
        <v>18907</v>
      </c>
      <c r="F569">
        <f>YEAR(B569)</f>
        <v>2018</v>
      </c>
      <c r="G569" t="str">
        <f>TEXT(B569,"MMMM")</f>
        <v>June</v>
      </c>
      <c r="H569" t="str">
        <f>TEXT(B569, "DDDD")</f>
        <v>Friday</v>
      </c>
      <c r="I569">
        <f>((D569+E569)/C569)*100</f>
        <v>2.7350135215751803</v>
      </c>
      <c r="J569">
        <f>(D569/C569)*1000</f>
        <v>25.688003872299223</v>
      </c>
      <c r="K569">
        <f>(E569/C569)*1000</f>
        <v>1.6621313434525808</v>
      </c>
      <c r="L569">
        <f>CORREL(C569:C1067, D569:D1067)</f>
        <v>0.785535905171031</v>
      </c>
      <c r="M569">
        <f>CORREL(C569:C1067,E569:E1067)</f>
        <v>3.5971407635498241E-2</v>
      </c>
      <c r="N569">
        <f>LEN(A569)</f>
        <v>49</v>
      </c>
      <c r="O569" t="str">
        <f>IF(ISNUMBER(SEARCH("$",A569)), "Money", IF(ISNUMBER(SEARCH("Win",A569)), "Challenge",IF(ISNUMBER(SEARCH("Challenge",A569)), "Challenge",IF(ISNUMBER(SEARCH("Last To Leave",A569)),"Challenge",IF(ISNUMBER(SEARCH("Giving Away", A569)),"Giveaway",IF(ISNUMBER(SEARCH("Stranded",A569)),"Survival", IF(ISNUMBER(SEARCH("Survive",A569)), "Survival", IF(ISNUMBER(SEARCH("Days",A569)),"Endurance","Other"))))))))</f>
        <v>Other</v>
      </c>
    </row>
    <row r="570" spans="1:15" x14ac:dyDescent="0.3">
      <c r="A570" t="s">
        <v>579</v>
      </c>
      <c r="B570" s="1">
        <v>43133</v>
      </c>
      <c r="C570" s="2">
        <v>9228477</v>
      </c>
      <c r="D570" s="3">
        <v>227700</v>
      </c>
      <c r="E570" s="3">
        <v>10840</v>
      </c>
      <c r="F570">
        <f>YEAR(B570)</f>
        <v>2018</v>
      </c>
      <c r="G570" t="str">
        <f>TEXT(B570,"MMMM")</f>
        <v>February</v>
      </c>
      <c r="H570" t="str">
        <f>TEXT(B570, "DDDD")</f>
        <v>Friday</v>
      </c>
      <c r="I570">
        <f>((D570+E570)/C570)*100</f>
        <v>2.5848252100536198</v>
      </c>
      <c r="J570">
        <f>(D570/C570)*1000</f>
        <v>24.673627078444255</v>
      </c>
      <c r="K570">
        <f>(E570/C570)*1000</f>
        <v>1.1746250220919443</v>
      </c>
      <c r="L570">
        <f>CORREL(C570:C1068, D570:D1068)</f>
        <v>0.78506187574162112</v>
      </c>
      <c r="M570">
        <f>CORREL(C570:C1068,E570:E1068)</f>
        <v>3.4555453294508785E-2</v>
      </c>
      <c r="N570">
        <f>LEN(A570)</f>
        <v>40</v>
      </c>
      <c r="O570" t="str">
        <f>IF(ISNUMBER(SEARCH("$",A570)), "Money", IF(ISNUMBER(SEARCH("Win",A570)), "Challenge",IF(ISNUMBER(SEARCH("Challenge",A570)), "Challenge",IF(ISNUMBER(SEARCH("Last To Leave",A570)),"Challenge",IF(ISNUMBER(SEARCH("Giving Away", A570)),"Giveaway",IF(ISNUMBER(SEARCH("Stranded",A570)),"Survival", IF(ISNUMBER(SEARCH("Survive",A570)), "Survival", IF(ISNUMBER(SEARCH("Days",A570)),"Endurance","Other"))))))))</f>
        <v>Other</v>
      </c>
    </row>
    <row r="571" spans="1:15" x14ac:dyDescent="0.3">
      <c r="A571" t="s">
        <v>580</v>
      </c>
      <c r="B571" s="1">
        <v>43153</v>
      </c>
      <c r="C571" s="2">
        <v>8882440</v>
      </c>
      <c r="D571" s="3">
        <v>235189</v>
      </c>
      <c r="E571" s="3">
        <v>21739</v>
      </c>
      <c r="F571">
        <f>YEAR(B571)</f>
        <v>2018</v>
      </c>
      <c r="G571" t="str">
        <f>TEXT(B571,"MMMM")</f>
        <v>February</v>
      </c>
      <c r="H571" t="str">
        <f>TEXT(B571, "DDDD")</f>
        <v>Thursday</v>
      </c>
      <c r="I571">
        <f>((D571+E571)/C571)*100</f>
        <v>2.8925385367083818</v>
      </c>
      <c r="J571">
        <f>(D571/C571)*1000</f>
        <v>26.477972268881071</v>
      </c>
      <c r="K571">
        <f>(E571/C571)*1000</f>
        <v>2.447413098202746</v>
      </c>
      <c r="L571">
        <f>CORREL(C571:C1069, D571:D1069)</f>
        <v>0.78457405876416453</v>
      </c>
      <c r="M571">
        <f>CORREL(C571:C1069,E571:E1069)</f>
        <v>3.2931820153519066E-2</v>
      </c>
      <c r="N571">
        <f>LEN(A571)</f>
        <v>53</v>
      </c>
      <c r="O571" t="str">
        <f>IF(ISNUMBER(SEARCH("$",A571)), "Money", IF(ISNUMBER(SEARCH("Win",A571)), "Challenge",IF(ISNUMBER(SEARCH("Challenge",A571)), "Challenge",IF(ISNUMBER(SEARCH("Last To Leave",A571)),"Challenge",IF(ISNUMBER(SEARCH("Giving Away", A571)),"Giveaway",IF(ISNUMBER(SEARCH("Stranded",A571)),"Survival", IF(ISNUMBER(SEARCH("Survive",A571)), "Survival", IF(ISNUMBER(SEARCH("Days",A571)),"Endurance","Other"))))))))</f>
        <v>Other</v>
      </c>
    </row>
    <row r="572" spans="1:15" x14ac:dyDescent="0.3">
      <c r="A572" t="s">
        <v>581</v>
      </c>
      <c r="B572" s="1">
        <v>43167</v>
      </c>
      <c r="C572" s="2">
        <v>7842577</v>
      </c>
      <c r="D572" s="3">
        <v>248127</v>
      </c>
      <c r="E572" s="3">
        <v>16991</v>
      </c>
      <c r="F572">
        <f>YEAR(B572)</f>
        <v>2018</v>
      </c>
      <c r="G572" t="str">
        <f>TEXT(B572,"MMMM")</f>
        <v>March</v>
      </c>
      <c r="H572" t="str">
        <f>TEXT(B572, "DDDD")</f>
        <v>Thursday</v>
      </c>
      <c r="I572">
        <f>((D572+E572)/C572)*100</f>
        <v>3.3804959772788967</v>
      </c>
      <c r="J572">
        <f>(D572/C572)*1000</f>
        <v>31.638452513759191</v>
      </c>
      <c r="K572">
        <f>(E572/C572)*1000</f>
        <v>2.1665072590297805</v>
      </c>
      <c r="L572">
        <f>CORREL(C572:C1070, D572:D1070)</f>
        <v>0.78408264757676172</v>
      </c>
      <c r="M572">
        <f>CORREL(C572:C1070,E572:E1070)</f>
        <v>3.1543830817932619E-2</v>
      </c>
      <c r="N572">
        <f>LEN(A572)</f>
        <v>30</v>
      </c>
      <c r="O572" t="str">
        <f>IF(ISNUMBER(SEARCH("$",A572)), "Money", IF(ISNUMBER(SEARCH("Win",A572)), "Challenge",IF(ISNUMBER(SEARCH("Challenge",A572)), "Challenge",IF(ISNUMBER(SEARCH("Last To Leave",A572)),"Challenge",IF(ISNUMBER(SEARCH("Giving Away", A572)),"Giveaway",IF(ISNUMBER(SEARCH("Stranded",A572)),"Survival", IF(ISNUMBER(SEARCH("Survive",A572)), "Survival", IF(ISNUMBER(SEARCH("Days",A572)),"Endurance","Other"))))))))</f>
        <v>Money</v>
      </c>
    </row>
    <row r="573" spans="1:15" x14ac:dyDescent="0.3">
      <c r="A573" t="s">
        <v>582</v>
      </c>
      <c r="B573" s="1">
        <v>43743</v>
      </c>
      <c r="C573" s="2">
        <v>319505425</v>
      </c>
      <c r="D573" s="3">
        <v>5273775</v>
      </c>
      <c r="E573" s="3">
        <v>132625</v>
      </c>
      <c r="F573">
        <f>YEAR(B573)</f>
        <v>2019</v>
      </c>
      <c r="G573" t="str">
        <f>TEXT(B573,"MMMM")</f>
        <v>October</v>
      </c>
      <c r="H573" t="str">
        <f>TEXT(B573, "DDDD")</f>
        <v>Saturday</v>
      </c>
      <c r="I573">
        <f>((D573+E573)/C573)*100</f>
        <v>1.692115243426618</v>
      </c>
      <c r="J573">
        <f>(D573/C573)*1000</f>
        <v>16.506057760991069</v>
      </c>
      <c r="K573">
        <f>(E573/C573)*1000</f>
        <v>0.41509467327510952</v>
      </c>
      <c r="L573">
        <f>CORREL(C573:C1071, D573:D1071)</f>
        <v>0.78358833201279277</v>
      </c>
      <c r="M573">
        <f>CORREL(C573:C1071,E573:E1071)</f>
        <v>3.002822787152817E-2</v>
      </c>
      <c r="N573">
        <f>LEN(A573)</f>
        <v>45</v>
      </c>
      <c r="O573" t="str">
        <f>IF(ISNUMBER(SEARCH("$",A573)), "Money", IF(ISNUMBER(SEARCH("Win",A573)), "Challenge",IF(ISNUMBER(SEARCH("Challenge",A573)), "Challenge",IF(ISNUMBER(SEARCH("Last To Leave",A573)),"Challenge",IF(ISNUMBER(SEARCH("Giving Away", A573)),"Giveaway",IF(ISNUMBER(SEARCH("Stranded",A573)),"Survival", IF(ISNUMBER(SEARCH("Survive",A573)), "Survival", IF(ISNUMBER(SEARCH("Days",A573)),"Endurance","Other"))))))))</f>
        <v>Other</v>
      </c>
    </row>
    <row r="574" spans="1:15" x14ac:dyDescent="0.3">
      <c r="A574" t="s">
        <v>583</v>
      </c>
      <c r="B574" s="1">
        <v>43778</v>
      </c>
      <c r="C574" s="2">
        <v>275554980</v>
      </c>
      <c r="D574" s="3">
        <v>4534588</v>
      </c>
      <c r="E574" s="3">
        <v>100685</v>
      </c>
      <c r="F574">
        <f>YEAR(B574)</f>
        <v>2019</v>
      </c>
      <c r="G574" t="str">
        <f>TEXT(B574,"MMMM")</f>
        <v>November</v>
      </c>
      <c r="H574" t="str">
        <f>TEXT(B574, "DDDD")</f>
        <v>Saturday</v>
      </c>
      <c r="I574">
        <f>((D574+E574)/C574)*100</f>
        <v>1.6821590377354094</v>
      </c>
      <c r="J574">
        <f>(D574/C574)*1000</f>
        <v>16.456200501257499</v>
      </c>
      <c r="K574">
        <f>(E574/C574)*1000</f>
        <v>0.36538987609659601</v>
      </c>
      <c r="L574">
        <f>CORREL(C574:C1072, D574:D1072)</f>
        <v>0.78367729207400993</v>
      </c>
      <c r="M574">
        <f>CORREL(C574:C1072,E574:E1072)</f>
        <v>2.9966574600859924E-2</v>
      </c>
      <c r="N574">
        <f>LEN(A574)</f>
        <v>51</v>
      </c>
      <c r="O574" t="str">
        <f>IF(ISNUMBER(SEARCH("$",A574)), "Money", IF(ISNUMBER(SEARCH("Win",A574)), "Challenge",IF(ISNUMBER(SEARCH("Challenge",A574)), "Challenge",IF(ISNUMBER(SEARCH("Last To Leave",A574)),"Challenge",IF(ISNUMBER(SEARCH("Giving Away", A574)),"Giveaway",IF(ISNUMBER(SEARCH("Stranded",A574)),"Survival", IF(ISNUMBER(SEARCH("Survive",A574)), "Survival", IF(ISNUMBER(SEARCH("Days",A574)),"Endurance","Other"))))))))</f>
        <v>Other</v>
      </c>
    </row>
    <row r="575" spans="1:15" x14ac:dyDescent="0.3">
      <c r="A575" t="s">
        <v>584</v>
      </c>
      <c r="B575" s="1">
        <v>43600</v>
      </c>
      <c r="C575" s="2">
        <v>269523910</v>
      </c>
      <c r="D575" s="3">
        <v>3531958</v>
      </c>
      <c r="E575" s="3">
        <v>87524</v>
      </c>
      <c r="F575">
        <f>YEAR(B575)</f>
        <v>2019</v>
      </c>
      <c r="G575" t="str">
        <f>TEXT(B575,"MMMM")</f>
        <v>May</v>
      </c>
      <c r="H575" t="str">
        <f>TEXT(B575, "DDDD")</f>
        <v>Wednesday</v>
      </c>
      <c r="I575">
        <f>((D575+E575)/C575)*100</f>
        <v>1.342916849195309</v>
      </c>
      <c r="J575">
        <f>(D575/C575)*1000</f>
        <v>13.104432923965819</v>
      </c>
      <c r="K575">
        <f>(E575/C575)*1000</f>
        <v>0.3247355679872706</v>
      </c>
      <c r="L575">
        <f>CORREL(C575:C1073, D575:D1073)</f>
        <v>0.78370616283189332</v>
      </c>
      <c r="M575">
        <f>CORREL(C575:C1073,E575:E1073)</f>
        <v>3.0004100135898427E-2</v>
      </c>
      <c r="N575">
        <f>LEN(A575)</f>
        <v>57</v>
      </c>
      <c r="O575" t="str">
        <f>IF(ISNUMBER(SEARCH("$",A575)), "Money", IF(ISNUMBER(SEARCH("Win",A575)), "Challenge",IF(ISNUMBER(SEARCH("Challenge",A575)), "Challenge",IF(ISNUMBER(SEARCH("Last To Leave",A575)),"Challenge",IF(ISNUMBER(SEARCH("Giving Away", A575)),"Giveaway",IF(ISNUMBER(SEARCH("Stranded",A575)),"Survival", IF(ISNUMBER(SEARCH("Survive",A575)), "Survival", IF(ISNUMBER(SEARCH("Days",A575)),"Endurance","Other"))))))))</f>
        <v>Money</v>
      </c>
    </row>
    <row r="576" spans="1:15" x14ac:dyDescent="0.3">
      <c r="A576" t="s">
        <v>585</v>
      </c>
      <c r="B576" s="1">
        <v>43496</v>
      </c>
      <c r="C576" s="2">
        <v>239776679</v>
      </c>
      <c r="D576" s="3">
        <v>3573459</v>
      </c>
      <c r="E576" s="3">
        <v>142825</v>
      </c>
      <c r="F576">
        <f>YEAR(B576)</f>
        <v>2019</v>
      </c>
      <c r="G576" t="str">
        <f>TEXT(B576,"MMMM")</f>
        <v>January</v>
      </c>
      <c r="H576" t="str">
        <f>TEXT(B576, "DDDD")</f>
        <v>Thursday</v>
      </c>
      <c r="I576">
        <f>((D576+E576)/C576)*100</f>
        <v>1.5498938493513792</v>
      </c>
      <c r="J576">
        <f>(D576/C576)*1000</f>
        <v>14.903280064196736</v>
      </c>
      <c r="K576">
        <f>(E576/C576)*1000</f>
        <v>0.59565842931705626</v>
      </c>
      <c r="L576">
        <f>CORREL(C576:C1074, D576:D1074)</f>
        <v>0.78378233006466314</v>
      </c>
      <c r="M576">
        <f>CORREL(C576:C1074,E576:E1074)</f>
        <v>3.0014860436315054E-2</v>
      </c>
      <c r="N576">
        <f>LEN(A576)</f>
        <v>31</v>
      </c>
      <c r="O576" t="str">
        <f>IF(ISNUMBER(SEARCH("$",A576)), "Money", IF(ISNUMBER(SEARCH("Win",A576)), "Challenge",IF(ISNUMBER(SEARCH("Challenge",A576)), "Challenge",IF(ISNUMBER(SEARCH("Last To Leave",A576)),"Challenge",IF(ISNUMBER(SEARCH("Giving Away", A576)),"Giveaway",IF(ISNUMBER(SEARCH("Stranded",A576)),"Survival", IF(ISNUMBER(SEARCH("Survive",A576)), "Survival", IF(ISNUMBER(SEARCH("Days",A576)),"Endurance","Other"))))))))</f>
        <v>Money</v>
      </c>
    </row>
    <row r="577" spans="1:15" x14ac:dyDescent="0.3">
      <c r="A577" t="s">
        <v>586</v>
      </c>
      <c r="B577" s="1">
        <v>43750</v>
      </c>
      <c r="C577" s="2">
        <v>237604154</v>
      </c>
      <c r="D577" s="3">
        <v>3224390</v>
      </c>
      <c r="E577" s="3">
        <v>57319</v>
      </c>
      <c r="F577">
        <f>YEAR(B577)</f>
        <v>2019</v>
      </c>
      <c r="G577" t="str">
        <f>TEXT(B577,"MMMM")</f>
        <v>October</v>
      </c>
      <c r="H577" t="str">
        <f>TEXT(B577, "DDDD")</f>
        <v>Saturday</v>
      </c>
      <c r="I577">
        <f>((D577+E577)/C577)*100</f>
        <v>1.3811665094037033</v>
      </c>
      <c r="J577">
        <f>(D577/C577)*1000</f>
        <v>13.570427729138101</v>
      </c>
      <c r="K577">
        <f>(E577/C577)*1000</f>
        <v>0.24123736489893186</v>
      </c>
      <c r="L577">
        <f>CORREL(C577:C1075, D577:D1075)</f>
        <v>0.78376703983825569</v>
      </c>
      <c r="M577">
        <f>CORREL(C577:C1075,E577:E1075)</f>
        <v>3.0324511378641856E-2</v>
      </c>
      <c r="N577">
        <f>LEN(A577)</f>
        <v>45</v>
      </c>
      <c r="O577" t="str">
        <f>IF(ISNUMBER(SEARCH("$",A577)), "Money", IF(ISNUMBER(SEARCH("Win",A577)), "Challenge",IF(ISNUMBER(SEARCH("Challenge",A577)), "Challenge",IF(ISNUMBER(SEARCH("Last To Leave",A577)),"Challenge",IF(ISNUMBER(SEARCH("Giving Away", A577)),"Giveaway",IF(ISNUMBER(SEARCH("Stranded",A577)),"Survival", IF(ISNUMBER(SEARCH("Survive",A577)), "Survival", IF(ISNUMBER(SEARCH("Days",A577)),"Endurance","Other"))))))))</f>
        <v>Other</v>
      </c>
    </row>
    <row r="578" spans="1:15" x14ac:dyDescent="0.3">
      <c r="A578" t="s">
        <v>587</v>
      </c>
      <c r="B578" s="1">
        <v>43629</v>
      </c>
      <c r="C578" s="2">
        <v>234932962</v>
      </c>
      <c r="D578" s="3">
        <v>4108930</v>
      </c>
      <c r="E578" s="3">
        <v>116554</v>
      </c>
      <c r="F578">
        <f>YEAR(B578)</f>
        <v>2019</v>
      </c>
      <c r="G578" t="str">
        <f>TEXT(B578,"MMMM")</f>
        <v>June</v>
      </c>
      <c r="H578" t="str">
        <f>TEXT(B578, "DDDD")</f>
        <v>Thursday</v>
      </c>
      <c r="I578">
        <f>((D578+E578)/C578)*100</f>
        <v>1.7985913785907996</v>
      </c>
      <c r="J578">
        <f>(D578/C578)*1000</f>
        <v>17.489797791763255</v>
      </c>
      <c r="K578">
        <f>(E578/C578)*1000</f>
        <v>0.49611599414474666</v>
      </c>
      <c r="L578">
        <f>CORREL(C578:C1076, D578:D1076)</f>
        <v>0.78376084485501918</v>
      </c>
      <c r="M578">
        <f>CORREL(C578:C1076,E578:E1076)</f>
        <v>3.0191581373949356E-2</v>
      </c>
      <c r="N578">
        <f>LEN(A578)</f>
        <v>38</v>
      </c>
      <c r="O578" t="str">
        <f>IF(ISNUMBER(SEARCH("$",A578)), "Money", IF(ISNUMBER(SEARCH("Win",A578)), "Challenge",IF(ISNUMBER(SEARCH("Challenge",A578)), "Challenge",IF(ISNUMBER(SEARCH("Last To Leave",A578)),"Challenge",IF(ISNUMBER(SEARCH("Giving Away", A578)),"Giveaway",IF(ISNUMBER(SEARCH("Stranded",A578)),"Survival", IF(ISNUMBER(SEARCH("Survive",A578)), "Survival", IF(ISNUMBER(SEARCH("Days",A578)),"Endurance","Other"))))))))</f>
        <v>Other</v>
      </c>
    </row>
    <row r="579" spans="1:15" x14ac:dyDescent="0.3">
      <c r="A579" t="s">
        <v>588</v>
      </c>
      <c r="B579" s="1">
        <v>43699</v>
      </c>
      <c r="C579" s="2">
        <v>217437479</v>
      </c>
      <c r="D579" s="3">
        <v>3690221</v>
      </c>
      <c r="E579" s="3">
        <v>80607</v>
      </c>
      <c r="F579">
        <f>YEAR(B579)</f>
        <v>2019</v>
      </c>
      <c r="G579" t="str">
        <f>TEXT(B579,"MMMM")</f>
        <v>August</v>
      </c>
      <c r="H579" t="str">
        <f>TEXT(B579, "DDDD")</f>
        <v>Thursday</v>
      </c>
      <c r="I579">
        <f>((D579+E579)/C579)*100</f>
        <v>1.7342125273628655</v>
      </c>
      <c r="J579">
        <f>(D579/C579)*1000</f>
        <v>16.971411814427814</v>
      </c>
      <c r="K579">
        <f>(E579/C579)*1000</f>
        <v>0.37071345920083998</v>
      </c>
      <c r="L579">
        <f>CORREL(C579:C1077, D579:D1077)</f>
        <v>0.78372121899008396</v>
      </c>
      <c r="M579">
        <f>CORREL(C579:C1077,E579:E1077)</f>
        <v>3.0376997627938621E-2</v>
      </c>
      <c r="N579">
        <f>LEN(A579)</f>
        <v>39</v>
      </c>
      <c r="O579" t="str">
        <f>IF(ISNUMBER(SEARCH("$",A579)), "Money", IF(ISNUMBER(SEARCH("Win",A579)), "Challenge",IF(ISNUMBER(SEARCH("Challenge",A579)), "Challenge",IF(ISNUMBER(SEARCH("Last To Leave",A579)),"Challenge",IF(ISNUMBER(SEARCH("Giving Away", A579)),"Giveaway",IF(ISNUMBER(SEARCH("Stranded",A579)),"Survival", IF(ISNUMBER(SEARCH("Survive",A579)), "Survival", IF(ISNUMBER(SEARCH("Days",A579)),"Endurance","Other"))))))))</f>
        <v>Other</v>
      </c>
    </row>
    <row r="580" spans="1:15" x14ac:dyDescent="0.3">
      <c r="A580" t="s">
        <v>589</v>
      </c>
      <c r="B580" s="1">
        <v>43820</v>
      </c>
      <c r="C580" s="2">
        <v>210997555</v>
      </c>
      <c r="D580" s="3">
        <v>4893643</v>
      </c>
      <c r="E580" s="3">
        <v>127577</v>
      </c>
      <c r="F580">
        <f>YEAR(B580)</f>
        <v>2019</v>
      </c>
      <c r="G580" t="str">
        <f>TEXT(B580,"MMMM")</f>
        <v>December</v>
      </c>
      <c r="H580" t="str">
        <f>TEXT(B580, "DDDD")</f>
        <v>Saturday</v>
      </c>
      <c r="I580">
        <f>((D580+E580)/C580)*100</f>
        <v>2.379752694290699</v>
      </c>
      <c r="J580">
        <f>(D580/C580)*1000</f>
        <v>23.192889604810823</v>
      </c>
      <c r="K580">
        <f>(E580/C580)*1000</f>
        <v>0.60463733809616893</v>
      </c>
      <c r="L580">
        <f>CORREL(C580:C1078, D580:D1078)</f>
        <v>0.78365474191250239</v>
      </c>
      <c r="M580">
        <f>CORREL(C580:C1078,E580:E1078)</f>
        <v>3.0361123157950188E-2</v>
      </c>
      <c r="N580">
        <f>LEN(A580)</f>
        <v>31</v>
      </c>
      <c r="O580" t="str">
        <f>IF(ISNUMBER(SEARCH("$",A580)), "Money", IF(ISNUMBER(SEARCH("Win",A580)), "Challenge",IF(ISNUMBER(SEARCH("Challenge",A580)), "Challenge",IF(ISNUMBER(SEARCH("Last To Leave",A580)),"Challenge",IF(ISNUMBER(SEARCH("Giving Away", A580)),"Giveaway",IF(ISNUMBER(SEARCH("Stranded",A580)),"Survival", IF(ISNUMBER(SEARCH("Survive",A580)), "Survival", IF(ISNUMBER(SEARCH("Days",A580)),"Endurance","Other"))))))))</f>
        <v>Money</v>
      </c>
    </row>
    <row r="581" spans="1:15" x14ac:dyDescent="0.3">
      <c r="A581" t="s">
        <v>590</v>
      </c>
      <c r="B581" s="1">
        <v>43573</v>
      </c>
      <c r="C581" s="2">
        <v>206559058</v>
      </c>
      <c r="D581" s="3">
        <v>4395170</v>
      </c>
      <c r="E581" s="3">
        <v>81195</v>
      </c>
      <c r="F581">
        <f>YEAR(B581)</f>
        <v>2019</v>
      </c>
      <c r="G581" t="str">
        <f>TEXT(B581,"MMMM")</f>
        <v>April</v>
      </c>
      <c r="H581" t="str">
        <f>TEXT(B581, "DDDD")</f>
        <v>Thursday</v>
      </c>
      <c r="I581">
        <f>((D581+E581)/C581)*100</f>
        <v>2.1671114514861896</v>
      </c>
      <c r="J581">
        <f>(D581/C581)*1000</f>
        <v>21.278030808990231</v>
      </c>
      <c r="K581">
        <f>(E581/C581)*1000</f>
        <v>0.39308370587166408</v>
      </c>
      <c r="L581">
        <f>CORREL(C581:C1079, D581:D1079)</f>
        <v>0.78360675373266597</v>
      </c>
      <c r="M581">
        <f>CORREL(C581:C1079,E581:E1079)</f>
        <v>3.0698190120862251E-2</v>
      </c>
      <c r="N581">
        <f>LEN(A581)</f>
        <v>31</v>
      </c>
      <c r="O581" t="str">
        <f>IF(ISNUMBER(SEARCH("$",A581)), "Money", IF(ISNUMBER(SEARCH("Win",A581)), "Challenge",IF(ISNUMBER(SEARCH("Challenge",A581)), "Challenge",IF(ISNUMBER(SEARCH("Last To Leave",A581)),"Challenge",IF(ISNUMBER(SEARCH("Giving Away", A581)),"Giveaway",IF(ISNUMBER(SEARCH("Stranded",A581)),"Survival", IF(ISNUMBER(SEARCH("Survive",A581)), "Survival", IF(ISNUMBER(SEARCH("Days",A581)),"Endurance","Other"))))))))</f>
        <v>Other</v>
      </c>
    </row>
    <row r="582" spans="1:15" x14ac:dyDescent="0.3">
      <c r="A582" t="s">
        <v>591</v>
      </c>
      <c r="B582" s="1">
        <v>43679</v>
      </c>
      <c r="C582" s="2">
        <v>199179185</v>
      </c>
      <c r="D582" s="3">
        <v>4037852</v>
      </c>
      <c r="E582" s="3">
        <v>100250</v>
      </c>
      <c r="F582">
        <f>YEAR(B582)</f>
        <v>2019</v>
      </c>
      <c r="G582" t="str">
        <f>TEXT(B582,"MMMM")</f>
        <v>August</v>
      </c>
      <c r="H582" t="str">
        <f>TEXT(B582, "DDDD")</f>
        <v>Friday</v>
      </c>
      <c r="I582">
        <f>((D582+E582)/C582)*100</f>
        <v>2.0775775340179248</v>
      </c>
      <c r="J582">
        <f>(D582/C582)*1000</f>
        <v>20.272459695022853</v>
      </c>
      <c r="K582">
        <f>(E582/C582)*1000</f>
        <v>0.50331564515639526</v>
      </c>
      <c r="L582">
        <f>CORREL(C582:C1080, D582:D1080)</f>
        <v>0.78353723509471118</v>
      </c>
      <c r="M582">
        <f>CORREL(C582:C1080,E582:E1080)</f>
        <v>3.0686241973862122E-2</v>
      </c>
      <c r="N582">
        <f>LEN(A582)</f>
        <v>36</v>
      </c>
      <c r="O582" t="str">
        <f>IF(ISNUMBER(SEARCH("$",A582)), "Money", IF(ISNUMBER(SEARCH("Win",A582)), "Challenge",IF(ISNUMBER(SEARCH("Challenge",A582)), "Challenge",IF(ISNUMBER(SEARCH("Last To Leave",A582)),"Challenge",IF(ISNUMBER(SEARCH("Giving Away", A582)),"Giveaway",IF(ISNUMBER(SEARCH("Stranded",A582)),"Survival", IF(ISNUMBER(SEARCH("Survive",A582)), "Survival", IF(ISNUMBER(SEARCH("Days",A582)),"Endurance","Other"))))))))</f>
        <v>Other</v>
      </c>
    </row>
    <row r="583" spans="1:15" x14ac:dyDescent="0.3">
      <c r="A583" t="s">
        <v>592</v>
      </c>
      <c r="B583" s="1">
        <v>43592</v>
      </c>
      <c r="C583" s="2">
        <v>192874173</v>
      </c>
      <c r="D583" s="3">
        <v>3040800</v>
      </c>
      <c r="E583" s="3">
        <v>67408</v>
      </c>
      <c r="F583">
        <f>YEAR(B583)</f>
        <v>2019</v>
      </c>
      <c r="G583" t="str">
        <f>TEXT(B583,"MMMM")</f>
        <v>May</v>
      </c>
      <c r="H583" t="str">
        <f>TEXT(B583, "DDDD")</f>
        <v>Tuesday</v>
      </c>
      <c r="I583">
        <f>((D583+E583)/C583)*100</f>
        <v>1.6115211029317025</v>
      </c>
      <c r="J583">
        <f>(D583/C583)*1000</f>
        <v>15.765718928059901</v>
      </c>
      <c r="K583">
        <f>(E583/C583)*1000</f>
        <v>0.34949210125712377</v>
      </c>
      <c r="L583">
        <f>CORREL(C583:C1081, D583:D1081)</f>
        <v>0.78345077257874862</v>
      </c>
      <c r="M583">
        <f>CORREL(C583:C1081,E583:E1081)</f>
        <v>3.0834949990757622E-2</v>
      </c>
      <c r="N583">
        <f>LEN(A583)</f>
        <v>40</v>
      </c>
      <c r="O583" t="str">
        <f>IF(ISNUMBER(SEARCH("$",A583)), "Money", IF(ISNUMBER(SEARCH("Win",A583)), "Challenge",IF(ISNUMBER(SEARCH("Challenge",A583)), "Challenge",IF(ISNUMBER(SEARCH("Last To Leave",A583)),"Challenge",IF(ISNUMBER(SEARCH("Giving Away", A583)),"Giveaway",IF(ISNUMBER(SEARCH("Stranded",A583)),"Survival", IF(ISNUMBER(SEARCH("Survive",A583)), "Survival", IF(ISNUMBER(SEARCH("Days",A583)),"Endurance","Other"))))))))</f>
        <v>Other</v>
      </c>
    </row>
    <row r="584" spans="1:15" x14ac:dyDescent="0.3">
      <c r="A584" t="s">
        <v>593</v>
      </c>
      <c r="B584" s="1">
        <v>43540</v>
      </c>
      <c r="C584" s="2">
        <v>191435982</v>
      </c>
      <c r="D584" s="3">
        <v>3449341</v>
      </c>
      <c r="E584" s="3">
        <v>96705</v>
      </c>
      <c r="F584">
        <f>YEAR(B584)</f>
        <v>2019</v>
      </c>
      <c r="G584" t="str">
        <f>TEXT(B584,"MMMM")</f>
        <v>March</v>
      </c>
      <c r="H584" t="str">
        <f>TEXT(B584, "DDDD")</f>
        <v>Saturday</v>
      </c>
      <c r="I584">
        <f>((D584+E584)/C584)*100</f>
        <v>1.8523403818619637</v>
      </c>
      <c r="J584">
        <f>(D584/C584)*1000</f>
        <v>18.018248001047159</v>
      </c>
      <c r="K584">
        <f>(E584/C584)*1000</f>
        <v>0.50515581757247707</v>
      </c>
      <c r="L584">
        <f>CORREL(C584:C1082, D584:D1082)</f>
        <v>0.78333783725909134</v>
      </c>
      <c r="M584">
        <f>CORREL(C584:C1082,E584:E1082)</f>
        <v>3.0699743361736791E-2</v>
      </c>
      <c r="N584">
        <f>LEN(A584)</f>
        <v>39</v>
      </c>
      <c r="O584" t="str">
        <f>IF(ISNUMBER(SEARCH("$",A584)), "Money", IF(ISNUMBER(SEARCH("Win",A584)), "Challenge",IF(ISNUMBER(SEARCH("Challenge",A584)), "Challenge",IF(ISNUMBER(SEARCH("Last To Leave",A584)),"Challenge",IF(ISNUMBER(SEARCH("Giving Away", A584)),"Giveaway",IF(ISNUMBER(SEARCH("Stranded",A584)),"Survival", IF(ISNUMBER(SEARCH("Survive",A584)), "Survival", IF(ISNUMBER(SEARCH("Days",A584)),"Endurance","Other"))))))))</f>
        <v>Other</v>
      </c>
    </row>
    <row r="585" spans="1:15" x14ac:dyDescent="0.3">
      <c r="A585" t="s">
        <v>594</v>
      </c>
      <c r="B585" s="1">
        <v>43692</v>
      </c>
      <c r="C585" s="2">
        <v>189791887</v>
      </c>
      <c r="D585" s="3">
        <v>3032302</v>
      </c>
      <c r="E585" s="3">
        <v>67674</v>
      </c>
      <c r="F585">
        <f>YEAR(B585)</f>
        <v>2019</v>
      </c>
      <c r="G585" t="str">
        <f>TEXT(B585,"MMMM")</f>
        <v>August</v>
      </c>
      <c r="H585" t="str">
        <f>TEXT(B585, "DDDD")</f>
        <v>Thursday</v>
      </c>
      <c r="I585">
        <f>((D585+E585)/C585)*100</f>
        <v>1.6333553815184945</v>
      </c>
      <c r="J585">
        <f>(D585/C585)*1000</f>
        <v>15.976984305972993</v>
      </c>
      <c r="K585">
        <f>(E585/C585)*1000</f>
        <v>0.35656950921195063</v>
      </c>
      <c r="L585">
        <f>CORREL(C585:C1083, D585:D1083)</f>
        <v>0.7832268245643943</v>
      </c>
      <c r="M585">
        <f>CORREL(C585:C1083,E585:E1083)</f>
        <v>3.0828310975988864E-2</v>
      </c>
      <c r="N585">
        <f>LEN(A585)</f>
        <v>33</v>
      </c>
      <c r="O585" t="str">
        <f>IF(ISNUMBER(SEARCH("$",A585)), "Money", IF(ISNUMBER(SEARCH("Win",A585)), "Challenge",IF(ISNUMBER(SEARCH("Challenge",A585)), "Challenge",IF(ISNUMBER(SEARCH("Last To Leave",A585)),"Challenge",IF(ISNUMBER(SEARCH("Giving Away", A585)),"Giveaway",IF(ISNUMBER(SEARCH("Stranded",A585)),"Survival", IF(ISNUMBER(SEARCH("Survive",A585)), "Survival", IF(ISNUMBER(SEARCH("Days",A585)),"Endurance","Other"))))))))</f>
        <v>Other</v>
      </c>
    </row>
    <row r="586" spans="1:15" x14ac:dyDescent="0.3">
      <c r="A586" t="s">
        <v>595</v>
      </c>
      <c r="B586" s="1">
        <v>43701</v>
      </c>
      <c r="C586" s="2">
        <v>188398376</v>
      </c>
      <c r="D586" s="3">
        <v>3361888</v>
      </c>
      <c r="E586" s="3">
        <v>81573</v>
      </c>
      <c r="F586">
        <f>YEAR(B586)</f>
        <v>2019</v>
      </c>
      <c r="G586" t="str">
        <f>TEXT(B586,"MMMM")</f>
        <v>August</v>
      </c>
      <c r="H586" t="str">
        <f>TEXT(B586, "DDDD")</f>
        <v>Saturday</v>
      </c>
      <c r="I586">
        <f>((D586+E586)/C586)*100</f>
        <v>1.8277551394604377</v>
      </c>
      <c r="J586">
        <f>(D586/C586)*1000</f>
        <v>17.844569955316388</v>
      </c>
      <c r="K586">
        <f>(E586/C586)*1000</f>
        <v>0.43298143928799043</v>
      </c>
      <c r="L586">
        <f>CORREL(C586:C1084, D586:D1084)</f>
        <v>0.78310668938359784</v>
      </c>
      <c r="M586">
        <f>CORREL(C586:C1084,E586:E1084)</f>
        <v>3.0691192955577019E-2</v>
      </c>
      <c r="N586">
        <f>LEN(A586)</f>
        <v>38</v>
      </c>
      <c r="O586" t="str">
        <f>IF(ISNUMBER(SEARCH("$",A586)), "Money", IF(ISNUMBER(SEARCH("Win",A586)), "Challenge",IF(ISNUMBER(SEARCH("Challenge",A586)), "Challenge",IF(ISNUMBER(SEARCH("Last To Leave",A586)),"Challenge",IF(ISNUMBER(SEARCH("Giving Away", A586)),"Giveaway",IF(ISNUMBER(SEARCH("Stranded",A586)),"Survival", IF(ISNUMBER(SEARCH("Survive",A586)), "Survival", IF(ISNUMBER(SEARCH("Days",A586)),"Endurance","Other"))))))))</f>
        <v>Money</v>
      </c>
    </row>
    <row r="587" spans="1:15" x14ac:dyDescent="0.3">
      <c r="A587" t="s">
        <v>596</v>
      </c>
      <c r="B587" s="1">
        <v>43603</v>
      </c>
      <c r="C587" s="2">
        <v>171655392</v>
      </c>
      <c r="D587" s="3">
        <v>4343883</v>
      </c>
      <c r="E587" s="3">
        <v>180067</v>
      </c>
      <c r="F587">
        <f>YEAR(B587)</f>
        <v>2019</v>
      </c>
      <c r="G587" t="str">
        <f>TEXT(B587,"MMMM")</f>
        <v>May</v>
      </c>
      <c r="H587" t="str">
        <f>TEXT(B587, "DDDD")</f>
        <v>Saturday</v>
      </c>
      <c r="I587">
        <f>((D587+E587)/C587)*100</f>
        <v>2.6354837720448656</v>
      </c>
      <c r="J587">
        <f>(D587/C587)*1000</f>
        <v>25.30583484380147</v>
      </c>
      <c r="K587">
        <f>(E587/C587)*1000</f>
        <v>1.0490028766471839</v>
      </c>
      <c r="L587">
        <f>CORREL(C587:C1085, D587:D1085)</f>
        <v>0.78298835022156343</v>
      </c>
      <c r="M587">
        <f>CORREL(C587:C1085,E587:E1085)</f>
        <v>3.0681574891259437E-2</v>
      </c>
      <c r="N587">
        <f>LEN(A587)</f>
        <v>42</v>
      </c>
      <c r="O587" t="str">
        <f>IF(ISNUMBER(SEARCH("$",A587)), "Money", IF(ISNUMBER(SEARCH("Win",A587)), "Challenge",IF(ISNUMBER(SEARCH("Challenge",A587)), "Challenge",IF(ISNUMBER(SEARCH("Last To Leave",A587)),"Challenge",IF(ISNUMBER(SEARCH("Giving Away", A587)),"Giveaway",IF(ISNUMBER(SEARCH("Stranded",A587)),"Survival", IF(ISNUMBER(SEARCH("Survive",A587)), "Survival", IF(ISNUMBER(SEARCH("Days",A587)),"Endurance","Other"))))))))</f>
        <v>Challenge</v>
      </c>
    </row>
    <row r="588" spans="1:15" x14ac:dyDescent="0.3">
      <c r="A588" t="s">
        <v>597</v>
      </c>
      <c r="B588" s="1">
        <v>43648</v>
      </c>
      <c r="C588" s="2">
        <v>171642124</v>
      </c>
      <c r="D588" s="3">
        <v>3710639</v>
      </c>
      <c r="E588" s="3">
        <v>179748</v>
      </c>
      <c r="F588">
        <f>YEAR(B588)</f>
        <v>2019</v>
      </c>
      <c r="G588" t="str">
        <f>TEXT(B588,"MMMM")</f>
        <v>July</v>
      </c>
      <c r="H588" t="str">
        <f>TEXT(B588, "DDDD")</f>
        <v>Tuesday</v>
      </c>
      <c r="I588">
        <f>((D588+E588)/C588)*100</f>
        <v>2.2665688989026962</v>
      </c>
      <c r="J588">
        <f>(D588/C588)*1000</f>
        <v>21.618463542201329</v>
      </c>
      <c r="K588">
        <f>(E588/C588)*1000</f>
        <v>1.047225446825629</v>
      </c>
      <c r="L588">
        <f>CORREL(C588:C1086, D588:D1086)</f>
        <v>0.78291026662102903</v>
      </c>
      <c r="M588">
        <f>CORREL(C588:C1086,E588:E1086)</f>
        <v>3.1758418038629742E-2</v>
      </c>
      <c r="N588">
        <f>LEN(A588)</f>
        <v>41</v>
      </c>
      <c r="O588" t="str">
        <f>IF(ISNUMBER(SEARCH("$",A588)), "Money", IF(ISNUMBER(SEARCH("Win",A588)), "Challenge",IF(ISNUMBER(SEARCH("Challenge",A588)), "Challenge",IF(ISNUMBER(SEARCH("Last To Leave",A588)),"Challenge",IF(ISNUMBER(SEARCH("Giving Away", A588)),"Giveaway",IF(ISNUMBER(SEARCH("Stranded",A588)),"Survival", IF(ISNUMBER(SEARCH("Survive",A588)), "Survival", IF(ISNUMBER(SEARCH("Days",A588)),"Endurance","Other"))))))))</f>
        <v>Money</v>
      </c>
    </row>
    <row r="589" spans="1:15" x14ac:dyDescent="0.3">
      <c r="A589" t="s">
        <v>598</v>
      </c>
      <c r="B589" s="1">
        <v>43624</v>
      </c>
      <c r="C589" s="2">
        <v>170575990</v>
      </c>
      <c r="D589" s="3">
        <v>3293586</v>
      </c>
      <c r="E589" s="3">
        <v>93765</v>
      </c>
      <c r="F589">
        <f>YEAR(B589)</f>
        <v>2019</v>
      </c>
      <c r="G589" t="str">
        <f>TEXT(B589,"MMMM")</f>
        <v>June</v>
      </c>
      <c r="H589" t="str">
        <f>TEXT(B589, "DDDD")</f>
        <v>Saturday</v>
      </c>
      <c r="I589">
        <f>((D589+E589)/C589)*100</f>
        <v>1.9858310656734279</v>
      </c>
      <c r="J589">
        <f>(D589/C589)*1000</f>
        <v>19.30861430146177</v>
      </c>
      <c r="K589">
        <f>(E589/C589)*1000</f>
        <v>0.54969635527250937</v>
      </c>
      <c r="L589">
        <f>CORREL(C589:C1087, D589:D1087)</f>
        <v>0.78278897514120138</v>
      </c>
      <c r="M589">
        <f>CORREL(C589:C1087,E589:E1087)</f>
        <v>3.2839626337215856E-2</v>
      </c>
      <c r="N589">
        <f>LEN(A589)</f>
        <v>29</v>
      </c>
      <c r="O589" t="str">
        <f>IF(ISNUMBER(SEARCH("$",A589)), "Money", IF(ISNUMBER(SEARCH("Win",A589)), "Challenge",IF(ISNUMBER(SEARCH("Challenge",A589)), "Challenge",IF(ISNUMBER(SEARCH("Last To Leave",A589)),"Challenge",IF(ISNUMBER(SEARCH("Giving Away", A589)),"Giveaway",IF(ISNUMBER(SEARCH("Stranded",A589)),"Survival", IF(ISNUMBER(SEARCH("Survive",A589)), "Survival", IF(ISNUMBER(SEARCH("Days",A589)),"Endurance","Other"))))))))</f>
        <v>Money</v>
      </c>
    </row>
    <row r="590" spans="1:15" x14ac:dyDescent="0.3">
      <c r="A590" t="s">
        <v>599</v>
      </c>
      <c r="B590" s="1">
        <v>43797</v>
      </c>
      <c r="C590" s="2">
        <v>170567310</v>
      </c>
      <c r="D590" s="3">
        <v>3124986</v>
      </c>
      <c r="E590" s="3">
        <v>50993</v>
      </c>
      <c r="F590">
        <f>YEAR(B590)</f>
        <v>2019</v>
      </c>
      <c r="G590" t="str">
        <f>TEXT(B590,"MMMM")</f>
        <v>November</v>
      </c>
      <c r="H590" t="str">
        <f>TEXT(B590, "DDDD")</f>
        <v>Thursday</v>
      </c>
      <c r="I590">
        <f>((D590+E590)/C590)*100</f>
        <v>1.8620091974247588</v>
      </c>
      <c r="J590">
        <f>(D590/C590)*1000</f>
        <v>18.321130819264255</v>
      </c>
      <c r="K590">
        <f>(E590/C590)*1000</f>
        <v>0.29896115498333181</v>
      </c>
      <c r="L590">
        <f>CORREL(C590:C1088, D590:D1088)</f>
        <v>0.78264553698181738</v>
      </c>
      <c r="M590">
        <f>CORREL(C590:C1088,E590:E1088)</f>
        <v>3.2969491234177278E-2</v>
      </c>
      <c r="N590">
        <f>LEN(A590)</f>
        <v>49</v>
      </c>
      <c r="O590" t="str">
        <f>IF(ISNUMBER(SEARCH("$",A590)), "Money", IF(ISNUMBER(SEARCH("Win",A590)), "Challenge",IF(ISNUMBER(SEARCH("Challenge",A590)), "Challenge",IF(ISNUMBER(SEARCH("Last To Leave",A590)),"Challenge",IF(ISNUMBER(SEARCH("Giving Away", A590)),"Giveaway",IF(ISNUMBER(SEARCH("Stranded",A590)),"Survival", IF(ISNUMBER(SEARCH("Survive",A590)), "Survival", IF(ISNUMBER(SEARCH("Days",A590)),"Endurance","Other"))))))))</f>
        <v>Money</v>
      </c>
    </row>
    <row r="591" spans="1:15" x14ac:dyDescent="0.3">
      <c r="A591" t="s">
        <v>600</v>
      </c>
      <c r="B591" s="1">
        <v>43783</v>
      </c>
      <c r="C591" s="2">
        <v>170316042</v>
      </c>
      <c r="D591" s="3">
        <v>3170562</v>
      </c>
      <c r="E591" s="3">
        <v>56574</v>
      </c>
      <c r="F591">
        <f>YEAR(B591)</f>
        <v>2019</v>
      </c>
      <c r="G591" t="str">
        <f>TEXT(B591,"MMMM")</f>
        <v>November</v>
      </c>
      <c r="H591" t="str">
        <f>TEXT(B591, "DDDD")</f>
        <v>Thursday</v>
      </c>
      <c r="I591">
        <f>((D591+E591)/C591)*100</f>
        <v>1.8947927406626794</v>
      </c>
      <c r="J591">
        <f>(D591/C591)*1000</f>
        <v>18.615756700123409</v>
      </c>
      <c r="K591">
        <f>(E591/C591)*1000</f>
        <v>0.33217070650338387</v>
      </c>
      <c r="L591">
        <f>CORREL(C591:C1089, D591:D1089)</f>
        <v>0.78249445072369439</v>
      </c>
      <c r="M591">
        <f>CORREL(C591:C1089,E591:E1089)</f>
        <v>3.2633564745727178E-2</v>
      </c>
      <c r="N591">
        <f>LEN(A591)</f>
        <v>37</v>
      </c>
      <c r="O591" t="str">
        <f>IF(ISNUMBER(SEARCH("$",A591)), "Money", IF(ISNUMBER(SEARCH("Win",A591)), "Challenge",IF(ISNUMBER(SEARCH("Challenge",A591)), "Challenge",IF(ISNUMBER(SEARCH("Last To Leave",A591)),"Challenge",IF(ISNUMBER(SEARCH("Giving Away", A591)),"Giveaway",IF(ISNUMBER(SEARCH("Stranded",A591)),"Survival", IF(ISNUMBER(SEARCH("Survive",A591)), "Survival", IF(ISNUMBER(SEARCH("Days",A591)),"Endurance","Other"))))))))</f>
        <v>Money</v>
      </c>
    </row>
    <row r="592" spans="1:15" x14ac:dyDescent="0.3">
      <c r="A592" t="s">
        <v>601</v>
      </c>
      <c r="B592" s="1">
        <v>43694</v>
      </c>
      <c r="C592" s="2">
        <v>169011174</v>
      </c>
      <c r="D592" s="3">
        <v>3068067</v>
      </c>
      <c r="E592" s="3">
        <v>66418</v>
      </c>
      <c r="F592">
        <f>YEAR(B592)</f>
        <v>2019</v>
      </c>
      <c r="G592" t="str">
        <f>TEXT(B592,"MMMM")</f>
        <v>August</v>
      </c>
      <c r="H592" t="str">
        <f>TEXT(B592, "DDDD")</f>
        <v>Saturday</v>
      </c>
      <c r="I592">
        <f>((D592+E592)/C592)*100</f>
        <v>1.8546022288443482</v>
      </c>
      <c r="J592">
        <f>(D592/C592)*1000</f>
        <v>18.153042354465864</v>
      </c>
      <c r="K592">
        <f>(E592/C592)*1000</f>
        <v>0.39297993397761977</v>
      </c>
      <c r="L592">
        <f>CORREL(C592:C1090, D592:D1090)</f>
        <v>0.78234383717235534</v>
      </c>
      <c r="M592">
        <f>CORREL(C592:C1090,E592:E1090)</f>
        <v>3.2355631749413596E-2</v>
      </c>
      <c r="N592">
        <f>LEN(A592)</f>
        <v>53</v>
      </c>
      <c r="O592" t="str">
        <f>IF(ISNUMBER(SEARCH("$",A592)), "Money", IF(ISNUMBER(SEARCH("Win",A592)), "Challenge",IF(ISNUMBER(SEARCH("Challenge",A592)), "Challenge",IF(ISNUMBER(SEARCH("Last To Leave",A592)),"Challenge",IF(ISNUMBER(SEARCH("Giving Away", A592)),"Giveaway",IF(ISNUMBER(SEARCH("Stranded",A592)),"Survival", IF(ISNUMBER(SEARCH("Survive",A592)), "Survival", IF(ISNUMBER(SEARCH("Days",A592)),"Endurance","Other"))))))))</f>
        <v>Money</v>
      </c>
    </row>
    <row r="593" spans="1:15" x14ac:dyDescent="0.3">
      <c r="A593" t="s">
        <v>602</v>
      </c>
      <c r="B593" s="1">
        <v>43476</v>
      </c>
      <c r="C593" s="2">
        <v>165526718</v>
      </c>
      <c r="D593" s="3">
        <v>2454337</v>
      </c>
      <c r="E593" s="3">
        <v>89158</v>
      </c>
      <c r="F593">
        <f>YEAR(B593)</f>
        <v>2019</v>
      </c>
      <c r="G593" t="str">
        <f>TEXT(B593,"MMMM")</f>
        <v>January</v>
      </c>
      <c r="H593" t="str">
        <f>TEXT(B593, "DDDD")</f>
        <v>Friday</v>
      </c>
      <c r="I593">
        <f>((D593+E593)/C593)*100</f>
        <v>1.5366069180444937</v>
      </c>
      <c r="J593">
        <f>(D593/C593)*1000</f>
        <v>14.827437102933438</v>
      </c>
      <c r="K593">
        <f>(E593/C593)*1000</f>
        <v>0.53863207751149877</v>
      </c>
      <c r="L593">
        <f>CORREL(C593:C1091, D593:D1091)</f>
        <v>0.78218683037754388</v>
      </c>
      <c r="M593">
        <f>CORREL(C593:C1091,E593:E1091)</f>
        <v>3.2182138104077156E-2</v>
      </c>
      <c r="N593">
        <f>LEN(A593)</f>
        <v>40</v>
      </c>
      <c r="O593" t="str">
        <f>IF(ISNUMBER(SEARCH("$",A593)), "Money", IF(ISNUMBER(SEARCH("Win",A593)), "Challenge",IF(ISNUMBER(SEARCH("Challenge",A593)), "Challenge",IF(ISNUMBER(SEARCH("Last To Leave",A593)),"Challenge",IF(ISNUMBER(SEARCH("Giving Away", A593)),"Giveaway",IF(ISNUMBER(SEARCH("Stranded",A593)),"Survival", IF(ISNUMBER(SEARCH("Survive",A593)), "Survival", IF(ISNUMBER(SEARCH("Days",A593)),"Endurance","Other"))))))))</f>
        <v>Money</v>
      </c>
    </row>
    <row r="594" spans="1:15" x14ac:dyDescent="0.3">
      <c r="A594" t="s">
        <v>603</v>
      </c>
      <c r="B594" s="1">
        <v>43804</v>
      </c>
      <c r="C594" s="2">
        <v>165200624</v>
      </c>
      <c r="D594" s="3">
        <v>4444432</v>
      </c>
      <c r="E594" s="3">
        <v>105591</v>
      </c>
      <c r="F594">
        <f>YEAR(B594)</f>
        <v>2019</v>
      </c>
      <c r="G594" t="str">
        <f>TEXT(B594,"MMMM")</f>
        <v>December</v>
      </c>
      <c r="H594" t="str">
        <f>TEXT(B594, "DDDD")</f>
        <v>Thursday</v>
      </c>
      <c r="I594">
        <f>((D594+E594)/C594)*100</f>
        <v>2.7542408072260067</v>
      </c>
      <c r="J594">
        <f>(D594/C594)*1000</f>
        <v>26.90323978437273</v>
      </c>
      <c r="K594">
        <f>(E594/C594)*1000</f>
        <v>0.6391682878873387</v>
      </c>
      <c r="L594">
        <f>CORREL(C594:C1092, D594:D1092)</f>
        <v>0.78200582809781205</v>
      </c>
      <c r="M594">
        <f>CORREL(C594:C1092,E594:E1092)</f>
        <v>3.226375793029581E-2</v>
      </c>
      <c r="N594">
        <f>LEN(A594)</f>
        <v>36</v>
      </c>
      <c r="O594" t="str">
        <f>IF(ISNUMBER(SEARCH("$",A594)), "Money", IF(ISNUMBER(SEARCH("Win",A594)), "Challenge",IF(ISNUMBER(SEARCH("Challenge",A594)), "Challenge",IF(ISNUMBER(SEARCH("Last To Leave",A594)),"Challenge",IF(ISNUMBER(SEARCH("Giving Away", A594)),"Giveaway",IF(ISNUMBER(SEARCH("Stranded",A594)),"Survival", IF(ISNUMBER(SEARCH("Survive",A594)), "Survival", IF(ISNUMBER(SEARCH("Days",A594)),"Endurance","Other"))))))))</f>
        <v>Other</v>
      </c>
    </row>
    <row r="595" spans="1:15" x14ac:dyDescent="0.3">
      <c r="A595" t="s">
        <v>604</v>
      </c>
      <c r="B595" s="1">
        <v>43706</v>
      </c>
      <c r="C595" s="2">
        <v>160038079</v>
      </c>
      <c r="D595" s="3">
        <v>3559643</v>
      </c>
      <c r="E595" s="3">
        <v>137005</v>
      </c>
      <c r="F595">
        <f>YEAR(B595)</f>
        <v>2019</v>
      </c>
      <c r="G595" t="str">
        <f>TEXT(B595,"MMMM")</f>
        <v>August</v>
      </c>
      <c r="H595" t="str">
        <f>TEXT(B595, "DDDD")</f>
        <v>Thursday</v>
      </c>
      <c r="I595">
        <f>((D595+E595)/C595)*100</f>
        <v>2.3098552688826013</v>
      </c>
      <c r="J595">
        <f>(D595/C595)*1000</f>
        <v>22.242475179922646</v>
      </c>
      <c r="K595">
        <f>(E595/C595)*1000</f>
        <v>0.85607750890336543</v>
      </c>
      <c r="L595">
        <f>CORREL(C595:C1093, D595:D1093)</f>
        <v>0.78193479244815478</v>
      </c>
      <c r="M595">
        <f>CORREL(C595:C1093,E595:E1093)</f>
        <v>3.2536964970836781E-2</v>
      </c>
      <c r="N595">
        <f>LEN(A595)</f>
        <v>30</v>
      </c>
      <c r="O595" t="str">
        <f>IF(ISNUMBER(SEARCH("$",A595)), "Money", IF(ISNUMBER(SEARCH("Win",A595)), "Challenge",IF(ISNUMBER(SEARCH("Challenge",A595)), "Challenge",IF(ISNUMBER(SEARCH("Last To Leave",A595)),"Challenge",IF(ISNUMBER(SEARCH("Giving Away", A595)),"Giveaway",IF(ISNUMBER(SEARCH("Stranded",A595)),"Survival", IF(ISNUMBER(SEARCH("Survive",A595)), "Survival", IF(ISNUMBER(SEARCH("Days",A595)),"Endurance","Other"))))))))</f>
        <v>Other</v>
      </c>
    </row>
    <row r="596" spans="1:15" x14ac:dyDescent="0.3">
      <c r="A596" t="s">
        <v>605</v>
      </c>
      <c r="B596" s="1">
        <v>43615</v>
      </c>
      <c r="C596" s="2">
        <v>157123998</v>
      </c>
      <c r="D596" s="3">
        <v>3167508</v>
      </c>
      <c r="E596" s="3">
        <v>139633</v>
      </c>
      <c r="F596">
        <f>YEAR(B596)</f>
        <v>2019</v>
      </c>
      <c r="G596" t="str">
        <f>TEXT(B596,"MMMM")</f>
        <v>May</v>
      </c>
      <c r="H596" t="str">
        <f>TEXT(B596, "DDDD")</f>
        <v>Thursday</v>
      </c>
      <c r="I596">
        <f>((D596+E596)/C596)*100</f>
        <v>2.1047968751406136</v>
      </c>
      <c r="J596">
        <f>(D596/C596)*1000</f>
        <v>20.159288462097305</v>
      </c>
      <c r="K596">
        <f>(E596/C596)*1000</f>
        <v>0.88868028930882981</v>
      </c>
      <c r="L596">
        <f>CORREL(C596:C1094, D596:D1094)</f>
        <v>0.78179377071647049</v>
      </c>
      <c r="M596">
        <f>CORREL(C596:C1094,E596:E1094)</f>
        <v>3.3205817667703204E-2</v>
      </c>
      <c r="N596">
        <f>LEN(A596)</f>
        <v>43</v>
      </c>
      <c r="O596" t="str">
        <f>IF(ISNUMBER(SEARCH("$",A596)), "Money", IF(ISNUMBER(SEARCH("Win",A596)), "Challenge",IF(ISNUMBER(SEARCH("Challenge",A596)), "Challenge",IF(ISNUMBER(SEARCH("Last To Leave",A596)),"Challenge",IF(ISNUMBER(SEARCH("Giving Away", A596)),"Giveaway",IF(ISNUMBER(SEARCH("Stranded",A596)),"Survival", IF(ISNUMBER(SEARCH("Survive",A596)), "Survival", IF(ISNUMBER(SEARCH("Days",A596)),"Endurance","Other"))))))))</f>
        <v>Other</v>
      </c>
    </row>
    <row r="597" spans="1:15" x14ac:dyDescent="0.3">
      <c r="A597" t="s">
        <v>606</v>
      </c>
      <c r="B597" s="1">
        <v>43481</v>
      </c>
      <c r="C597" s="2">
        <v>155989951</v>
      </c>
      <c r="D597" s="3">
        <v>30217888</v>
      </c>
      <c r="E597" s="3">
        <v>309730</v>
      </c>
      <c r="F597">
        <f>YEAR(B597)</f>
        <v>2019</v>
      </c>
      <c r="G597" t="str">
        <f>TEXT(B597,"MMMM")</f>
        <v>January</v>
      </c>
      <c r="H597" t="str">
        <f>TEXT(B597, "DDDD")</f>
        <v>Wednesday</v>
      </c>
      <c r="I597">
        <f>((D597+E597)/C597)*100</f>
        <v>19.570246547484331</v>
      </c>
      <c r="J597">
        <f>(D597/C597)*1000</f>
        <v>193.71688885266718</v>
      </c>
      <c r="K597">
        <f>(E597/C597)*1000</f>
        <v>1.9855766221761297</v>
      </c>
      <c r="L597">
        <f>CORREL(C597:C1095, D597:D1095)</f>
        <v>0.78162585728559897</v>
      </c>
      <c r="M597">
        <f>CORREL(C597:C1095,E597:E1095)</f>
        <v>3.3925467617705193E-2</v>
      </c>
      <c r="N597">
        <f>LEN(A597)</f>
        <v>47</v>
      </c>
      <c r="O597" t="str">
        <f>IF(ISNUMBER(SEARCH("$",A597)), "Money", IF(ISNUMBER(SEARCH("Win",A597)), "Challenge",IF(ISNUMBER(SEARCH("Challenge",A597)), "Challenge",IF(ISNUMBER(SEARCH("Last To Leave",A597)),"Challenge",IF(ISNUMBER(SEARCH("Giving Away", A597)),"Giveaway",IF(ISNUMBER(SEARCH("Stranded",A597)),"Survival", IF(ISNUMBER(SEARCH("Survive",A597)), "Survival", IF(ISNUMBER(SEARCH("Days",A597)),"Endurance","Other"))))))))</f>
        <v>Other</v>
      </c>
    </row>
    <row r="598" spans="1:15" x14ac:dyDescent="0.3">
      <c r="A598" t="s">
        <v>607</v>
      </c>
      <c r="B598" s="1">
        <v>43818</v>
      </c>
      <c r="C598" s="2">
        <v>152936009</v>
      </c>
      <c r="D598" s="3">
        <v>3454222</v>
      </c>
      <c r="E598" s="3">
        <v>295240</v>
      </c>
      <c r="F598">
        <f>YEAR(B598)</f>
        <v>2019</v>
      </c>
      <c r="G598" t="str">
        <f>TEXT(B598,"MMMM")</f>
        <v>December</v>
      </c>
      <c r="H598" t="str">
        <f>TEXT(B598, "DDDD")</f>
        <v>Thursday</v>
      </c>
      <c r="I598">
        <f>((D598+E598)/C598)*100</f>
        <v>2.4516541424851752</v>
      </c>
      <c r="J598">
        <f>(D598/C598)*1000</f>
        <v>22.586060814493987</v>
      </c>
      <c r="K598">
        <f>(E598/C598)*1000</f>
        <v>1.930480610357761</v>
      </c>
      <c r="L598">
        <f>CORREL(C598:C1096, D598:D1096)</f>
        <v>0.79649706176279778</v>
      </c>
      <c r="M598">
        <f>CORREL(C598:C1096,E598:E1096)</f>
        <v>3.6921450718387927E-2</v>
      </c>
      <c r="N598">
        <f>LEN(A598)</f>
        <v>41</v>
      </c>
      <c r="O598" t="str">
        <f>IF(ISNUMBER(SEARCH("$",A598)), "Money", IF(ISNUMBER(SEARCH("Win",A598)), "Challenge",IF(ISNUMBER(SEARCH("Challenge",A598)), "Challenge",IF(ISNUMBER(SEARCH("Last To Leave",A598)),"Challenge",IF(ISNUMBER(SEARCH("Giving Away", A598)),"Giveaway",IF(ISNUMBER(SEARCH("Stranded",A598)),"Survival", IF(ISNUMBER(SEARCH("Survive",A598)), "Survival", IF(ISNUMBER(SEARCH("Days",A598)),"Endurance","Other"))))))))</f>
        <v>Money</v>
      </c>
    </row>
    <row r="599" spans="1:15" x14ac:dyDescent="0.3">
      <c r="A599" t="s">
        <v>608</v>
      </c>
      <c r="B599" s="1">
        <v>43799</v>
      </c>
      <c r="C599" s="2">
        <v>148719931</v>
      </c>
      <c r="D599" s="3">
        <v>2385827</v>
      </c>
      <c r="E599" s="3">
        <v>80579</v>
      </c>
      <c r="F599">
        <f>YEAR(B599)</f>
        <v>2019</v>
      </c>
      <c r="G599" t="str">
        <f>TEXT(B599,"MMMM")</f>
        <v>November</v>
      </c>
      <c r="H599" t="str">
        <f>TEXT(B599, "DDDD")</f>
        <v>Saturday</v>
      </c>
      <c r="I599">
        <f>((D599+E599)/C599)*100</f>
        <v>1.6584233084400772</v>
      </c>
      <c r="J599">
        <f>(D599/C599)*1000</f>
        <v>16.04241599601065</v>
      </c>
      <c r="K599">
        <f>(E599/C599)*1000</f>
        <v>0.54181708839012299</v>
      </c>
      <c r="L599">
        <f>CORREL(C599:C1097, D599:D1097)</f>
        <v>0.7963570246141044</v>
      </c>
      <c r="M599">
        <f>CORREL(C599:C1097,E599:E1097)</f>
        <v>3.9813403211834131E-2</v>
      </c>
      <c r="N599">
        <f>LEN(A599)</f>
        <v>46</v>
      </c>
      <c r="O599" t="str">
        <f>IF(ISNUMBER(SEARCH("$",A599)), "Money", IF(ISNUMBER(SEARCH("Win",A599)), "Challenge",IF(ISNUMBER(SEARCH("Challenge",A599)), "Challenge",IF(ISNUMBER(SEARCH("Last To Leave",A599)),"Challenge",IF(ISNUMBER(SEARCH("Giving Away", A599)),"Giveaway",IF(ISNUMBER(SEARCH("Stranded",A599)),"Survival", IF(ISNUMBER(SEARCH("Survive",A599)), "Survival", IF(ISNUMBER(SEARCH("Days",A599)),"Endurance","Other"))))))))</f>
        <v>Money</v>
      </c>
    </row>
    <row r="600" spans="1:15" x14ac:dyDescent="0.3">
      <c r="A600" t="s">
        <v>609</v>
      </c>
      <c r="B600" s="1">
        <v>43729</v>
      </c>
      <c r="C600" s="2">
        <v>148012454</v>
      </c>
      <c r="D600" s="3">
        <v>2739077</v>
      </c>
      <c r="E600" s="3">
        <v>73263</v>
      </c>
      <c r="F600">
        <f>YEAR(B600)</f>
        <v>2019</v>
      </c>
      <c r="G600" t="str">
        <f>TEXT(B600,"MMMM")</f>
        <v>September</v>
      </c>
      <c r="H600" t="str">
        <f>TEXT(B600, "DDDD")</f>
        <v>Saturday</v>
      </c>
      <c r="I600">
        <f>((D600+E600)/C600)*100</f>
        <v>1.9000698414202364</v>
      </c>
      <c r="J600">
        <f>(D600/C600)*1000</f>
        <v>18.505719795713947</v>
      </c>
      <c r="K600">
        <f>(E600/C600)*1000</f>
        <v>0.49497861848841451</v>
      </c>
      <c r="L600">
        <f>CORREL(C600:C1098, D600:D1098)</f>
        <v>0.7961531761683831</v>
      </c>
      <c r="M600">
        <f>CORREL(C600:C1098,E600:E1098)</f>
        <v>3.981897014896562E-2</v>
      </c>
      <c r="N600">
        <f>LEN(A600)</f>
        <v>44</v>
      </c>
      <c r="O600" t="str">
        <f>IF(ISNUMBER(SEARCH("$",A600)), "Money", IF(ISNUMBER(SEARCH("Win",A600)), "Challenge",IF(ISNUMBER(SEARCH("Challenge",A600)), "Challenge",IF(ISNUMBER(SEARCH("Last To Leave",A600)),"Challenge",IF(ISNUMBER(SEARCH("Giving Away", A600)),"Giveaway",IF(ISNUMBER(SEARCH("Stranded",A600)),"Survival", IF(ISNUMBER(SEARCH("Survive",A600)), "Survival", IF(ISNUMBER(SEARCH("Days",A600)),"Endurance","Other"))))))))</f>
        <v>Other</v>
      </c>
    </row>
    <row r="601" spans="1:15" x14ac:dyDescent="0.3">
      <c r="A601" t="s">
        <v>610</v>
      </c>
      <c r="B601" s="1">
        <v>43511</v>
      </c>
      <c r="C601" s="2">
        <v>139622166</v>
      </c>
      <c r="D601" s="3">
        <v>2496185</v>
      </c>
      <c r="E601" s="3">
        <v>68204</v>
      </c>
      <c r="F601">
        <f>YEAR(B601)</f>
        <v>2019</v>
      </c>
      <c r="G601" t="str">
        <f>TEXT(B601,"MMMM")</f>
        <v>February</v>
      </c>
      <c r="H601" t="str">
        <f>TEXT(B601, "DDDD")</f>
        <v>Friday</v>
      </c>
      <c r="I601">
        <f>((D601+E601)/C601)*100</f>
        <v>1.8366632415658126</v>
      </c>
      <c r="J601">
        <f>(D601/C601)*1000</f>
        <v>17.878142643912284</v>
      </c>
      <c r="K601">
        <f>(E601/C601)*1000</f>
        <v>0.48848977174584152</v>
      </c>
      <c r="L601">
        <f>CORREL(C601:C1099, D601:D1099)</f>
        <v>0.7959632102463412</v>
      </c>
      <c r="M601">
        <f>CORREL(C601:C1099,E601:E1099)</f>
        <v>3.9727804896517303E-2</v>
      </c>
      <c r="N601">
        <f>LEN(A601)</f>
        <v>35</v>
      </c>
      <c r="O601" t="str">
        <f>IF(ISNUMBER(SEARCH("$",A601)), "Money", IF(ISNUMBER(SEARCH("Win",A601)), "Challenge",IF(ISNUMBER(SEARCH("Challenge",A601)), "Challenge",IF(ISNUMBER(SEARCH("Last To Leave",A601)),"Challenge",IF(ISNUMBER(SEARCH("Giving Away", A601)),"Giveaway",IF(ISNUMBER(SEARCH("Stranded",A601)),"Survival", IF(ISNUMBER(SEARCH("Survive",A601)), "Survival", IF(ISNUMBER(SEARCH("Days",A601)),"Endurance","Other"))))))))</f>
        <v>Other</v>
      </c>
    </row>
    <row r="602" spans="1:15" x14ac:dyDescent="0.3">
      <c r="A602" t="s">
        <v>611</v>
      </c>
      <c r="B602" s="1">
        <v>43757</v>
      </c>
      <c r="C602" s="2">
        <v>137745520</v>
      </c>
      <c r="D602" s="3">
        <v>2158861</v>
      </c>
      <c r="E602" s="3">
        <v>57046</v>
      </c>
      <c r="F602">
        <f>YEAR(B602)</f>
        <v>2019</v>
      </c>
      <c r="G602" t="str">
        <f>TEXT(B602,"MMMM")</f>
        <v>October</v>
      </c>
      <c r="H602" t="str">
        <f>TEXT(B602, "DDDD")</f>
        <v>Saturday</v>
      </c>
      <c r="I602">
        <f>((D602+E602)/C602)*100</f>
        <v>1.6086962392678907</v>
      </c>
      <c r="J602">
        <f>(D602/C602)*1000</f>
        <v>15.672821881974819</v>
      </c>
      <c r="K602">
        <f>(E602/C602)*1000</f>
        <v>0.41414051070408681</v>
      </c>
      <c r="L602">
        <f>CORREL(C602:C1100, D602:D1100)</f>
        <v>0.79575054381046795</v>
      </c>
      <c r="M602">
        <f>CORREL(C602:C1100,E602:E1100)</f>
        <v>3.9561914139274609E-2</v>
      </c>
      <c r="N602">
        <f>LEN(A602)</f>
        <v>36</v>
      </c>
      <c r="O602" t="str">
        <f>IF(ISNUMBER(SEARCH("$",A602)), "Money", IF(ISNUMBER(SEARCH("Win",A602)), "Challenge",IF(ISNUMBER(SEARCH("Challenge",A602)), "Challenge",IF(ISNUMBER(SEARCH("Last To Leave",A602)),"Challenge",IF(ISNUMBER(SEARCH("Giving Away", A602)),"Giveaway",IF(ISNUMBER(SEARCH("Stranded",A602)),"Survival", IF(ISNUMBER(SEARCH("Survive",A602)), "Survival", IF(ISNUMBER(SEARCH("Days",A602)),"Endurance","Other"))))))))</f>
        <v>Other</v>
      </c>
    </row>
    <row r="603" spans="1:15" x14ac:dyDescent="0.3">
      <c r="A603" t="s">
        <v>612</v>
      </c>
      <c r="B603" s="1">
        <v>43666</v>
      </c>
      <c r="C603" s="2">
        <v>136389391</v>
      </c>
      <c r="D603" s="3">
        <v>2219149</v>
      </c>
      <c r="E603" s="3">
        <v>46223</v>
      </c>
      <c r="F603">
        <f>YEAR(B603)</f>
        <v>2019</v>
      </c>
      <c r="G603" t="str">
        <f>TEXT(B603,"MMMM")</f>
        <v>July</v>
      </c>
      <c r="H603" t="str">
        <f>TEXT(B603, "DDDD")</f>
        <v>Saturday</v>
      </c>
      <c r="I603">
        <f>((D603+E603)/C603)*100</f>
        <v>1.66095909908418</v>
      </c>
      <c r="J603">
        <f>(D603/C603)*1000</f>
        <v>16.27068633219427</v>
      </c>
      <c r="K603">
        <f>(E603/C603)*1000</f>
        <v>0.33890465864753366</v>
      </c>
      <c r="L603">
        <f>CORREL(C603:C1101, D603:D1101)</f>
        <v>0.79551704099722986</v>
      </c>
      <c r="M603">
        <f>CORREL(C603:C1101,E603:E1101)</f>
        <v>3.9236350427091456E-2</v>
      </c>
      <c r="N603">
        <f>LEN(A603)</f>
        <v>39</v>
      </c>
      <c r="O603" t="str">
        <f>IF(ISNUMBER(SEARCH("$",A603)), "Money", IF(ISNUMBER(SEARCH("Win",A603)), "Challenge",IF(ISNUMBER(SEARCH("Challenge",A603)), "Challenge",IF(ISNUMBER(SEARCH("Last To Leave",A603)),"Challenge",IF(ISNUMBER(SEARCH("Giving Away", A603)),"Giveaway",IF(ISNUMBER(SEARCH("Stranded",A603)),"Survival", IF(ISNUMBER(SEARCH("Survive",A603)), "Survival", IF(ISNUMBER(SEARCH("Days",A603)),"Endurance","Other"))))))))</f>
        <v>Other</v>
      </c>
    </row>
    <row r="604" spans="1:15" x14ac:dyDescent="0.3">
      <c r="A604" t="s">
        <v>613</v>
      </c>
      <c r="B604" s="1">
        <v>43785</v>
      </c>
      <c r="C604" s="2">
        <v>135716928</v>
      </c>
      <c r="D604" s="3">
        <v>2639681</v>
      </c>
      <c r="E604" s="3">
        <v>49838</v>
      </c>
      <c r="F604">
        <f>YEAR(B604)</f>
        <v>2019</v>
      </c>
      <c r="G604" t="str">
        <f>TEXT(B604,"MMMM")</f>
        <v>November</v>
      </c>
      <c r="H604" t="str">
        <f>TEXT(B604, "DDDD")</f>
        <v>Saturday</v>
      </c>
      <c r="I604">
        <f>((D604+E604)/C604)*100</f>
        <v>1.9817122592105829</v>
      </c>
      <c r="J604">
        <f>(D604/C604)*1000</f>
        <v>19.449902373269165</v>
      </c>
      <c r="K604">
        <f>(E604/C604)*1000</f>
        <v>0.36722021883666567</v>
      </c>
      <c r="L604">
        <f>CORREL(C604:C1102, D604:D1102)</f>
        <v>0.79528280980002297</v>
      </c>
      <c r="M604">
        <f>CORREL(C604:C1102,E604:E1102)</f>
        <v>3.8753067472368008E-2</v>
      </c>
      <c r="N604">
        <f>LEN(A604)</f>
        <v>48</v>
      </c>
      <c r="O604" t="str">
        <f>IF(ISNUMBER(SEARCH("$",A604)), "Money", IF(ISNUMBER(SEARCH("Win",A604)), "Challenge",IF(ISNUMBER(SEARCH("Challenge",A604)), "Challenge",IF(ISNUMBER(SEARCH("Last To Leave",A604)),"Challenge",IF(ISNUMBER(SEARCH("Giving Away", A604)),"Giveaway",IF(ISNUMBER(SEARCH("Stranded",A604)),"Survival", IF(ISNUMBER(SEARCH("Survive",A604)), "Survival", IF(ISNUMBER(SEARCH("Days",A604)),"Endurance","Other"))))))))</f>
        <v>Other</v>
      </c>
    </row>
    <row r="605" spans="1:15" x14ac:dyDescent="0.3">
      <c r="A605" t="s">
        <v>614</v>
      </c>
      <c r="B605" s="1">
        <v>43792</v>
      </c>
      <c r="C605" s="2">
        <v>129923384</v>
      </c>
      <c r="D605" s="3">
        <v>3051292</v>
      </c>
      <c r="E605" s="3">
        <v>94074</v>
      </c>
      <c r="F605">
        <f>YEAR(B605)</f>
        <v>2019</v>
      </c>
      <c r="G605" t="str">
        <f>TEXT(B605,"MMMM")</f>
        <v>November</v>
      </c>
      <c r="H605" t="str">
        <f>TEXT(B605, "DDDD")</f>
        <v>Saturday</v>
      </c>
      <c r="I605">
        <f>((D605+E605)/C605)*100</f>
        <v>2.4209390974607006</v>
      </c>
      <c r="J605">
        <f>(D605/C605)*1000</f>
        <v>23.485318085618829</v>
      </c>
      <c r="K605">
        <f>(E605/C605)*1000</f>
        <v>0.72407288898817468</v>
      </c>
      <c r="L605">
        <f>CORREL(C605:C1103, D605:D1103)</f>
        <v>0.7950706497013782</v>
      </c>
      <c r="M605">
        <f>CORREL(C605:C1103,E605:E1103)</f>
        <v>3.8316269810832339E-2</v>
      </c>
      <c r="N605">
        <f>LEN(A605)</f>
        <v>20</v>
      </c>
      <c r="O605" t="str">
        <f>IF(ISNUMBER(SEARCH("$",A605)), "Money", IF(ISNUMBER(SEARCH("Win",A605)), "Challenge",IF(ISNUMBER(SEARCH("Challenge",A605)), "Challenge",IF(ISNUMBER(SEARCH("Last To Leave",A605)),"Challenge",IF(ISNUMBER(SEARCH("Giving Away", A605)),"Giveaway",IF(ISNUMBER(SEARCH("Stranded",A605)),"Survival", IF(ISNUMBER(SEARCH("Survive",A605)), "Survival", IF(ISNUMBER(SEARCH("Days",A605)),"Endurance","Other"))))))))</f>
        <v>Other</v>
      </c>
    </row>
    <row r="606" spans="1:15" x14ac:dyDescent="0.3">
      <c r="A606" t="s">
        <v>615</v>
      </c>
      <c r="B606" s="1">
        <v>43518</v>
      </c>
      <c r="C606" s="2">
        <v>125915463</v>
      </c>
      <c r="D606" s="3">
        <v>2045125</v>
      </c>
      <c r="E606" s="3">
        <v>36720</v>
      </c>
      <c r="F606">
        <f>YEAR(B606)</f>
        <v>2019</v>
      </c>
      <c r="G606" t="str">
        <f>TEXT(B606,"MMMM")</f>
        <v>February</v>
      </c>
      <c r="H606" t="str">
        <f>TEXT(B606, "DDDD")</f>
        <v>Friday</v>
      </c>
      <c r="I606">
        <f>((D606+E606)/C606)*100</f>
        <v>1.6533672278201448</v>
      </c>
      <c r="J606">
        <f>(D606/C606)*1000</f>
        <v>16.242048047744539</v>
      </c>
      <c r="K606">
        <f>(E606/C606)*1000</f>
        <v>0.29162423045690583</v>
      </c>
      <c r="L606">
        <f>CORREL(C606:C1104, D606:D1104)</f>
        <v>0.79488727888496158</v>
      </c>
      <c r="M606">
        <f>CORREL(C606:C1104,E606:E1104)</f>
        <v>3.8523045115014448E-2</v>
      </c>
      <c r="N606">
        <f>LEN(A606)</f>
        <v>55</v>
      </c>
      <c r="O606" t="str">
        <f>IF(ISNUMBER(SEARCH("$",A606)), "Money", IF(ISNUMBER(SEARCH("Win",A606)), "Challenge",IF(ISNUMBER(SEARCH("Challenge",A606)), "Challenge",IF(ISNUMBER(SEARCH("Last To Leave",A606)),"Challenge",IF(ISNUMBER(SEARCH("Giving Away", A606)),"Giveaway",IF(ISNUMBER(SEARCH("Stranded",A606)),"Survival", IF(ISNUMBER(SEARCH("Survive",A606)), "Survival", IF(ISNUMBER(SEARCH("Days",A606)),"Endurance","Other"))))))))</f>
        <v>Challenge</v>
      </c>
    </row>
    <row r="607" spans="1:15" x14ac:dyDescent="0.3">
      <c r="A607" t="s">
        <v>616</v>
      </c>
      <c r="B607" s="1">
        <v>43622</v>
      </c>
      <c r="C607" s="2">
        <v>124889171</v>
      </c>
      <c r="D607" s="3">
        <v>2392781</v>
      </c>
      <c r="E607" s="3">
        <v>65737</v>
      </c>
      <c r="F607">
        <f>YEAR(B607)</f>
        <v>2019</v>
      </c>
      <c r="G607" t="str">
        <f>TEXT(B607,"MMMM")</f>
        <v>June</v>
      </c>
      <c r="H607" t="str">
        <f>TEXT(B607, "DDDD")</f>
        <v>Thursday</v>
      </c>
      <c r="I607">
        <f>((D607+E607)/C607)*100</f>
        <v>1.9685597881020442</v>
      </c>
      <c r="J607">
        <f>(D607/C607)*1000</f>
        <v>19.159235191015881</v>
      </c>
      <c r="K607">
        <f>(E607/C607)*1000</f>
        <v>0.52636269000456415</v>
      </c>
      <c r="L607">
        <f>CORREL(C607:C1105, D607:D1105)</f>
        <v>0.79462524109037547</v>
      </c>
      <c r="M607">
        <f>CORREL(C607:C1105,E607:E1105)</f>
        <v>3.7860958523876886E-2</v>
      </c>
      <c r="N607">
        <f>LEN(A607)</f>
        <v>33</v>
      </c>
      <c r="O607" t="str">
        <f>IF(ISNUMBER(SEARCH("$",A607)), "Money", IF(ISNUMBER(SEARCH("Win",A607)), "Challenge",IF(ISNUMBER(SEARCH("Challenge",A607)), "Challenge",IF(ISNUMBER(SEARCH("Last To Leave",A607)),"Challenge",IF(ISNUMBER(SEARCH("Giving Away", A607)),"Giveaway",IF(ISNUMBER(SEARCH("Stranded",A607)),"Survival", IF(ISNUMBER(SEARCH("Survive",A607)), "Survival", IF(ISNUMBER(SEARCH("Days",A607)),"Endurance","Other"))))))))</f>
        <v>Money</v>
      </c>
    </row>
    <row r="608" spans="1:15" x14ac:dyDescent="0.3">
      <c r="A608" t="s">
        <v>617</v>
      </c>
      <c r="B608" s="1">
        <v>43506</v>
      </c>
      <c r="C608" s="2">
        <v>124194580</v>
      </c>
      <c r="D608" s="3">
        <v>2355769</v>
      </c>
      <c r="E608" s="3">
        <v>132982</v>
      </c>
      <c r="F608">
        <f>YEAR(B608)</f>
        <v>2019</v>
      </c>
      <c r="G608" t="str">
        <f>TEXT(B608,"MMMM")</f>
        <v>February</v>
      </c>
      <c r="H608" t="str">
        <f>TEXT(B608, "DDDD")</f>
        <v>Sunday</v>
      </c>
      <c r="I608">
        <f>((D608+E608)/C608)*100</f>
        <v>2.003912731135288</v>
      </c>
      <c r="J608">
        <f>(D608/C608)*1000</f>
        <v>18.968372049730348</v>
      </c>
      <c r="K608">
        <f>(E608/C608)*1000</f>
        <v>1.0707552616225282</v>
      </c>
      <c r="L608">
        <f>CORREL(C608:C1106, D608:D1106)</f>
        <v>0.79438297615935827</v>
      </c>
      <c r="M608">
        <f>CORREL(C608:C1106,E608:E1106)</f>
        <v>3.763489171259201E-2</v>
      </c>
      <c r="N608">
        <f>LEN(A608)</f>
        <v>42</v>
      </c>
      <c r="O608" t="str">
        <f>IF(ISNUMBER(SEARCH("$",A608)), "Money", IF(ISNUMBER(SEARCH("Win",A608)), "Challenge",IF(ISNUMBER(SEARCH("Challenge",A608)), "Challenge",IF(ISNUMBER(SEARCH("Last To Leave",A608)),"Challenge",IF(ISNUMBER(SEARCH("Giving Away", A608)),"Giveaway",IF(ISNUMBER(SEARCH("Stranded",A608)),"Survival", IF(ISNUMBER(SEARCH("Survive",A608)), "Survival", IF(ISNUMBER(SEARCH("Days",A608)),"Endurance","Other"))))))))</f>
        <v>Other</v>
      </c>
    </row>
    <row r="609" spans="1:15" x14ac:dyDescent="0.3">
      <c r="A609" t="s">
        <v>618</v>
      </c>
      <c r="B609" s="1">
        <v>43553</v>
      </c>
      <c r="C609" s="2">
        <v>122714114</v>
      </c>
      <c r="D609" s="3">
        <v>2094099</v>
      </c>
      <c r="E609" s="3">
        <v>44675</v>
      </c>
      <c r="F609">
        <f>YEAR(B609)</f>
        <v>2019</v>
      </c>
      <c r="G609" t="str">
        <f>TEXT(B609,"MMMM")</f>
        <v>March</v>
      </c>
      <c r="H609" t="str">
        <f>TEXT(B609, "DDDD")</f>
        <v>Friday</v>
      </c>
      <c r="I609">
        <f>((D609+E609)/C609)*100</f>
        <v>1.7428916122883795</v>
      </c>
      <c r="J609">
        <f>(D609/C609)*1000</f>
        <v>17.064858570384168</v>
      </c>
      <c r="K609">
        <f>(E609/C609)*1000</f>
        <v>0.36405755249962524</v>
      </c>
      <c r="L609">
        <f>CORREL(C609:C1107, D609:D1107)</f>
        <v>0.79413562807951432</v>
      </c>
      <c r="M609">
        <f>CORREL(C609:C1107,E609:E1107)</f>
        <v>3.8465046654422207E-2</v>
      </c>
      <c r="N609">
        <f>LEN(A609)</f>
        <v>43</v>
      </c>
      <c r="O609" t="str">
        <f>IF(ISNUMBER(SEARCH("$",A609)), "Money", IF(ISNUMBER(SEARCH("Win",A609)), "Challenge",IF(ISNUMBER(SEARCH("Challenge",A609)), "Challenge",IF(ISNUMBER(SEARCH("Last To Leave",A609)),"Challenge",IF(ISNUMBER(SEARCH("Giving Away", A609)),"Giveaway",IF(ISNUMBER(SEARCH("Stranded",A609)),"Survival", IF(ISNUMBER(SEARCH("Survive",A609)), "Survival", IF(ISNUMBER(SEARCH("Days",A609)),"Endurance","Other"))))))))</f>
        <v>Challenge</v>
      </c>
    </row>
    <row r="610" spans="1:15" x14ac:dyDescent="0.3">
      <c r="A610" t="s">
        <v>619</v>
      </c>
      <c r="B610" s="1">
        <v>43763</v>
      </c>
      <c r="C610" s="2">
        <v>120062594</v>
      </c>
      <c r="D610" s="3">
        <v>4544877</v>
      </c>
      <c r="E610" s="3">
        <v>160027</v>
      </c>
      <c r="F610">
        <f>YEAR(B610)</f>
        <v>2019</v>
      </c>
      <c r="G610" t="str">
        <f>TEXT(B610,"MMMM")</f>
        <v>October</v>
      </c>
      <c r="H610" t="str">
        <f>TEXT(B610, "DDDD")</f>
        <v>Friday</v>
      </c>
      <c r="I610">
        <f>((D610+E610)/C610)*100</f>
        <v>3.9187092692666625</v>
      </c>
      <c r="J610">
        <f>(D610/C610)*1000</f>
        <v>37.854229602935284</v>
      </c>
      <c r="K610">
        <f>(E610/C610)*1000</f>
        <v>1.3328630897313447</v>
      </c>
      <c r="L610">
        <f>CORREL(C610:C1108, D610:D1108)</f>
        <v>0.7938668765421677</v>
      </c>
      <c r="M610">
        <f>CORREL(C610:C1108,E610:E1108)</f>
        <v>3.7908151382763731E-2</v>
      </c>
      <c r="N610">
        <f>LEN(A610)</f>
        <v>51</v>
      </c>
      <c r="O610" t="str">
        <f>IF(ISNUMBER(SEARCH("$",A610)), "Money", IF(ISNUMBER(SEARCH("Win",A610)), "Challenge",IF(ISNUMBER(SEARCH("Challenge",A610)), "Challenge",IF(ISNUMBER(SEARCH("Last To Leave",A610)),"Challenge",IF(ISNUMBER(SEARCH("Giving Away", A610)),"Giveaway",IF(ISNUMBER(SEARCH("Stranded",A610)),"Survival", IF(ISNUMBER(SEARCH("Survive",A610)), "Survival", IF(ISNUMBER(SEARCH("Days",A610)),"Endurance","Other"))))))))</f>
        <v>Other</v>
      </c>
    </row>
    <row r="611" spans="1:15" x14ac:dyDescent="0.3">
      <c r="A611" t="s">
        <v>620</v>
      </c>
      <c r="B611" s="1">
        <v>43483</v>
      </c>
      <c r="C611" s="2">
        <v>120043336</v>
      </c>
      <c r="D611" s="3">
        <v>1737386</v>
      </c>
      <c r="E611" s="3">
        <v>62262</v>
      </c>
      <c r="F611">
        <f>YEAR(B611)</f>
        <v>2019</v>
      </c>
      <c r="G611" t="str">
        <f>TEXT(B611,"MMMM")</f>
        <v>January</v>
      </c>
      <c r="H611" t="str">
        <f>TEXT(B611, "DDDD")</f>
        <v>Friday</v>
      </c>
      <c r="I611">
        <f>((D611+E611)/C611)*100</f>
        <v>1.4991652681161742</v>
      </c>
      <c r="J611">
        <f>(D611/C611)*1000</f>
        <v>14.472989987549163</v>
      </c>
      <c r="K611">
        <f>(E611/C611)*1000</f>
        <v>0.51866269361258011</v>
      </c>
      <c r="L611">
        <f>CORREL(C611:C1109, D611:D1109)</f>
        <v>0.79387718999712087</v>
      </c>
      <c r="M611">
        <f>CORREL(C611:C1109,E611:E1109)</f>
        <v>3.9210786668765603E-2</v>
      </c>
      <c r="N611">
        <f>LEN(A611)</f>
        <v>40</v>
      </c>
      <c r="O611" t="str">
        <f>IF(ISNUMBER(SEARCH("$",A611)), "Money", IF(ISNUMBER(SEARCH("Win",A611)), "Challenge",IF(ISNUMBER(SEARCH("Challenge",A611)), "Challenge",IF(ISNUMBER(SEARCH("Last To Leave",A611)),"Challenge",IF(ISNUMBER(SEARCH("Giving Away", A611)),"Giveaway",IF(ISNUMBER(SEARCH("Stranded",A611)),"Survival", IF(ISNUMBER(SEARCH("Survive",A611)), "Survival", IF(ISNUMBER(SEARCH("Days",A611)),"Endurance","Other"))))))))</f>
        <v>Other</v>
      </c>
    </row>
    <row r="612" spans="1:15" x14ac:dyDescent="0.3">
      <c r="A612" t="s">
        <v>533</v>
      </c>
      <c r="B612" s="1">
        <v>43687</v>
      </c>
      <c r="C612" s="2">
        <v>116258994</v>
      </c>
      <c r="D612" s="3">
        <v>2869022</v>
      </c>
      <c r="E612" s="3">
        <v>60986</v>
      </c>
      <c r="F612">
        <f>YEAR(B612)</f>
        <v>2019</v>
      </c>
      <c r="G612" t="str">
        <f>TEXT(B612,"MMMM")</f>
        <v>August</v>
      </c>
      <c r="H612" t="str">
        <f>TEXT(B612, "DDDD")</f>
        <v>Saturday</v>
      </c>
      <c r="I612">
        <f>((D612+E612)/C612)*100</f>
        <v>2.5202420038143458</v>
      </c>
      <c r="J612">
        <f>(D612/C612)*1000</f>
        <v>24.677849870264662</v>
      </c>
      <c r="K612">
        <f>(E612/C612)*1000</f>
        <v>0.52457016787879651</v>
      </c>
      <c r="L612">
        <f>CORREL(C612:C1110, D612:D1110)</f>
        <v>0.79357983124920162</v>
      </c>
      <c r="M612">
        <f>CORREL(C612:C1110,E612:E1110)</f>
        <v>3.8925125193118006E-2</v>
      </c>
      <c r="N612">
        <f>LEN(A612)</f>
        <v>60</v>
      </c>
      <c r="O612" t="str">
        <f>IF(ISNUMBER(SEARCH("$",A612)), "Money", IF(ISNUMBER(SEARCH("Win",A612)), "Challenge",IF(ISNUMBER(SEARCH("Challenge",A612)), "Challenge",IF(ISNUMBER(SEARCH("Last To Leave",A612)),"Challenge",IF(ISNUMBER(SEARCH("Giving Away", A612)),"Giveaway",IF(ISNUMBER(SEARCH("Stranded",A612)),"Survival", IF(ISNUMBER(SEARCH("Survive",A612)), "Survival", IF(ISNUMBER(SEARCH("Days",A612)),"Endurance","Other"))))))))</f>
        <v>Other</v>
      </c>
    </row>
    <row r="613" spans="1:15" x14ac:dyDescent="0.3">
      <c r="A613" t="s">
        <v>621</v>
      </c>
      <c r="B613" s="1">
        <v>43548</v>
      </c>
      <c r="C613" s="2">
        <v>114495087</v>
      </c>
      <c r="D613" s="3">
        <v>3627724</v>
      </c>
      <c r="E613" s="3">
        <v>77544</v>
      </c>
      <c r="F613">
        <f>YEAR(B613)</f>
        <v>2019</v>
      </c>
      <c r="G613" t="str">
        <f>TEXT(B613,"MMMM")</f>
        <v>March</v>
      </c>
      <c r="H613" t="str">
        <f>TEXT(B613, "DDDD")</f>
        <v>Sunday</v>
      </c>
      <c r="I613">
        <f>((D613+E613)/C613)*100</f>
        <v>3.2361807804032674</v>
      </c>
      <c r="J613">
        <f>(D613/C613)*1000</f>
        <v>31.68453856889073</v>
      </c>
      <c r="K613">
        <f>(E613/C613)*1000</f>
        <v>0.67726923514194104</v>
      </c>
      <c r="L613">
        <f>CORREL(C613:C1111, D613:D1111)</f>
        <v>0.79336888247204718</v>
      </c>
      <c r="M613">
        <f>CORREL(C613:C1111,E613:E1111)</f>
        <v>3.8611590755691712E-2</v>
      </c>
      <c r="N613">
        <f>LEN(A613)</f>
        <v>45</v>
      </c>
      <c r="O613" t="str">
        <f>IF(ISNUMBER(SEARCH("$",A613)), "Money", IF(ISNUMBER(SEARCH("Win",A613)), "Challenge",IF(ISNUMBER(SEARCH("Challenge",A613)), "Challenge",IF(ISNUMBER(SEARCH("Last To Leave",A613)),"Challenge",IF(ISNUMBER(SEARCH("Giving Away", A613)),"Giveaway",IF(ISNUMBER(SEARCH("Stranded",A613)),"Survival", IF(ISNUMBER(SEARCH("Survive",A613)), "Survival", IF(ISNUMBER(SEARCH("Days",A613)),"Endurance","Other"))))))))</f>
        <v>Money</v>
      </c>
    </row>
    <row r="614" spans="1:15" x14ac:dyDescent="0.3">
      <c r="A614" t="s">
        <v>622</v>
      </c>
      <c r="B614" s="1">
        <v>43708</v>
      </c>
      <c r="C614" s="2">
        <v>109684165</v>
      </c>
      <c r="D614" s="3">
        <v>2595675</v>
      </c>
      <c r="E614" s="3">
        <v>56541</v>
      </c>
      <c r="F614">
        <f>YEAR(B614)</f>
        <v>2019</v>
      </c>
      <c r="G614" t="str">
        <f>TEXT(B614,"MMMM")</f>
        <v>August</v>
      </c>
      <c r="H614" t="str">
        <f>TEXT(B614, "DDDD")</f>
        <v>Saturday</v>
      </c>
      <c r="I614">
        <f>((D614+E614)/C614)*100</f>
        <v>2.4180482205430476</v>
      </c>
      <c r="J614">
        <f>(D614/C614)*1000</f>
        <v>23.664993027936166</v>
      </c>
      <c r="K614">
        <f>(E614/C614)*1000</f>
        <v>0.51548917749430834</v>
      </c>
      <c r="L614">
        <f>CORREL(C614:C1112, D614:D1112)</f>
        <v>0.79324946269158914</v>
      </c>
      <c r="M614">
        <f>CORREL(C614:C1112,E614:E1112)</f>
        <v>3.8568642989204448E-2</v>
      </c>
      <c r="N614">
        <f>LEN(A614)</f>
        <v>44</v>
      </c>
      <c r="O614" t="str">
        <f>IF(ISNUMBER(SEARCH("$",A614)), "Money", IF(ISNUMBER(SEARCH("Win",A614)), "Challenge",IF(ISNUMBER(SEARCH("Challenge",A614)), "Challenge",IF(ISNUMBER(SEARCH("Last To Leave",A614)),"Challenge",IF(ISNUMBER(SEARCH("Giving Away", A614)),"Giveaway",IF(ISNUMBER(SEARCH("Stranded",A614)),"Survival", IF(ISNUMBER(SEARCH("Survive",A614)), "Survival", IF(ISNUMBER(SEARCH("Days",A614)),"Endurance","Other"))))))))</f>
        <v>Money</v>
      </c>
    </row>
    <row r="615" spans="1:15" x14ac:dyDescent="0.3">
      <c r="A615" t="s">
        <v>623</v>
      </c>
      <c r="B615" s="1">
        <v>43806</v>
      </c>
      <c r="C615" s="2">
        <v>105207536</v>
      </c>
      <c r="D615" s="3">
        <v>1963659</v>
      </c>
      <c r="E615" s="3">
        <v>48631</v>
      </c>
      <c r="F615">
        <f>YEAR(B615)</f>
        <v>2019</v>
      </c>
      <c r="G615" t="str">
        <f>TEXT(B615,"MMMM")</f>
        <v>December</v>
      </c>
      <c r="H615" t="str">
        <f>TEXT(B615, "DDDD")</f>
        <v>Saturday</v>
      </c>
      <c r="I615">
        <f>((D615+E615)/C615)*100</f>
        <v>1.9126861786783029</v>
      </c>
      <c r="J615">
        <f>(D615/C615)*1000</f>
        <v>18.664623036129274</v>
      </c>
      <c r="K615">
        <f>(E615/C615)*1000</f>
        <v>0.46223875065375541</v>
      </c>
      <c r="L615">
        <f>CORREL(C615:C1113, D615:D1113)</f>
        <v>0.7930075672971294</v>
      </c>
      <c r="M615">
        <f>CORREL(C615:C1113,E615:E1113)</f>
        <v>3.8166625621387784E-2</v>
      </c>
      <c r="N615">
        <f>LEN(A615)</f>
        <v>45</v>
      </c>
      <c r="O615" t="str">
        <f>IF(ISNUMBER(SEARCH("$",A615)), "Money", IF(ISNUMBER(SEARCH("Win",A615)), "Challenge",IF(ISNUMBER(SEARCH("Challenge",A615)), "Challenge",IF(ISNUMBER(SEARCH("Last To Leave",A615)),"Challenge",IF(ISNUMBER(SEARCH("Giving Away", A615)),"Giveaway",IF(ISNUMBER(SEARCH("Stranded",A615)),"Survival", IF(ISNUMBER(SEARCH("Survive",A615)), "Survival", IF(ISNUMBER(SEARCH("Days",A615)),"Endurance","Other"))))))))</f>
        <v>Money</v>
      </c>
    </row>
    <row r="616" spans="1:15" x14ac:dyDescent="0.3">
      <c r="A616" t="s">
        <v>624</v>
      </c>
      <c r="B616" s="1">
        <v>43473</v>
      </c>
      <c r="C616" s="2">
        <v>103355756</v>
      </c>
      <c r="D616" s="3">
        <v>1688404</v>
      </c>
      <c r="E616" s="3">
        <v>44314</v>
      </c>
      <c r="F616">
        <f>YEAR(B616)</f>
        <v>2019</v>
      </c>
      <c r="G616" t="str">
        <f>TEXT(B616,"MMMM")</f>
        <v>January</v>
      </c>
      <c r="H616" t="str">
        <f>TEXT(B616, "DDDD")</f>
        <v>Tuesday</v>
      </c>
      <c r="I616">
        <f>((D616+E616)/C616)*100</f>
        <v>1.6764600899440958</v>
      </c>
      <c r="J616">
        <f>(D616/C616)*1000</f>
        <v>16.335848774595583</v>
      </c>
      <c r="K616">
        <f>(E616/C616)*1000</f>
        <v>0.42875212484537384</v>
      </c>
      <c r="L616">
        <f>CORREL(C616:C1114, D616:D1114)</f>
        <v>0.79270148172229216</v>
      </c>
      <c r="M616">
        <f>CORREL(C616:C1114,E616:E1114)</f>
        <v>3.7615951750072069E-2</v>
      </c>
      <c r="N616">
        <f>LEN(A616)</f>
        <v>37</v>
      </c>
      <c r="O616" t="str">
        <f>IF(ISNUMBER(SEARCH("$",A616)), "Money", IF(ISNUMBER(SEARCH("Win",A616)), "Challenge",IF(ISNUMBER(SEARCH("Challenge",A616)), "Challenge",IF(ISNUMBER(SEARCH("Last To Leave",A616)),"Challenge",IF(ISNUMBER(SEARCH("Giving Away", A616)),"Giveaway",IF(ISNUMBER(SEARCH("Stranded",A616)),"Survival", IF(ISNUMBER(SEARCH("Survive",A616)), "Survival", IF(ISNUMBER(SEARCH("Days",A616)),"Endurance","Other"))))))))</f>
        <v>Other</v>
      </c>
    </row>
    <row r="617" spans="1:15" x14ac:dyDescent="0.3">
      <c r="A617" t="s">
        <v>625</v>
      </c>
      <c r="B617" s="1">
        <v>43582</v>
      </c>
      <c r="C617" s="2">
        <v>101097608</v>
      </c>
      <c r="D617" s="3">
        <v>1856966</v>
      </c>
      <c r="E617" s="3">
        <v>41059</v>
      </c>
      <c r="F617">
        <f>YEAR(B617)</f>
        <v>2019</v>
      </c>
      <c r="G617" t="str">
        <f>TEXT(B617,"MMMM")</f>
        <v>April</v>
      </c>
      <c r="H617" t="str">
        <f>TEXT(B617, "DDDD")</f>
        <v>Saturday</v>
      </c>
      <c r="I617">
        <f>((D617+E617)/C617)*100</f>
        <v>1.8774183064746695</v>
      </c>
      <c r="J617">
        <f>(D617/C617)*1000</f>
        <v>18.368050804921118</v>
      </c>
      <c r="K617">
        <f>(E617/C617)*1000</f>
        <v>0.40613225982557372</v>
      </c>
      <c r="L617">
        <f>CORREL(C617:C1115, D617:D1115)</f>
        <v>0.79236819646727619</v>
      </c>
      <c r="M617">
        <f>CORREL(C617:C1115,E617:E1115)</f>
        <v>3.6980739191929457E-2</v>
      </c>
      <c r="N617">
        <f>LEN(A617)</f>
        <v>41</v>
      </c>
      <c r="O617" t="str">
        <f>IF(ISNUMBER(SEARCH("$",A617)), "Money", IF(ISNUMBER(SEARCH("Win",A617)), "Challenge",IF(ISNUMBER(SEARCH("Challenge",A617)), "Challenge",IF(ISNUMBER(SEARCH("Last To Leave",A617)),"Challenge",IF(ISNUMBER(SEARCH("Giving Away", A617)),"Giveaway",IF(ISNUMBER(SEARCH("Stranded",A617)),"Survival", IF(ISNUMBER(SEARCH("Survive",A617)), "Survival", IF(ISNUMBER(SEARCH("Days",A617)),"Endurance","Other"))))))))</f>
        <v>Other</v>
      </c>
    </row>
    <row r="618" spans="1:15" x14ac:dyDescent="0.3">
      <c r="A618" t="s">
        <v>626</v>
      </c>
      <c r="B618" s="1">
        <v>43631</v>
      </c>
      <c r="C618" s="2">
        <v>98863805</v>
      </c>
      <c r="D618" s="3">
        <v>2398356</v>
      </c>
      <c r="E618" s="3">
        <v>76093</v>
      </c>
      <c r="F618">
        <f>YEAR(B618)</f>
        <v>2019</v>
      </c>
      <c r="G618" t="str">
        <f>TEXT(B618,"MMMM")</f>
        <v>June</v>
      </c>
      <c r="H618" t="str">
        <f>TEXT(B618, "DDDD")</f>
        <v>Saturday</v>
      </c>
      <c r="I618">
        <f>((D618+E618)/C618)*100</f>
        <v>2.502886673236985</v>
      </c>
      <c r="J618">
        <f>(D618/C618)*1000</f>
        <v>24.259191723401702</v>
      </c>
      <c r="K618">
        <f>(E618/C618)*1000</f>
        <v>0.76967500896814556</v>
      </c>
      <c r="L618">
        <f>CORREL(C618:C1116, D618:D1116)</f>
        <v>0.79204427030906899</v>
      </c>
      <c r="M618">
        <f>CORREL(C618:C1116,E618:E1116)</f>
        <v>3.6276362037793455E-2</v>
      </c>
      <c r="N618">
        <f>LEN(A618)</f>
        <v>37</v>
      </c>
      <c r="O618" t="str">
        <f>IF(ISNUMBER(SEARCH("$",A618)), "Money", IF(ISNUMBER(SEARCH("Win",A618)), "Challenge",IF(ISNUMBER(SEARCH("Challenge",A618)), "Challenge",IF(ISNUMBER(SEARCH("Last To Leave",A618)),"Challenge",IF(ISNUMBER(SEARCH("Giving Away", A618)),"Giveaway",IF(ISNUMBER(SEARCH("Stranded",A618)),"Survival", IF(ISNUMBER(SEARCH("Survive",A618)), "Survival", IF(ISNUMBER(SEARCH("Days",A618)),"Endurance","Other"))))))))</f>
        <v>Other</v>
      </c>
    </row>
    <row r="619" spans="1:15" x14ac:dyDescent="0.3">
      <c r="A619" t="s">
        <v>627</v>
      </c>
      <c r="B619" s="1">
        <v>43575</v>
      </c>
      <c r="C619" s="2">
        <v>94898871</v>
      </c>
      <c r="D619" s="3">
        <v>1796229</v>
      </c>
      <c r="E619" s="3">
        <v>90261</v>
      </c>
      <c r="F619">
        <f>YEAR(B619)</f>
        <v>2019</v>
      </c>
      <c r="G619" t="str">
        <f>TEXT(B619,"MMMM")</f>
        <v>April</v>
      </c>
      <c r="H619" t="str">
        <f>TEXT(B619, "DDDD")</f>
        <v>Saturday</v>
      </c>
      <c r="I619">
        <f>((D619+E619)/C619)*100</f>
        <v>1.987895093082825</v>
      </c>
      <c r="J619">
        <f>(D619/C619)*1000</f>
        <v>18.92782265028211</v>
      </c>
      <c r="K619">
        <f>(E619/C619)*1000</f>
        <v>0.95112828054614051</v>
      </c>
      <c r="L619">
        <f>CORREL(C619:C1117, D619:D1117)</f>
        <v>0.79177197317080406</v>
      </c>
      <c r="M619">
        <f>CORREL(C619:C1117,E619:E1117)</f>
        <v>3.61966839963044E-2</v>
      </c>
      <c r="N619">
        <f>LEN(A619)</f>
        <v>46</v>
      </c>
      <c r="O619" t="str">
        <f>IF(ISNUMBER(SEARCH("$",A619)), "Money", IF(ISNUMBER(SEARCH("Win",A619)), "Challenge",IF(ISNUMBER(SEARCH("Challenge",A619)), "Challenge",IF(ISNUMBER(SEARCH("Last To Leave",A619)),"Challenge",IF(ISNUMBER(SEARCH("Giving Away", A619)),"Giveaway",IF(ISNUMBER(SEARCH("Stranded",A619)),"Survival", IF(ISNUMBER(SEARCH("Survive",A619)), "Survival", IF(ISNUMBER(SEARCH("Days",A619)),"Endurance","Other"))))))))</f>
        <v>Challenge</v>
      </c>
    </row>
    <row r="620" spans="1:15" x14ac:dyDescent="0.3">
      <c r="A620" t="s">
        <v>628</v>
      </c>
      <c r="B620" s="1">
        <v>43658</v>
      </c>
      <c r="C620" s="2">
        <v>93889459</v>
      </c>
      <c r="D620" s="3">
        <v>1709022</v>
      </c>
      <c r="E620" s="3">
        <v>56839</v>
      </c>
      <c r="F620">
        <f>YEAR(B620)</f>
        <v>2019</v>
      </c>
      <c r="G620" t="str">
        <f>TEXT(B620,"MMMM")</f>
        <v>July</v>
      </c>
      <c r="H620" t="str">
        <f>TEXT(B620, "DDDD")</f>
        <v>Friday</v>
      </c>
      <c r="I620">
        <f>((D620+E620)/C620)*100</f>
        <v>1.8807872777283761</v>
      </c>
      <c r="J620">
        <f>(D620/C620)*1000</f>
        <v>18.202490654462075</v>
      </c>
      <c r="K620">
        <f>(E620/C620)*1000</f>
        <v>0.60538212282168968</v>
      </c>
      <c r="L620">
        <f>CORREL(C620:C1118, D620:D1118)</f>
        <v>0.79143265799141915</v>
      </c>
      <c r="M620">
        <f>CORREL(C620:C1118,E620:E1118)</f>
        <v>3.6381117636324754E-2</v>
      </c>
      <c r="N620">
        <f>LEN(A620)</f>
        <v>33</v>
      </c>
      <c r="O620" t="str">
        <f>IF(ISNUMBER(SEARCH("$",A620)), "Money", IF(ISNUMBER(SEARCH("Win",A620)), "Challenge",IF(ISNUMBER(SEARCH("Challenge",A620)), "Challenge",IF(ISNUMBER(SEARCH("Last To Leave",A620)),"Challenge",IF(ISNUMBER(SEARCH("Giving Away", A620)),"Giveaway",IF(ISNUMBER(SEARCH("Stranded",A620)),"Survival", IF(ISNUMBER(SEARCH("Survive",A620)), "Survival", IF(ISNUMBER(SEARCH("Days",A620)),"Endurance","Other"))))))))</f>
        <v>Other</v>
      </c>
    </row>
    <row r="621" spans="1:15" x14ac:dyDescent="0.3">
      <c r="A621" t="s">
        <v>629</v>
      </c>
      <c r="B621" s="1">
        <v>43714</v>
      </c>
      <c r="C621" s="2">
        <v>93344743</v>
      </c>
      <c r="D621" s="3">
        <v>1762098</v>
      </c>
      <c r="E621" s="3">
        <v>34741</v>
      </c>
      <c r="F621">
        <f>YEAR(B621)</f>
        <v>2019</v>
      </c>
      <c r="G621" t="str">
        <f>TEXT(B621,"MMMM")</f>
        <v>September</v>
      </c>
      <c r="H621" t="str">
        <f>TEXT(B621, "DDDD")</f>
        <v>Friday</v>
      </c>
      <c r="I621">
        <f>((D621+E621)/C621)*100</f>
        <v>1.9249493246770202</v>
      </c>
      <c r="J621">
        <f>(D621/C621)*1000</f>
        <v>18.877313744385155</v>
      </c>
      <c r="K621">
        <f>(E621/C621)*1000</f>
        <v>0.37217950238504593</v>
      </c>
      <c r="L621">
        <f>CORREL(C621:C1119, D621:D1119)</f>
        <v>0.79108125331509882</v>
      </c>
      <c r="M621">
        <f>CORREL(C621:C1119,E621:E1119)</f>
        <v>3.5938596978142771E-2</v>
      </c>
      <c r="N621">
        <f>LEN(A621)</f>
        <v>39</v>
      </c>
      <c r="O621" t="str">
        <f>IF(ISNUMBER(SEARCH("$",A621)), "Money", IF(ISNUMBER(SEARCH("Win",A621)), "Challenge",IF(ISNUMBER(SEARCH("Challenge",A621)), "Challenge",IF(ISNUMBER(SEARCH("Last To Leave",A621)),"Challenge",IF(ISNUMBER(SEARCH("Giving Away", A621)),"Giveaway",IF(ISNUMBER(SEARCH("Stranded",A621)),"Survival", IF(ISNUMBER(SEARCH("Survive",A621)), "Survival", IF(ISNUMBER(SEARCH("Days",A621)),"Endurance","Other"))))))))</f>
        <v>Other</v>
      </c>
    </row>
    <row r="622" spans="1:15" x14ac:dyDescent="0.3">
      <c r="A622" t="s">
        <v>630</v>
      </c>
      <c r="B622" s="1">
        <v>43524</v>
      </c>
      <c r="C622" s="2">
        <v>89556234</v>
      </c>
      <c r="D622" s="3">
        <v>2235312</v>
      </c>
      <c r="E622" s="3">
        <v>110975</v>
      </c>
      <c r="F622">
        <f>YEAR(B622)</f>
        <v>2019</v>
      </c>
      <c r="G622" t="str">
        <f>TEXT(B622,"MMMM")</f>
        <v>February</v>
      </c>
      <c r="H622" t="str">
        <f>TEXT(B622, "DDDD")</f>
        <v>Thursday</v>
      </c>
      <c r="I622">
        <f>((D622+E622)/C622)*100</f>
        <v>2.6199036015739563</v>
      </c>
      <c r="J622">
        <f>(D622/C622)*1000</f>
        <v>24.95987046529893</v>
      </c>
      <c r="K622">
        <f>(E622/C622)*1000</f>
        <v>1.2391655504406316</v>
      </c>
      <c r="L622">
        <f>CORREL(C622:C1120, D622:D1120)</f>
        <v>0.79073151514225026</v>
      </c>
      <c r="M622">
        <f>CORREL(C622:C1120,E622:E1120)</f>
        <v>3.5076871640957387E-2</v>
      </c>
      <c r="N622">
        <f>LEN(A622)</f>
        <v>28</v>
      </c>
      <c r="O622" t="str">
        <f>IF(ISNUMBER(SEARCH("$",A622)), "Money", IF(ISNUMBER(SEARCH("Win",A622)), "Challenge",IF(ISNUMBER(SEARCH("Challenge",A622)), "Challenge",IF(ISNUMBER(SEARCH("Last To Leave",A622)),"Challenge",IF(ISNUMBER(SEARCH("Giving Away", A622)),"Giveaway",IF(ISNUMBER(SEARCH("Stranded",A622)),"Survival", IF(ISNUMBER(SEARCH("Survive",A622)), "Survival", IF(ISNUMBER(SEARCH("Days",A622)),"Endurance","Other"))))))))</f>
        <v>Other</v>
      </c>
    </row>
    <row r="623" spans="1:15" x14ac:dyDescent="0.3">
      <c r="A623" t="s">
        <v>631</v>
      </c>
      <c r="B623" s="1">
        <v>43466</v>
      </c>
      <c r="C623" s="2">
        <v>83929801</v>
      </c>
      <c r="D623" s="3">
        <v>1650532</v>
      </c>
      <c r="E623" s="3">
        <v>68135</v>
      </c>
      <c r="F623">
        <f>YEAR(B623)</f>
        <v>2019</v>
      </c>
      <c r="G623" t="str">
        <f>TEXT(B623,"MMMM")</f>
        <v>January</v>
      </c>
      <c r="H623" t="str">
        <f>TEXT(B623, "DDDD")</f>
        <v>Tuesday</v>
      </c>
      <c r="I623">
        <f>((D623+E623)/C623)*100</f>
        <v>2.0477434469313232</v>
      </c>
      <c r="J623">
        <f>(D623/C623)*1000</f>
        <v>19.665625085897677</v>
      </c>
      <c r="K623">
        <f>(E623/C623)*1000</f>
        <v>0.81180938341555231</v>
      </c>
      <c r="L623">
        <f>CORREL(C623:C1121, D623:D1121)</f>
        <v>0.79043021204905273</v>
      </c>
      <c r="M623">
        <f>CORREL(C623:C1121,E623:E1121)</f>
        <v>3.5668687651885647E-2</v>
      </c>
      <c r="N623">
        <f>LEN(A623)</f>
        <v>38</v>
      </c>
      <c r="O623" t="str">
        <f>IF(ISNUMBER(SEARCH("$",A623)), "Money", IF(ISNUMBER(SEARCH("Win",A623)), "Challenge",IF(ISNUMBER(SEARCH("Challenge",A623)), "Challenge",IF(ISNUMBER(SEARCH("Last To Leave",A623)),"Challenge",IF(ISNUMBER(SEARCH("Giving Away", A623)),"Giveaway",IF(ISNUMBER(SEARCH("Stranded",A623)),"Survival", IF(ISNUMBER(SEARCH("Survive",A623)), "Survival", IF(ISNUMBER(SEARCH("Days",A623)),"Endurance","Other"))))))))</f>
        <v>Money</v>
      </c>
    </row>
    <row r="624" spans="1:15" x14ac:dyDescent="0.3">
      <c r="A624" t="s">
        <v>632</v>
      </c>
      <c r="B624" s="1">
        <v>43585</v>
      </c>
      <c r="C624" s="2">
        <v>83914787</v>
      </c>
      <c r="D624" s="3">
        <v>1855352</v>
      </c>
      <c r="E624" s="3">
        <v>49527</v>
      </c>
      <c r="F624">
        <f>YEAR(B624)</f>
        <v>2019</v>
      </c>
      <c r="G624" t="str">
        <f>TEXT(B624,"MMMM")</f>
        <v>April</v>
      </c>
      <c r="H624" t="str">
        <f>TEXT(B624, "DDDD")</f>
        <v>Tuesday</v>
      </c>
      <c r="I624">
        <f>((D624+E624)/C624)*100</f>
        <v>2.2700158912397645</v>
      </c>
      <c r="J624">
        <f>(D624/C624)*1000</f>
        <v>22.109953040815082</v>
      </c>
      <c r="K624">
        <f>(E624/C624)*1000</f>
        <v>0.59020587158256144</v>
      </c>
      <c r="L624">
        <f>CORREL(C624:C1122, D624:D1122)</f>
        <v>0.79005722193200689</v>
      </c>
      <c r="M624">
        <f>CORREL(C624:C1122,E624:E1122)</f>
        <v>3.5424016068380706E-2</v>
      </c>
      <c r="N624">
        <f>LEN(A624)</f>
        <v>50</v>
      </c>
      <c r="O624" t="str">
        <f>IF(ISNUMBER(SEARCH("$",A624)), "Money", IF(ISNUMBER(SEARCH("Win",A624)), "Challenge",IF(ISNUMBER(SEARCH("Challenge",A624)), "Challenge",IF(ISNUMBER(SEARCH("Last To Leave",A624)),"Challenge",IF(ISNUMBER(SEARCH("Giving Away", A624)),"Giveaway",IF(ISNUMBER(SEARCH("Stranded",A624)),"Survival", IF(ISNUMBER(SEARCH("Survive",A624)), "Survival", IF(ISNUMBER(SEARCH("Days",A624)),"Endurance","Other"))))))))</f>
        <v>Money</v>
      </c>
    </row>
    <row r="625" spans="1:15" x14ac:dyDescent="0.3">
      <c r="A625" t="s">
        <v>633</v>
      </c>
      <c r="B625" s="1">
        <v>43822</v>
      </c>
      <c r="C625" s="2">
        <v>83212094</v>
      </c>
      <c r="D625" s="3">
        <v>3159686</v>
      </c>
      <c r="E625" s="3">
        <v>170244</v>
      </c>
      <c r="F625">
        <f>YEAR(B625)</f>
        <v>2019</v>
      </c>
      <c r="G625" t="str">
        <f>TEXT(B625,"MMMM")</f>
        <v>December</v>
      </c>
      <c r="H625" t="str">
        <f>TEXT(B625, "DDDD")</f>
        <v>Monday</v>
      </c>
      <c r="I625">
        <f>((D625+E625)/C625)*100</f>
        <v>4.0017380165916752</v>
      </c>
      <c r="J625">
        <f>(D625/C625)*1000</f>
        <v>37.971475636702522</v>
      </c>
      <c r="K625">
        <f>(E625/C625)*1000</f>
        <v>2.0459045292142268</v>
      </c>
      <c r="L625">
        <f>CORREL(C625:C1123, D625:D1123)</f>
        <v>0.78970406782282887</v>
      </c>
      <c r="M625">
        <f>CORREL(C625:C1123,E625:E1123)</f>
        <v>3.4807600581369232E-2</v>
      </c>
      <c r="N625">
        <f>LEN(A625)</f>
        <v>44</v>
      </c>
      <c r="O625" t="str">
        <f>IF(ISNUMBER(SEARCH("$",A625)), "Money", IF(ISNUMBER(SEARCH("Win",A625)), "Challenge",IF(ISNUMBER(SEARCH("Challenge",A625)), "Challenge",IF(ISNUMBER(SEARCH("Last To Leave",A625)),"Challenge",IF(ISNUMBER(SEARCH("Giving Away", A625)),"Giveaway",IF(ISNUMBER(SEARCH("Stranded",A625)),"Survival", IF(ISNUMBER(SEARCH("Survive",A625)), "Survival", IF(ISNUMBER(SEARCH("Days",A625)),"Endurance","Other"))))))))</f>
        <v>Other</v>
      </c>
    </row>
    <row r="626" spans="1:15" x14ac:dyDescent="0.3">
      <c r="A626" t="s">
        <v>634</v>
      </c>
      <c r="B626" s="1">
        <v>43721</v>
      </c>
      <c r="C626" s="2">
        <v>78851460</v>
      </c>
      <c r="D626" s="3">
        <v>1605524</v>
      </c>
      <c r="E626" s="3">
        <v>43600</v>
      </c>
      <c r="F626">
        <f>YEAR(B626)</f>
        <v>2019</v>
      </c>
      <c r="G626" t="str">
        <f>TEXT(B626,"MMMM")</f>
        <v>September</v>
      </c>
      <c r="H626" t="str">
        <f>TEXT(B626, "DDDD")</f>
        <v>Friday</v>
      </c>
      <c r="I626">
        <f>((D626+E626)/C626)*100</f>
        <v>2.0914311542233968</v>
      </c>
      <c r="J626">
        <f>(D626/C626)*1000</f>
        <v>20.361373143883448</v>
      </c>
      <c r="K626">
        <f>(E626/C626)*1000</f>
        <v>0.55293839835051883</v>
      </c>
      <c r="L626">
        <f>CORREL(C626:C1124, D626:D1124)</f>
        <v>0.78953581725821909</v>
      </c>
      <c r="M626">
        <f>CORREL(C626:C1124,E626:E1124)</f>
        <v>3.6640567427850108E-2</v>
      </c>
      <c r="N626">
        <f>LEN(A626)</f>
        <v>44</v>
      </c>
      <c r="O626" t="str">
        <f>IF(ISNUMBER(SEARCH("$",A626)), "Money", IF(ISNUMBER(SEARCH("Win",A626)), "Challenge",IF(ISNUMBER(SEARCH("Challenge",A626)), "Challenge",IF(ISNUMBER(SEARCH("Last To Leave",A626)),"Challenge",IF(ISNUMBER(SEARCH("Giving Away", A626)),"Giveaway",IF(ISNUMBER(SEARCH("Stranded",A626)),"Survival", IF(ISNUMBER(SEARCH("Survive",A626)), "Survival", IF(ISNUMBER(SEARCH("Days",A626)),"Endurance","Other"))))))))</f>
        <v>Money</v>
      </c>
    </row>
    <row r="627" spans="1:15" x14ac:dyDescent="0.3">
      <c r="A627" t="s">
        <v>635</v>
      </c>
      <c r="B627" s="1">
        <v>43637</v>
      </c>
      <c r="C627" s="2">
        <v>71000075</v>
      </c>
      <c r="D627" s="3">
        <v>1821146</v>
      </c>
      <c r="E627" s="3">
        <v>83423</v>
      </c>
      <c r="F627">
        <f>YEAR(B627)</f>
        <v>2019</v>
      </c>
      <c r="G627" t="str">
        <f>TEXT(B627,"MMMM")</f>
        <v>June</v>
      </c>
      <c r="H627" t="str">
        <f>TEXT(B627, "DDDD")</f>
        <v>Friday</v>
      </c>
      <c r="I627">
        <f>((D627+E627)/C627)*100</f>
        <v>2.6824887156809343</v>
      </c>
      <c r="J627">
        <f>(D627/C627)*1000</f>
        <v>25.649916566989539</v>
      </c>
      <c r="K627">
        <f>(E627/C627)*1000</f>
        <v>1.1749705898197995</v>
      </c>
      <c r="L627">
        <f>CORREL(C627:C1125, D627:D1125)</f>
        <v>0.78914616504719548</v>
      </c>
      <c r="M627">
        <f>CORREL(C627:C1125,E627:E1125)</f>
        <v>3.5890496091470339E-2</v>
      </c>
      <c r="N627">
        <f>LEN(A627)</f>
        <v>38</v>
      </c>
      <c r="O627" t="str">
        <f>IF(ISNUMBER(SEARCH("$",A627)), "Money", IF(ISNUMBER(SEARCH("Win",A627)), "Challenge",IF(ISNUMBER(SEARCH("Challenge",A627)), "Challenge",IF(ISNUMBER(SEARCH("Last To Leave",A627)),"Challenge",IF(ISNUMBER(SEARCH("Giving Away", A627)),"Giveaway",IF(ISNUMBER(SEARCH("Stranded",A627)),"Survival", IF(ISNUMBER(SEARCH("Survive",A627)), "Survival", IF(ISNUMBER(SEARCH("Days",A627)),"Endurance","Other"))))))))</f>
        <v>Other</v>
      </c>
    </row>
    <row r="628" spans="1:15" x14ac:dyDescent="0.3">
      <c r="A628" t="s">
        <v>636</v>
      </c>
      <c r="B628" s="1">
        <v>43813</v>
      </c>
      <c r="C628" s="2">
        <v>69031568</v>
      </c>
      <c r="D628" s="3">
        <v>1505500</v>
      </c>
      <c r="E628" s="3">
        <v>91395</v>
      </c>
      <c r="F628">
        <f>YEAR(B628)</f>
        <v>2019</v>
      </c>
      <c r="G628" t="str">
        <f>TEXT(B628,"MMMM")</f>
        <v>December</v>
      </c>
      <c r="H628" t="str">
        <f>TEXT(B628, "DDDD")</f>
        <v>Saturday</v>
      </c>
      <c r="I628">
        <f>((D628+E628)/C628)*100</f>
        <v>2.3132822363241119</v>
      </c>
      <c r="J628">
        <f>(D628/C628)*1000</f>
        <v>21.808862866913294</v>
      </c>
      <c r="K628">
        <f>(E628/C628)*1000</f>
        <v>1.3239594963278249</v>
      </c>
      <c r="L628">
        <f>CORREL(C628:C1126, D628:D1126)</f>
        <v>0.78877896683332338</v>
      </c>
      <c r="M628">
        <f>CORREL(C628:C1126,E628:E1126)</f>
        <v>3.5957702996796299E-2</v>
      </c>
      <c r="N628">
        <f>LEN(A628)</f>
        <v>49</v>
      </c>
      <c r="O628" t="str">
        <f>IF(ISNUMBER(SEARCH("$",A628)), "Money", IF(ISNUMBER(SEARCH("Win",A628)), "Challenge",IF(ISNUMBER(SEARCH("Challenge",A628)), "Challenge",IF(ISNUMBER(SEARCH("Last To Leave",A628)),"Challenge",IF(ISNUMBER(SEARCH("Giving Away", A628)),"Giveaway",IF(ISNUMBER(SEARCH("Stranded",A628)),"Survival", IF(ISNUMBER(SEARCH("Survive",A628)), "Survival", IF(ISNUMBER(SEARCH("Days",A628)),"Endurance","Other"))))))))</f>
        <v>Money</v>
      </c>
    </row>
    <row r="629" spans="1:15" x14ac:dyDescent="0.3">
      <c r="A629" t="s">
        <v>637</v>
      </c>
      <c r="B629" s="1">
        <v>43736</v>
      </c>
      <c r="C629" s="2">
        <v>67724015</v>
      </c>
      <c r="D629" s="3">
        <v>1919649</v>
      </c>
      <c r="E629" s="3">
        <v>42438</v>
      </c>
      <c r="F629">
        <f>YEAR(B629)</f>
        <v>2019</v>
      </c>
      <c r="G629" t="str">
        <f>TEXT(B629,"MMMM")</f>
        <v>September</v>
      </c>
      <c r="H629" t="str">
        <f>TEXT(B629, "DDDD")</f>
        <v>Saturday</v>
      </c>
      <c r="I629">
        <f>((D629+E629)/C629)*100</f>
        <v>2.8971805643832544</v>
      </c>
      <c r="J629">
        <f>(D629/C629)*1000</f>
        <v>28.345174160155743</v>
      </c>
      <c r="K629">
        <f>(E629/C629)*1000</f>
        <v>0.6266314836768021</v>
      </c>
      <c r="L629">
        <f>CORREL(C629:C1127, D629:D1127)</f>
        <v>0.78836639766196159</v>
      </c>
      <c r="M629">
        <f>CORREL(C629:C1127,E629:E1127)</f>
        <v>3.6199066188970369E-2</v>
      </c>
      <c r="N629">
        <f>LEN(A629)</f>
        <v>37</v>
      </c>
      <c r="O629" t="str">
        <f>IF(ISNUMBER(SEARCH("$",A629)), "Money", IF(ISNUMBER(SEARCH("Win",A629)), "Challenge",IF(ISNUMBER(SEARCH("Challenge",A629)), "Challenge",IF(ISNUMBER(SEARCH("Last To Leave",A629)),"Challenge",IF(ISNUMBER(SEARCH("Giving Away", A629)),"Giveaway",IF(ISNUMBER(SEARCH("Stranded",A629)),"Survival", IF(ISNUMBER(SEARCH("Survive",A629)), "Survival", IF(ISNUMBER(SEARCH("Days",A629)),"Endurance","Other"))))))))</f>
        <v>Money</v>
      </c>
    </row>
    <row r="630" spans="1:15" x14ac:dyDescent="0.3">
      <c r="A630" t="s">
        <v>638</v>
      </c>
      <c r="B630" s="1">
        <v>43527</v>
      </c>
      <c r="C630" s="2">
        <v>61589384</v>
      </c>
      <c r="D630" s="3">
        <v>1786574</v>
      </c>
      <c r="E630" s="3">
        <v>55252</v>
      </c>
      <c r="F630">
        <f>YEAR(B630)</f>
        <v>2019</v>
      </c>
      <c r="G630" t="str">
        <f>TEXT(B630,"MMMM")</f>
        <v>March</v>
      </c>
      <c r="H630" t="str">
        <f>TEXT(B630, "DDDD")</f>
        <v>Sunday</v>
      </c>
      <c r="I630">
        <f>((D630+E630)/C630)*100</f>
        <v>2.9904926472393361</v>
      </c>
      <c r="J630">
        <f>(D630/C630)*1000</f>
        <v>29.007823815870605</v>
      </c>
      <c r="K630">
        <f>(E630/C630)*1000</f>
        <v>0.89710265652275401</v>
      </c>
      <c r="L630">
        <f>CORREL(C630:C1128, D630:D1128)</f>
        <v>0.78800696778005264</v>
      </c>
      <c r="M630">
        <f>CORREL(C630:C1128,E630:E1128)</f>
        <v>3.5380223923255155E-2</v>
      </c>
      <c r="N630">
        <f>LEN(A630)</f>
        <v>50</v>
      </c>
      <c r="O630" t="str">
        <f>IF(ISNUMBER(SEARCH("$",A630)), "Money", IF(ISNUMBER(SEARCH("Win",A630)), "Challenge",IF(ISNUMBER(SEARCH("Challenge",A630)), "Challenge",IF(ISNUMBER(SEARCH("Last To Leave",A630)),"Challenge",IF(ISNUMBER(SEARCH("Giving Away", A630)),"Giveaway",IF(ISNUMBER(SEARCH("Stranded",A630)),"Survival", IF(ISNUMBER(SEARCH("Survive",A630)), "Survival", IF(ISNUMBER(SEARCH("Days",A630)),"Endurance","Other"))))))))</f>
        <v>Other</v>
      </c>
    </row>
    <row r="631" spans="1:15" x14ac:dyDescent="0.3">
      <c r="A631" t="s">
        <v>639</v>
      </c>
      <c r="B631" s="1">
        <v>43769</v>
      </c>
      <c r="C631" s="2">
        <v>58609223</v>
      </c>
      <c r="D631" s="3">
        <v>1436776</v>
      </c>
      <c r="E631" s="3">
        <v>29812</v>
      </c>
      <c r="F631">
        <f>YEAR(B631)</f>
        <v>2019</v>
      </c>
      <c r="G631" t="str">
        <f>TEXT(B631,"MMMM")</f>
        <v>October</v>
      </c>
      <c r="H631" t="str">
        <f>TEXT(B631, "DDDD")</f>
        <v>Thursday</v>
      </c>
      <c r="I631">
        <f>((D631+E631)/C631)*100</f>
        <v>2.5023160603920647</v>
      </c>
      <c r="J631">
        <f>(D631/C631)*1000</f>
        <v>24.514503459634671</v>
      </c>
      <c r="K631">
        <f>(E631/C631)*1000</f>
        <v>0.50865714428597697</v>
      </c>
      <c r="L631">
        <f>CORREL(C631:C1129, D631:D1129)</f>
        <v>0.78762661588403349</v>
      </c>
      <c r="M631">
        <f>CORREL(C631:C1129,E631:E1129)</f>
        <v>3.4820715787362788E-2</v>
      </c>
      <c r="N631">
        <f>LEN(A631)</f>
        <v>44</v>
      </c>
      <c r="O631" t="str">
        <f>IF(ISNUMBER(SEARCH("$",A631)), "Money", IF(ISNUMBER(SEARCH("Win",A631)), "Challenge",IF(ISNUMBER(SEARCH("Challenge",A631)), "Challenge",IF(ISNUMBER(SEARCH("Last To Leave",A631)),"Challenge",IF(ISNUMBER(SEARCH("Giving Away", A631)),"Giveaway",IF(ISNUMBER(SEARCH("Stranded",A631)),"Survival", IF(ISNUMBER(SEARCH("Survive",A631)), "Survival", IF(ISNUMBER(SEARCH("Days",A631)),"Endurance","Other"))))))))</f>
        <v>Money</v>
      </c>
    </row>
    <row r="632" spans="1:15" x14ac:dyDescent="0.3">
      <c r="A632" t="s">
        <v>640</v>
      </c>
      <c r="B632" s="1">
        <v>43536</v>
      </c>
      <c r="C632" s="2">
        <v>57168031</v>
      </c>
      <c r="D632" s="3">
        <v>1740475</v>
      </c>
      <c r="E632" s="3">
        <v>141709</v>
      </c>
      <c r="F632">
        <f>YEAR(B632)</f>
        <v>2019</v>
      </c>
      <c r="G632" t="str">
        <f>TEXT(B632,"MMMM")</f>
        <v>March</v>
      </c>
      <c r="H632" t="str">
        <f>TEXT(B632, "DDDD")</f>
        <v>Tuesday</v>
      </c>
      <c r="I632">
        <f>((D632+E632)/C632)*100</f>
        <v>3.2923715703974481</v>
      </c>
      <c r="J632">
        <f>(D632/C632)*1000</f>
        <v>30.444900227541506</v>
      </c>
      <c r="K632">
        <f>(E632/C632)*1000</f>
        <v>2.4788154764329735</v>
      </c>
      <c r="L632">
        <f>CORREL(C632:C1130, D632:D1130)</f>
        <v>0.78719168162831699</v>
      </c>
      <c r="M632">
        <f>CORREL(C632:C1130,E632:E1130)</f>
        <v>3.3677002058918992E-2</v>
      </c>
      <c r="N632">
        <f>LEN(A632)</f>
        <v>31</v>
      </c>
      <c r="O632" t="str">
        <f>IF(ISNUMBER(SEARCH("$",A632)), "Money", IF(ISNUMBER(SEARCH("Win",A632)), "Challenge",IF(ISNUMBER(SEARCH("Challenge",A632)), "Challenge",IF(ISNUMBER(SEARCH("Last To Leave",A632)),"Challenge",IF(ISNUMBER(SEARCH("Giving Away", A632)),"Giveaway",IF(ISNUMBER(SEARCH("Stranded",A632)),"Survival", IF(ISNUMBER(SEARCH("Survive",A632)), "Survival", IF(ISNUMBER(SEARCH("Days",A632)),"Endurance","Other"))))))))</f>
        <v>Money</v>
      </c>
    </row>
    <row r="633" spans="1:15" x14ac:dyDescent="0.3">
      <c r="A633" t="s">
        <v>641</v>
      </c>
      <c r="B633" s="1">
        <v>43500</v>
      </c>
      <c r="C633" s="2">
        <v>45316440</v>
      </c>
      <c r="D633" s="3">
        <v>1242843</v>
      </c>
      <c r="E633" s="3">
        <v>63921</v>
      </c>
      <c r="F633">
        <f>YEAR(B633)</f>
        <v>2019</v>
      </c>
      <c r="G633" t="str">
        <f>TEXT(B633,"MMMM")</f>
        <v>February</v>
      </c>
      <c r="H633" t="str">
        <f>TEXT(B633, "DDDD")</f>
        <v>Monday</v>
      </c>
      <c r="I633">
        <f>((D633+E633)/C633)*100</f>
        <v>2.8836422278537324</v>
      </c>
      <c r="J633">
        <f>(D633/C633)*1000</f>
        <v>27.425874583263823</v>
      </c>
      <c r="K633">
        <f>(E633/C633)*1000</f>
        <v>1.4105476952735034</v>
      </c>
      <c r="L633">
        <f>CORREL(C633:C1131, D633:D1131)</f>
        <v>0.78679850736431434</v>
      </c>
      <c r="M633">
        <f>CORREL(C633:C1131,E633:E1131)</f>
        <v>3.5095273191211931E-2</v>
      </c>
      <c r="N633">
        <f>LEN(A633)</f>
        <v>40</v>
      </c>
      <c r="O633" t="str">
        <f>IF(ISNUMBER(SEARCH("$",A633)), "Money", IF(ISNUMBER(SEARCH("Win",A633)), "Challenge",IF(ISNUMBER(SEARCH("Challenge",A633)), "Challenge",IF(ISNUMBER(SEARCH("Last To Leave",A633)),"Challenge",IF(ISNUMBER(SEARCH("Giving Away", A633)),"Giveaway",IF(ISNUMBER(SEARCH("Stranded",A633)),"Survival", IF(ISNUMBER(SEARCH("Survive",A633)), "Survival", IF(ISNUMBER(SEARCH("Days",A633)),"Endurance","Other"))))))))</f>
        <v>Other</v>
      </c>
    </row>
    <row r="634" spans="1:15" x14ac:dyDescent="0.3">
      <c r="A634" t="s">
        <v>642</v>
      </c>
      <c r="B634" s="1">
        <v>43491</v>
      </c>
      <c r="C634" s="2">
        <v>41793126</v>
      </c>
      <c r="D634" s="3">
        <v>1141807</v>
      </c>
      <c r="E634" s="3">
        <v>82116</v>
      </c>
      <c r="F634">
        <f>YEAR(B634)</f>
        <v>2019</v>
      </c>
      <c r="G634" t="str">
        <f>TEXT(B634,"MMMM")</f>
        <v>January</v>
      </c>
      <c r="H634" t="str">
        <f>TEXT(B634, "DDDD")</f>
        <v>Saturday</v>
      </c>
      <c r="I634">
        <f>((D634+E634)/C634)*100</f>
        <v>2.9285270501182419</v>
      </c>
      <c r="J634">
        <f>(D634/C634)*1000</f>
        <v>27.320449779229243</v>
      </c>
      <c r="K634">
        <f>(E634/C634)*1000</f>
        <v>1.9648207219531746</v>
      </c>
      <c r="L634">
        <f>CORREL(C634:C1132, D634:D1132)</f>
        <v>0.78632668096034242</v>
      </c>
      <c r="M634">
        <f>CORREL(C634:C1132,E634:E1132)</f>
        <v>3.470340807841437E-2</v>
      </c>
      <c r="N634">
        <f>LEN(A634)</f>
        <v>37</v>
      </c>
      <c r="O634" t="str">
        <f>IF(ISNUMBER(SEARCH("$",A634)), "Money", IF(ISNUMBER(SEARCH("Win",A634)), "Challenge",IF(ISNUMBER(SEARCH("Challenge",A634)), "Challenge",IF(ISNUMBER(SEARCH("Last To Leave",A634)),"Challenge",IF(ISNUMBER(SEARCH("Giving Away", A634)),"Giveaway",IF(ISNUMBER(SEARCH("Stranded",A634)),"Survival", IF(ISNUMBER(SEARCH("Survive",A634)), "Survival", IF(ISNUMBER(SEARCH("Days",A634)),"Endurance","Other"))))))))</f>
        <v>Other</v>
      </c>
    </row>
    <row r="635" spans="1:15" x14ac:dyDescent="0.3">
      <c r="A635" t="s">
        <v>643</v>
      </c>
      <c r="B635" s="1">
        <v>43617</v>
      </c>
      <c r="C635" s="2">
        <v>41000146</v>
      </c>
      <c r="D635" s="3">
        <v>1114797</v>
      </c>
      <c r="E635" s="3">
        <v>34503</v>
      </c>
      <c r="F635">
        <f>YEAR(B635)</f>
        <v>2019</v>
      </c>
      <c r="G635" t="str">
        <f>TEXT(B635,"MMMM")</f>
        <v>June</v>
      </c>
      <c r="H635" t="str">
        <f>TEXT(B635, "DDDD")</f>
        <v>Saturday</v>
      </c>
      <c r="I635">
        <f>((D635+E635)/C635)*100</f>
        <v>2.8031607497202571</v>
      </c>
      <c r="J635">
        <f>(D635/C635)*1000</f>
        <v>27.190073908517302</v>
      </c>
      <c r="K635">
        <f>(E635/C635)*1000</f>
        <v>0.84153358868526962</v>
      </c>
      <c r="L635">
        <f>CORREL(C635:C1133, D635:D1133)</f>
        <v>0.78583446884901675</v>
      </c>
      <c r="M635">
        <f>CORREL(C635:C1133,E635:E1133)</f>
        <v>3.4749413428471022E-2</v>
      </c>
      <c r="N635">
        <f>LEN(A635)</f>
        <v>41</v>
      </c>
      <c r="O635" t="str">
        <f>IF(ISNUMBER(SEARCH("$",A635)), "Money", IF(ISNUMBER(SEARCH("Win",A635)), "Challenge",IF(ISNUMBER(SEARCH("Challenge",A635)), "Challenge",IF(ISNUMBER(SEARCH("Last To Leave",A635)),"Challenge",IF(ISNUMBER(SEARCH("Giving Away", A635)),"Giveaway",IF(ISNUMBER(SEARCH("Stranded",A635)),"Survival", IF(ISNUMBER(SEARCH("Survive",A635)), "Survival", IF(ISNUMBER(SEARCH("Days",A635)),"Endurance","Other"))))))))</f>
        <v>Money</v>
      </c>
    </row>
    <row r="636" spans="1:15" x14ac:dyDescent="0.3">
      <c r="A636" t="s">
        <v>644</v>
      </c>
      <c r="B636" s="1">
        <v>43827</v>
      </c>
      <c r="C636" s="2">
        <v>39771772</v>
      </c>
      <c r="D636" s="3">
        <v>2411991</v>
      </c>
      <c r="E636" s="3">
        <v>124716</v>
      </c>
      <c r="F636">
        <f>YEAR(B636)</f>
        <v>2019</v>
      </c>
      <c r="G636" t="str">
        <f>TEXT(B636,"MMMM")</f>
        <v>December</v>
      </c>
      <c r="H636" t="str">
        <f>TEXT(B636, "DDDD")</f>
        <v>Saturday</v>
      </c>
      <c r="I636">
        <f>((D636+E636)/C636)*100</f>
        <v>6.3781593638825047</v>
      </c>
      <c r="J636">
        <f>(D636/C636)*1000</f>
        <v>60.645801751050968</v>
      </c>
      <c r="K636">
        <f>(E636/C636)*1000</f>
        <v>3.1357918877740723</v>
      </c>
      <c r="L636">
        <f>CORREL(C636:C1134, D636:D1134)</f>
        <v>0.78533289443527432</v>
      </c>
      <c r="M636">
        <f>CORREL(C636:C1134,E636:E1134)</f>
        <v>3.3626034798740878E-2</v>
      </c>
      <c r="N636">
        <f>LEN(A636)</f>
        <v>45</v>
      </c>
      <c r="O636" t="str">
        <f>IF(ISNUMBER(SEARCH("$",A636)), "Money", IF(ISNUMBER(SEARCH("Win",A636)), "Challenge",IF(ISNUMBER(SEARCH("Challenge",A636)), "Challenge",IF(ISNUMBER(SEARCH("Last To Leave",A636)),"Challenge",IF(ISNUMBER(SEARCH("Giving Away", A636)),"Giveaway",IF(ISNUMBER(SEARCH("Stranded",A636)),"Survival", IF(ISNUMBER(SEARCH("Survive",A636)), "Survival", IF(ISNUMBER(SEARCH("Days",A636)),"Endurance","Other"))))))))</f>
        <v>Other</v>
      </c>
    </row>
    <row r="637" spans="1:15" x14ac:dyDescent="0.3">
      <c r="A637" t="s">
        <v>645</v>
      </c>
      <c r="B637" s="1">
        <v>43561</v>
      </c>
      <c r="C637" s="2">
        <v>38542708</v>
      </c>
      <c r="D637" s="3">
        <v>1009468</v>
      </c>
      <c r="E637" s="3">
        <v>34285</v>
      </c>
      <c r="F637">
        <f>YEAR(B637)</f>
        <v>2019</v>
      </c>
      <c r="G637" t="str">
        <f>TEXT(B637,"MMMM")</f>
        <v>April</v>
      </c>
      <c r="H637" t="str">
        <f>TEXT(B637, "DDDD")</f>
        <v>Saturday</v>
      </c>
      <c r="I637">
        <f>((D637+E637)/C637)*100</f>
        <v>2.7080427249688839</v>
      </c>
      <c r="J637">
        <f>(D637/C637)*1000</f>
        <v>26.190894526663772</v>
      </c>
      <c r="K637">
        <f>(E637/C637)*1000</f>
        <v>0.88953272302506614</v>
      </c>
      <c r="L637">
        <f>CORREL(C637:C1135, D637:D1135)</f>
        <v>0.78506985180076327</v>
      </c>
      <c r="M637">
        <f>CORREL(C637:C1135,E637:E1135)</f>
        <v>3.4736716572204063E-2</v>
      </c>
      <c r="N637">
        <f>LEN(A637)</f>
        <v>34</v>
      </c>
      <c r="O637" t="str">
        <f>IF(ISNUMBER(SEARCH("$",A637)), "Money", IF(ISNUMBER(SEARCH("Win",A637)), "Challenge",IF(ISNUMBER(SEARCH("Challenge",A637)), "Challenge",IF(ISNUMBER(SEARCH("Last To Leave",A637)),"Challenge",IF(ISNUMBER(SEARCH("Giving Away", A637)),"Giveaway",IF(ISNUMBER(SEARCH("Stranded",A637)),"Survival", IF(ISNUMBER(SEARCH("Survive",A637)), "Survival", IF(ISNUMBER(SEARCH("Days",A637)),"Endurance","Other"))))))))</f>
        <v>Other</v>
      </c>
    </row>
    <row r="638" spans="1:15" x14ac:dyDescent="0.3">
      <c r="A638" t="s">
        <v>646</v>
      </c>
      <c r="B638" s="1">
        <v>43479</v>
      </c>
      <c r="C638" s="2">
        <v>34523297</v>
      </c>
      <c r="D638" s="3">
        <v>768074</v>
      </c>
      <c r="E638" s="3">
        <v>23360</v>
      </c>
      <c r="F638">
        <f>YEAR(B638)</f>
        <v>2019</v>
      </c>
      <c r="G638" t="str">
        <f>TEXT(B638,"MMMM")</f>
        <v>January</v>
      </c>
      <c r="H638" t="str">
        <f>TEXT(B638, "DDDD")</f>
        <v>Monday</v>
      </c>
      <c r="I638">
        <f>((D638+E638)/C638)*100</f>
        <v>2.2924635500485366</v>
      </c>
      <c r="J638">
        <f>(D638/C638)*1000</f>
        <v>22.247990972588742</v>
      </c>
      <c r="K638">
        <f>(E638/C638)*1000</f>
        <v>0.67664452789662588</v>
      </c>
      <c r="L638">
        <f>CORREL(C638:C1136, D638:D1136)</f>
        <v>0.78454241682174686</v>
      </c>
      <c r="M638">
        <f>CORREL(C638:C1136,E638:E1136)</f>
        <v>3.3588028620361317E-2</v>
      </c>
      <c r="N638">
        <f>LEN(A638)</f>
        <v>23</v>
      </c>
      <c r="O638" t="str">
        <f>IF(ISNUMBER(SEARCH("$",A638)), "Money", IF(ISNUMBER(SEARCH("Win",A638)), "Challenge",IF(ISNUMBER(SEARCH("Challenge",A638)), "Challenge",IF(ISNUMBER(SEARCH("Last To Leave",A638)),"Challenge",IF(ISNUMBER(SEARCH("Giving Away", A638)),"Giveaway",IF(ISNUMBER(SEARCH("Stranded",A638)),"Survival", IF(ISNUMBER(SEARCH("Survive",A638)), "Survival", IF(ISNUMBER(SEARCH("Days",A638)),"Endurance","Other"))))))))</f>
        <v>Other</v>
      </c>
    </row>
    <row r="639" spans="1:15" x14ac:dyDescent="0.3">
      <c r="A639" t="s">
        <v>647</v>
      </c>
      <c r="B639" s="1">
        <v>43559</v>
      </c>
      <c r="C639" s="2">
        <v>32399160</v>
      </c>
      <c r="D639" s="3">
        <v>872674</v>
      </c>
      <c r="E639" s="3">
        <v>19818</v>
      </c>
      <c r="F639">
        <f>YEAR(B639)</f>
        <v>2019</v>
      </c>
      <c r="G639" t="str">
        <f>TEXT(B639,"MMMM")</f>
        <v>April</v>
      </c>
      <c r="H639" t="str">
        <f>TEXT(B639, "DDDD")</f>
        <v>Thursday</v>
      </c>
      <c r="I639">
        <f>((D639+E639)/C639)*100</f>
        <v>2.7546763558067555</v>
      </c>
      <c r="J639">
        <f>(D639/C639)*1000</f>
        <v>26.935081032965055</v>
      </c>
      <c r="K639">
        <f>(E639/C639)*1000</f>
        <v>0.61168252510250265</v>
      </c>
      <c r="L639">
        <f>CORREL(C639:C1137, D639:D1137)</f>
        <v>0.78397008142083813</v>
      </c>
      <c r="M639">
        <f>CORREL(C639:C1137,E639:E1137)</f>
        <v>3.2136344350846793E-2</v>
      </c>
      <c r="N639">
        <f>LEN(A639)</f>
        <v>40</v>
      </c>
      <c r="O639" t="str">
        <f>IF(ISNUMBER(SEARCH("$",A639)), "Money", IF(ISNUMBER(SEARCH("Win",A639)), "Challenge",IF(ISNUMBER(SEARCH("Challenge",A639)), "Challenge",IF(ISNUMBER(SEARCH("Last To Leave",A639)),"Challenge",IF(ISNUMBER(SEARCH("Giving Away", A639)),"Giveaway",IF(ISNUMBER(SEARCH("Stranded",A639)),"Survival", IF(ISNUMBER(SEARCH("Survive",A639)), "Survival", IF(ISNUMBER(SEARCH("Days",A639)),"Endurance","Other"))))))))</f>
        <v>Money</v>
      </c>
    </row>
    <row r="640" spans="1:15" x14ac:dyDescent="0.3">
      <c r="A640" t="s">
        <v>648</v>
      </c>
      <c r="B640" s="1">
        <v>44149</v>
      </c>
      <c r="C640" s="2">
        <v>366548012</v>
      </c>
      <c r="D640" s="3">
        <v>4869422</v>
      </c>
      <c r="E640" s="3">
        <v>93132</v>
      </c>
      <c r="F640">
        <f>YEAR(B640)</f>
        <v>2020</v>
      </c>
      <c r="G640" t="str">
        <f>TEXT(B640,"MMMM")</f>
        <v>November</v>
      </c>
      <c r="H640" t="str">
        <f>TEXT(B640, "DDDD")</f>
        <v>Saturday</v>
      </c>
      <c r="I640">
        <f>((D640+E640)/C640)*100</f>
        <v>1.3538619328264152</v>
      </c>
      <c r="J640">
        <f>(D640/C640)*1000</f>
        <v>13.284540743873956</v>
      </c>
      <c r="K640">
        <f>(E640/C640)*1000</f>
        <v>0.25407858439019443</v>
      </c>
      <c r="L640">
        <f>CORREL(C640:C1138, D640:D1138)</f>
        <v>0.78340829679173862</v>
      </c>
      <c r="M640">
        <f>CORREL(C640:C1138,E640:E1138)</f>
        <v>3.0569269199175401E-2</v>
      </c>
      <c r="N640">
        <f>LEN(A640)</f>
        <v>34</v>
      </c>
      <c r="O640" t="str">
        <f>IF(ISNUMBER(SEARCH("$",A640)), "Money", IF(ISNUMBER(SEARCH("Win",A640)), "Challenge",IF(ISNUMBER(SEARCH("Challenge",A640)), "Challenge",IF(ISNUMBER(SEARCH("Last To Leave",A640)),"Challenge",IF(ISNUMBER(SEARCH("Giving Away", A640)),"Giveaway",IF(ISNUMBER(SEARCH("Stranded",A640)),"Survival", IF(ISNUMBER(SEARCH("Survive",A640)), "Survival", IF(ISNUMBER(SEARCH("Days",A640)),"Endurance","Other"))))))))</f>
        <v>Money</v>
      </c>
    </row>
    <row r="641" spans="1:15" x14ac:dyDescent="0.3">
      <c r="A641" t="s">
        <v>649</v>
      </c>
      <c r="B641" s="1">
        <v>43981</v>
      </c>
      <c r="C641" s="2">
        <v>343662042</v>
      </c>
      <c r="D641" s="3">
        <v>5106214</v>
      </c>
      <c r="E641" s="3">
        <v>116709</v>
      </c>
      <c r="F641">
        <f>YEAR(B641)</f>
        <v>2020</v>
      </c>
      <c r="G641" t="str">
        <f>TEXT(B641,"MMMM")</f>
        <v>May</v>
      </c>
      <c r="H641" t="str">
        <f>TEXT(B641, "DDDD")</f>
        <v>Saturday</v>
      </c>
      <c r="I641">
        <f>((D641+E641)/C641)*100</f>
        <v>1.519784661001345</v>
      </c>
      <c r="J641">
        <f>(D641/C641)*1000</f>
        <v>14.858242621976855</v>
      </c>
      <c r="K641">
        <f>(E641/C641)*1000</f>
        <v>0.33960398803659558</v>
      </c>
      <c r="L641">
        <f>CORREL(C641:C1139, D641:D1139)</f>
        <v>0.78370367942552799</v>
      </c>
      <c r="M641">
        <f>CORREL(C641:C1139,E641:E1139)</f>
        <v>3.054251171760557E-2</v>
      </c>
      <c r="N641">
        <f>LEN(A641)</f>
        <v>40</v>
      </c>
      <c r="O641" t="str">
        <f>IF(ISNUMBER(SEARCH("$",A641)), "Money", IF(ISNUMBER(SEARCH("Win",A641)), "Challenge",IF(ISNUMBER(SEARCH("Challenge",A641)), "Challenge",IF(ISNUMBER(SEARCH("Last To Leave",A641)),"Challenge",IF(ISNUMBER(SEARCH("Giving Away", A641)),"Giveaway",IF(ISNUMBER(SEARCH("Stranded",A641)),"Survival", IF(ISNUMBER(SEARCH("Survive",A641)), "Survival", IF(ISNUMBER(SEARCH("Days",A641)),"Endurance","Other"))))))))</f>
        <v>Other</v>
      </c>
    </row>
    <row r="642" spans="1:15" x14ac:dyDescent="0.3">
      <c r="A642" t="s">
        <v>650</v>
      </c>
      <c r="B642" s="1">
        <v>43897</v>
      </c>
      <c r="C642" s="2">
        <v>340008740</v>
      </c>
      <c r="D642" s="3">
        <v>5336646</v>
      </c>
      <c r="E642" s="3">
        <v>113237</v>
      </c>
      <c r="F642">
        <f>YEAR(B642)</f>
        <v>2020</v>
      </c>
      <c r="G642" t="str">
        <f>TEXT(B642,"MMMM")</f>
        <v>March</v>
      </c>
      <c r="H642" t="str">
        <f>TEXT(B642, "DDDD")</f>
        <v>Saturday</v>
      </c>
      <c r="I642">
        <f>((D642+E642)/C642)*100</f>
        <v>1.6028655616323273</v>
      </c>
      <c r="J642">
        <f>(D642/C642)*1000</f>
        <v>15.695614177447322</v>
      </c>
      <c r="K642">
        <f>(E642/C642)*1000</f>
        <v>0.33304143887595361</v>
      </c>
      <c r="L642">
        <f>CORREL(C642:C1140, D642:D1140)</f>
        <v>0.78386619631659615</v>
      </c>
      <c r="M642">
        <f>CORREL(C642:C1140,E642:E1140)</f>
        <v>3.0518845504294494E-2</v>
      </c>
      <c r="N642">
        <f>LEN(A642)</f>
        <v>49</v>
      </c>
      <c r="O642" t="str">
        <f>IF(ISNUMBER(SEARCH("$",A642)), "Money", IF(ISNUMBER(SEARCH("Win",A642)), "Challenge",IF(ISNUMBER(SEARCH("Challenge",A642)), "Challenge",IF(ISNUMBER(SEARCH("Last To Leave",A642)),"Challenge",IF(ISNUMBER(SEARCH("Giving Away", A642)),"Giveaway",IF(ISNUMBER(SEARCH("Stranded",A642)),"Survival", IF(ISNUMBER(SEARCH("Survive",A642)), "Survival", IF(ISNUMBER(SEARCH("Days",A642)),"Endurance","Other"))))))))</f>
        <v>Other</v>
      </c>
    </row>
    <row r="643" spans="1:15" x14ac:dyDescent="0.3">
      <c r="A643" t="s">
        <v>651</v>
      </c>
      <c r="B643" s="1">
        <v>44044</v>
      </c>
      <c r="C643" s="2">
        <v>337597152</v>
      </c>
      <c r="D643" s="3">
        <v>4969932</v>
      </c>
      <c r="E643" s="3">
        <v>138338</v>
      </c>
      <c r="F643">
        <f>YEAR(B643)</f>
        <v>2020</v>
      </c>
      <c r="G643" t="str">
        <f>TEXT(B643,"MMMM")</f>
        <v>August</v>
      </c>
      <c r="H643" t="str">
        <f>TEXT(B643, "DDDD")</f>
        <v>Saturday</v>
      </c>
      <c r="I643">
        <f>((D643+E643)/C643)*100</f>
        <v>1.5131259164176836</v>
      </c>
      <c r="J643">
        <f>(D643/C643)*1000</f>
        <v>14.721486749983008</v>
      </c>
      <c r="K643">
        <f>(E643/C643)*1000</f>
        <v>0.40977241419382593</v>
      </c>
      <c r="L643">
        <f>CORREL(C643:C1141, D643:D1141)</f>
        <v>0.78399148980256328</v>
      </c>
      <c r="M643">
        <f>CORREL(C643:C1141,E643:E1141)</f>
        <v>3.0506698758196539E-2</v>
      </c>
      <c r="N643">
        <f>LEN(A643)</f>
        <v>42</v>
      </c>
      <c r="O643" t="str">
        <f>IF(ISNUMBER(SEARCH("$",A643)), "Money", IF(ISNUMBER(SEARCH("Win",A643)), "Challenge",IF(ISNUMBER(SEARCH("Challenge",A643)), "Challenge",IF(ISNUMBER(SEARCH("Last To Leave",A643)),"Challenge",IF(ISNUMBER(SEARCH("Giving Away", A643)),"Giveaway",IF(ISNUMBER(SEARCH("Stranded",A643)),"Survival", IF(ISNUMBER(SEARCH("Survive",A643)), "Survival", IF(ISNUMBER(SEARCH("Days",A643)),"Endurance","Other"))))))))</f>
        <v>Other</v>
      </c>
    </row>
    <row r="644" spans="1:15" x14ac:dyDescent="0.3">
      <c r="A644" t="s">
        <v>652</v>
      </c>
      <c r="B644" s="1">
        <v>44058</v>
      </c>
      <c r="C644" s="2">
        <v>298054352</v>
      </c>
      <c r="D644" s="3">
        <v>5911114</v>
      </c>
      <c r="E644" s="3">
        <v>224082</v>
      </c>
      <c r="F644">
        <f>YEAR(B644)</f>
        <v>2020</v>
      </c>
      <c r="G644" t="str">
        <f>TEXT(B644,"MMMM")</f>
        <v>August</v>
      </c>
      <c r="H644" t="str">
        <f>TEXT(B644, "DDDD")</f>
        <v>Saturday</v>
      </c>
      <c r="I644">
        <f>((D644+E644)/C644)*100</f>
        <v>2.0584151712034053</v>
      </c>
      <c r="J644">
        <f>(D644/C644)*1000</f>
        <v>19.832335815046246</v>
      </c>
      <c r="K644">
        <f>(E644/C644)*1000</f>
        <v>0.75181589698780849</v>
      </c>
      <c r="L644">
        <f>CORREL(C644:C1142, D644:D1142)</f>
        <v>0.78414710265835552</v>
      </c>
      <c r="M644">
        <f>CORREL(C644:C1142,E644:E1142)</f>
        <v>3.0499698983189851E-2</v>
      </c>
      <c r="N644">
        <f>LEN(A644)</f>
        <v>38</v>
      </c>
      <c r="O644" t="str">
        <f>IF(ISNUMBER(SEARCH("$",A644)), "Money", IF(ISNUMBER(SEARCH("Win",A644)), "Challenge",IF(ISNUMBER(SEARCH("Challenge",A644)), "Challenge",IF(ISNUMBER(SEARCH("Last To Leave",A644)),"Challenge",IF(ISNUMBER(SEARCH("Giving Away", A644)),"Giveaway",IF(ISNUMBER(SEARCH("Stranded",A644)),"Survival", IF(ISNUMBER(SEARCH("Survive",A644)), "Survival", IF(ISNUMBER(SEARCH("Days",A644)),"Endurance","Other"))))))))</f>
        <v>Money</v>
      </c>
    </row>
    <row r="645" spans="1:15" x14ac:dyDescent="0.3">
      <c r="A645" t="s">
        <v>653</v>
      </c>
      <c r="B645" s="1">
        <v>43995</v>
      </c>
      <c r="C645" s="2">
        <v>290206874</v>
      </c>
      <c r="D645" s="3">
        <v>4275256</v>
      </c>
      <c r="E645" s="3">
        <v>121258</v>
      </c>
      <c r="F645">
        <f>YEAR(B645)</f>
        <v>2020</v>
      </c>
      <c r="G645" t="str">
        <f>TEXT(B645,"MMMM")</f>
        <v>June</v>
      </c>
      <c r="H645" t="str">
        <f>TEXT(B645, "DDDD")</f>
        <v>Saturday</v>
      </c>
      <c r="I645">
        <f>((D645+E645)/C645)*100</f>
        <v>1.5149586015664123</v>
      </c>
      <c r="J645">
        <f>(D645/C645)*1000</f>
        <v>14.731753045932331</v>
      </c>
      <c r="K645">
        <f>(E645/C645)*1000</f>
        <v>0.41783296973179207</v>
      </c>
      <c r="L645">
        <f>CORREL(C645:C1143, D645:D1143)</f>
        <v>0.78413752712257079</v>
      </c>
      <c r="M645">
        <f>CORREL(C645:C1143,E645:E1143)</f>
        <v>3.0998935072976255E-2</v>
      </c>
      <c r="N645">
        <f>LEN(A645)</f>
        <v>51</v>
      </c>
      <c r="O645" t="str">
        <f>IF(ISNUMBER(SEARCH("$",A645)), "Money", IF(ISNUMBER(SEARCH("Win",A645)), "Challenge",IF(ISNUMBER(SEARCH("Challenge",A645)), "Challenge",IF(ISNUMBER(SEARCH("Last To Leave",A645)),"Challenge",IF(ISNUMBER(SEARCH("Giving Away", A645)),"Giveaway",IF(ISNUMBER(SEARCH("Stranded",A645)),"Survival", IF(ISNUMBER(SEARCH("Survive",A645)), "Survival", IF(ISNUMBER(SEARCH("Days",A645)),"Endurance","Other"))))))))</f>
        <v>Money</v>
      </c>
    </row>
    <row r="646" spans="1:15" x14ac:dyDescent="0.3">
      <c r="A646" t="s">
        <v>654</v>
      </c>
      <c r="B646" s="1">
        <v>43890</v>
      </c>
      <c r="C646" s="2">
        <v>287098041</v>
      </c>
      <c r="D646" s="3">
        <v>4459326</v>
      </c>
      <c r="E646" s="3">
        <v>110351</v>
      </c>
      <c r="F646">
        <f>YEAR(B646)</f>
        <v>2020</v>
      </c>
      <c r="G646" t="str">
        <f>TEXT(B646,"MMMM")</f>
        <v>February</v>
      </c>
      <c r="H646" t="str">
        <f>TEXT(B646, "DDDD")</f>
        <v>Saturday</v>
      </c>
      <c r="I646">
        <f>((D646+E646)/C646)*100</f>
        <v>1.591678223955558</v>
      </c>
      <c r="J646">
        <f>(D646/C646)*1000</f>
        <v>15.532415283878583</v>
      </c>
      <c r="K646">
        <f>(E646/C646)*1000</f>
        <v>0.38436695567699819</v>
      </c>
      <c r="L646">
        <f>CORREL(C646:C1144, D646:D1144)</f>
        <v>0.78418061273524942</v>
      </c>
      <c r="M646">
        <f>CORREL(C646:C1144,E646:E1144)</f>
        <v>3.1153297372150387E-2</v>
      </c>
      <c r="N646">
        <f>LEN(A646)</f>
        <v>28</v>
      </c>
      <c r="O646" t="str">
        <f>IF(ISNUMBER(SEARCH("$",A646)), "Money", IF(ISNUMBER(SEARCH("Win",A646)), "Challenge",IF(ISNUMBER(SEARCH("Challenge",A646)), "Challenge",IF(ISNUMBER(SEARCH("Last To Leave",A646)),"Challenge",IF(ISNUMBER(SEARCH("Giving Away", A646)),"Giveaway",IF(ISNUMBER(SEARCH("Stranded",A646)),"Survival", IF(ISNUMBER(SEARCH("Survive",A646)), "Survival", IF(ISNUMBER(SEARCH("Days",A646)),"Endurance","Other"))))))))</f>
        <v>Money</v>
      </c>
    </row>
    <row r="647" spans="1:15" x14ac:dyDescent="0.3">
      <c r="A647" t="s">
        <v>655</v>
      </c>
      <c r="B647" s="1">
        <v>44035</v>
      </c>
      <c r="C647" s="2">
        <v>283574603</v>
      </c>
      <c r="D647" s="3">
        <v>5008501</v>
      </c>
      <c r="E647" s="3">
        <v>206942</v>
      </c>
      <c r="F647">
        <f>YEAR(B647)</f>
        <v>2020</v>
      </c>
      <c r="G647" t="str">
        <f>TEXT(B647,"MMMM")</f>
        <v>July</v>
      </c>
      <c r="H647" t="str">
        <f>TEXT(B647, "DDDD")</f>
        <v>Thursday</v>
      </c>
      <c r="I647">
        <f>((D647+E647)/C647)*100</f>
        <v>1.8391784542143925</v>
      </c>
      <c r="J647">
        <f>(D647/C647)*1000</f>
        <v>17.662022434357425</v>
      </c>
      <c r="K647">
        <f>(E647/C647)*1000</f>
        <v>0.72976210778650019</v>
      </c>
      <c r="L647">
        <f>CORREL(C647:C1145, D647:D1145)</f>
        <v>0.78420185892273531</v>
      </c>
      <c r="M647">
        <f>CORREL(C647:C1145,E647:E1145)</f>
        <v>3.1272450286500407E-2</v>
      </c>
      <c r="N647">
        <f>LEN(A647)</f>
        <v>36</v>
      </c>
      <c r="O647" t="str">
        <f>IF(ISNUMBER(SEARCH("$",A647)), "Money", IF(ISNUMBER(SEARCH("Win",A647)), "Challenge",IF(ISNUMBER(SEARCH("Challenge",A647)), "Challenge",IF(ISNUMBER(SEARCH("Last To Leave",A647)),"Challenge",IF(ISNUMBER(SEARCH("Giving Away", A647)),"Giveaway",IF(ISNUMBER(SEARCH("Stranded",A647)),"Survival", IF(ISNUMBER(SEARCH("Survive",A647)), "Survival", IF(ISNUMBER(SEARCH("Days",A647)),"Endurance","Other"))))))))</f>
        <v>Other</v>
      </c>
    </row>
    <row r="648" spans="1:15" x14ac:dyDescent="0.3">
      <c r="A648" t="s">
        <v>656</v>
      </c>
      <c r="B648" s="1">
        <v>44015</v>
      </c>
      <c r="C648" s="2">
        <v>268612574</v>
      </c>
      <c r="D648" s="3">
        <v>5564471</v>
      </c>
      <c r="E648" s="3">
        <v>182005</v>
      </c>
      <c r="F648">
        <f>YEAR(B648)</f>
        <v>2020</v>
      </c>
      <c r="G648" t="str">
        <f>TEXT(B648,"MMMM")</f>
        <v>July</v>
      </c>
      <c r="H648" t="str">
        <f>TEXT(B648, "DDDD")</f>
        <v>Friday</v>
      </c>
      <c r="I648">
        <f>((D648+E648)/C648)*100</f>
        <v>2.1393175734208185</v>
      </c>
      <c r="J648">
        <f>(D648/C648)*1000</f>
        <v>20.715601347835641</v>
      </c>
      <c r="K648">
        <f>(E648/C648)*1000</f>
        <v>0.67757438637254563</v>
      </c>
      <c r="L648">
        <f>CORREL(C648:C1146, D648:D1146)</f>
        <v>0.78418872808908768</v>
      </c>
      <c r="M648">
        <f>CORREL(C648:C1146,E648:E1146)</f>
        <v>3.1870933308258763E-2</v>
      </c>
      <c r="N648">
        <f>LEN(A648)</f>
        <v>24</v>
      </c>
      <c r="O648" t="str">
        <f>IF(ISNUMBER(SEARCH("$",A648)), "Money", IF(ISNUMBER(SEARCH("Win",A648)), "Challenge",IF(ISNUMBER(SEARCH("Challenge",A648)), "Challenge",IF(ISNUMBER(SEARCH("Last To Leave",A648)),"Challenge",IF(ISNUMBER(SEARCH("Giving Away", A648)),"Giveaway",IF(ISNUMBER(SEARCH("Stranded",A648)),"Survival", IF(ISNUMBER(SEARCH("Survive",A648)), "Survival", IF(ISNUMBER(SEARCH("Days",A648)),"Endurance","Other"))))))))</f>
        <v>Money</v>
      </c>
    </row>
    <row r="649" spans="1:15" x14ac:dyDescent="0.3">
      <c r="A649" t="s">
        <v>657</v>
      </c>
      <c r="B649" s="1">
        <v>44114</v>
      </c>
      <c r="C649" s="2">
        <v>266217282</v>
      </c>
      <c r="D649" s="3">
        <v>4171641</v>
      </c>
      <c r="E649" s="3">
        <v>116782</v>
      </c>
      <c r="F649">
        <f>YEAR(B649)</f>
        <v>2020</v>
      </c>
      <c r="G649" t="str">
        <f>TEXT(B649,"MMMM")</f>
        <v>October</v>
      </c>
      <c r="H649" t="str">
        <f>TEXT(B649, "DDDD")</f>
        <v>Saturday</v>
      </c>
      <c r="I649">
        <f>((D649+E649)/C649)*100</f>
        <v>1.6108732565303554</v>
      </c>
      <c r="J649">
        <f>(D649/C649)*1000</f>
        <v>15.670060818966665</v>
      </c>
      <c r="K649">
        <f>(E649/C649)*1000</f>
        <v>0.43867174633688882</v>
      </c>
      <c r="L649">
        <f>CORREL(C649:C1147, D649:D1147)</f>
        <v>0.7841458485578382</v>
      </c>
      <c r="M649">
        <f>CORREL(C649:C1147,E649:E1147)</f>
        <v>3.247841840601657E-2</v>
      </c>
      <c r="N649">
        <f>LEN(A649)</f>
        <v>63</v>
      </c>
      <c r="O649" t="str">
        <f>IF(ISNUMBER(SEARCH("$",A649)), "Money", IF(ISNUMBER(SEARCH("Win",A649)), "Challenge",IF(ISNUMBER(SEARCH("Challenge",A649)), "Challenge",IF(ISNUMBER(SEARCH("Last To Leave",A649)),"Challenge",IF(ISNUMBER(SEARCH("Giving Away", A649)),"Giveaway",IF(ISNUMBER(SEARCH("Stranded",A649)),"Survival", IF(ISNUMBER(SEARCH("Survive",A649)), "Survival", IF(ISNUMBER(SEARCH("Days",A649)),"Endurance","Other"))))))))</f>
        <v>Other</v>
      </c>
    </row>
    <row r="650" spans="1:15" x14ac:dyDescent="0.3">
      <c r="A650" t="s">
        <v>658</v>
      </c>
      <c r="B650" s="1">
        <v>44180</v>
      </c>
      <c r="C650" s="2">
        <v>244933762</v>
      </c>
      <c r="D650" s="3">
        <v>7098745</v>
      </c>
      <c r="E650" s="3">
        <v>185445</v>
      </c>
      <c r="F650">
        <f>YEAR(B650)</f>
        <v>2020</v>
      </c>
      <c r="G650" t="str">
        <f>TEXT(B650,"MMMM")</f>
        <v>December</v>
      </c>
      <c r="H650" t="str">
        <f>TEXT(B650, "DDDD")</f>
        <v>Tuesday</v>
      </c>
      <c r="I650">
        <f>((D650+E650)/C650)*100</f>
        <v>2.9739428082601367</v>
      </c>
      <c r="J650">
        <f>(D650/C650)*1000</f>
        <v>28.982305020081309</v>
      </c>
      <c r="K650">
        <f>(E650/C650)*1000</f>
        <v>0.75712306252006212</v>
      </c>
      <c r="L650">
        <f>CORREL(C650:C1148, D650:D1148)</f>
        <v>0.78411870858674715</v>
      </c>
      <c r="M650">
        <f>CORREL(C650:C1148,E650:E1148)</f>
        <v>3.2695957599459528E-2</v>
      </c>
      <c r="N650">
        <f>LEN(A650)</f>
        <v>55</v>
      </c>
      <c r="O650" t="str">
        <f>IF(ISNUMBER(SEARCH("$",A650)), "Money", IF(ISNUMBER(SEARCH("Win",A650)), "Challenge",IF(ISNUMBER(SEARCH("Challenge",A650)), "Challenge",IF(ISNUMBER(SEARCH("Last To Leave",A650)),"Challenge",IF(ISNUMBER(SEARCH("Giving Away", A650)),"Giveaway",IF(ISNUMBER(SEARCH("Stranded",A650)),"Survival", IF(ISNUMBER(SEARCH("Survive",A650)), "Survival", IF(ISNUMBER(SEARCH("Days",A650)),"Endurance","Other"))))))))</f>
        <v>Money</v>
      </c>
    </row>
    <row r="651" spans="1:15" x14ac:dyDescent="0.3">
      <c r="A651" t="s">
        <v>659</v>
      </c>
      <c r="B651" s="1">
        <v>44065</v>
      </c>
      <c r="C651" s="2">
        <v>235015335</v>
      </c>
      <c r="D651" s="3">
        <v>4181922</v>
      </c>
      <c r="E651" s="3">
        <v>150692</v>
      </c>
      <c r="F651">
        <f>YEAR(B651)</f>
        <v>2020</v>
      </c>
      <c r="G651" t="str">
        <f>TEXT(B651,"MMMM")</f>
        <v>August</v>
      </c>
      <c r="H651" t="str">
        <f>TEXT(B651, "DDDD")</f>
        <v>Saturday</v>
      </c>
      <c r="I651">
        <f>((D651+E651)/C651)*100</f>
        <v>1.8435452307824933</v>
      </c>
      <c r="J651">
        <f>(D651/C651)*1000</f>
        <v>17.794251596390506</v>
      </c>
      <c r="K651">
        <f>(E651/C651)*1000</f>
        <v>0.64120071143442625</v>
      </c>
      <c r="L651">
        <f>CORREL(C651:C1149, D651:D1149)</f>
        <v>0.7841771664987971</v>
      </c>
      <c r="M651">
        <f>CORREL(C651:C1149,E651:E1149)</f>
        <v>3.3549487157656717E-2</v>
      </c>
      <c r="N651">
        <f>LEN(A651)</f>
        <v>50</v>
      </c>
      <c r="O651" t="str">
        <f>IF(ISNUMBER(SEARCH("$",A651)), "Money", IF(ISNUMBER(SEARCH("Win",A651)), "Challenge",IF(ISNUMBER(SEARCH("Challenge",A651)), "Challenge",IF(ISNUMBER(SEARCH("Last To Leave",A651)),"Challenge",IF(ISNUMBER(SEARCH("Giving Away", A651)),"Giveaway",IF(ISNUMBER(SEARCH("Stranded",A651)),"Survival", IF(ISNUMBER(SEARCH("Survive",A651)), "Survival", IF(ISNUMBER(SEARCH("Days",A651)),"Endurance","Other"))))))))</f>
        <v>Other</v>
      </c>
    </row>
    <row r="652" spans="1:15" x14ac:dyDescent="0.3">
      <c r="A652" t="s">
        <v>660</v>
      </c>
      <c r="B652" s="1">
        <v>44163</v>
      </c>
      <c r="C652" s="2">
        <v>232578487</v>
      </c>
      <c r="D652" s="3">
        <v>3695173</v>
      </c>
      <c r="E652" s="3">
        <v>92221</v>
      </c>
      <c r="F652">
        <f>YEAR(B652)</f>
        <v>2020</v>
      </c>
      <c r="G652" t="str">
        <f>TEXT(B652,"MMMM")</f>
        <v>November</v>
      </c>
      <c r="H652" t="str">
        <f>TEXT(B652, "DDDD")</f>
        <v>Saturday</v>
      </c>
      <c r="I652">
        <f>((D652+E652)/C652)*100</f>
        <v>1.6284369413754076</v>
      </c>
      <c r="J652">
        <f>(D652/C652)*1000</f>
        <v>15.887853806530266</v>
      </c>
      <c r="K652">
        <f>(E652/C652)*1000</f>
        <v>0.39651560722380996</v>
      </c>
      <c r="L652">
        <f>CORREL(C652:C1150, D652:D1150)</f>
        <v>0.78407518733724879</v>
      </c>
      <c r="M652">
        <f>CORREL(C652:C1150,E652:E1150)</f>
        <v>3.417901722755385E-2</v>
      </c>
      <c r="N652">
        <f>LEN(A652)</f>
        <v>40</v>
      </c>
      <c r="O652" t="str">
        <f>IF(ISNUMBER(SEARCH("$",A652)), "Money", IF(ISNUMBER(SEARCH("Win",A652)), "Challenge",IF(ISNUMBER(SEARCH("Challenge",A652)), "Challenge",IF(ISNUMBER(SEARCH("Last To Leave",A652)),"Challenge",IF(ISNUMBER(SEARCH("Giving Away", A652)),"Giveaway",IF(ISNUMBER(SEARCH("Stranded",A652)),"Survival", IF(ISNUMBER(SEARCH("Survive",A652)), "Survival", IF(ISNUMBER(SEARCH("Days",A652)),"Endurance","Other"))))))))</f>
        <v>Money</v>
      </c>
    </row>
    <row r="653" spans="1:15" x14ac:dyDescent="0.3">
      <c r="A653" t="s">
        <v>661</v>
      </c>
      <c r="B653" s="1">
        <v>43974</v>
      </c>
      <c r="C653" s="2">
        <v>230119996</v>
      </c>
      <c r="D653" s="3">
        <v>7557690</v>
      </c>
      <c r="E653" s="3">
        <v>169747</v>
      </c>
      <c r="F653">
        <f>YEAR(B653)</f>
        <v>2020</v>
      </c>
      <c r="G653" t="str">
        <f>TEXT(B653,"MMMM")</f>
        <v>May</v>
      </c>
      <c r="H653" t="str">
        <f>TEXT(B653, "DDDD")</f>
        <v>Saturday</v>
      </c>
      <c r="I653">
        <f>((D653+E653)/C653)*100</f>
        <v>3.3580032740831443</v>
      </c>
      <c r="J653">
        <f>(D653/C653)*1000</f>
        <v>32.842387151788408</v>
      </c>
      <c r="K653">
        <f>(E653/C653)*1000</f>
        <v>0.73764558904303124</v>
      </c>
      <c r="L653">
        <f>CORREL(C653:C1151, D653:D1151)</f>
        <v>0.78396859362906124</v>
      </c>
      <c r="M653">
        <f>CORREL(C653:C1151,E653:E1151)</f>
        <v>3.428887179098114E-2</v>
      </c>
      <c r="N653">
        <f>LEN(A653)</f>
        <v>49</v>
      </c>
      <c r="O653" t="str">
        <f>IF(ISNUMBER(SEARCH("$",A653)), "Money", IF(ISNUMBER(SEARCH("Win",A653)), "Challenge",IF(ISNUMBER(SEARCH("Challenge",A653)), "Challenge",IF(ISNUMBER(SEARCH("Last To Leave",A653)),"Challenge",IF(ISNUMBER(SEARCH("Giving Away", A653)),"Giveaway",IF(ISNUMBER(SEARCH("Stranded",A653)),"Survival", IF(ISNUMBER(SEARCH("Survive",A653)), "Survival", IF(ISNUMBER(SEARCH("Days",A653)),"Endurance","Other"))))))))</f>
        <v>Money</v>
      </c>
    </row>
    <row r="654" spans="1:15" x14ac:dyDescent="0.3">
      <c r="A654" t="s">
        <v>662</v>
      </c>
      <c r="B654" s="1">
        <v>43932</v>
      </c>
      <c r="C654" s="2">
        <v>230048313</v>
      </c>
      <c r="D654" s="3">
        <v>3427791</v>
      </c>
      <c r="E654" s="3">
        <v>79111</v>
      </c>
      <c r="F654">
        <f>YEAR(B654)</f>
        <v>2020</v>
      </c>
      <c r="G654" t="str">
        <f>TEXT(B654,"MMMM")</f>
        <v>April</v>
      </c>
      <c r="H654" t="str">
        <f>TEXT(B654, "DDDD")</f>
        <v>Saturday</v>
      </c>
      <c r="I654">
        <f>((D654+E654)/C654)*100</f>
        <v>1.5244197856821493</v>
      </c>
      <c r="J654">
        <f>(D654/C654)*1000</f>
        <v>14.900309223306497</v>
      </c>
      <c r="K654">
        <f>(E654/C654)*1000</f>
        <v>0.3438886335149956</v>
      </c>
      <c r="L654">
        <f>CORREL(C654:C1152, D654:D1152)</f>
        <v>0.78412230773987368</v>
      </c>
      <c r="M654">
        <f>CORREL(C654:C1152,E654:E1152)</f>
        <v>3.5141158791095896E-2</v>
      </c>
      <c r="N654">
        <f>LEN(A654)</f>
        <v>37</v>
      </c>
      <c r="O654" t="str">
        <f>IF(ISNUMBER(SEARCH("$",A654)), "Money", IF(ISNUMBER(SEARCH("Win",A654)), "Challenge",IF(ISNUMBER(SEARCH("Challenge",A654)), "Challenge",IF(ISNUMBER(SEARCH("Last To Leave",A654)),"Challenge",IF(ISNUMBER(SEARCH("Giving Away", A654)),"Giveaway",IF(ISNUMBER(SEARCH("Stranded",A654)),"Survival", IF(ISNUMBER(SEARCH("Survive",A654)), "Survival", IF(ISNUMBER(SEARCH("Days",A654)),"Endurance","Other"))))))))</f>
        <v>Other</v>
      </c>
    </row>
    <row r="655" spans="1:15" x14ac:dyDescent="0.3">
      <c r="A655" t="s">
        <v>663</v>
      </c>
      <c r="B655" s="1">
        <v>43988</v>
      </c>
      <c r="C655" s="2">
        <v>222444880</v>
      </c>
      <c r="D655" s="3">
        <v>3660176</v>
      </c>
      <c r="E655" s="3">
        <v>77062</v>
      </c>
      <c r="F655">
        <f>YEAR(B655)</f>
        <v>2020</v>
      </c>
      <c r="G655" t="str">
        <f>TEXT(B655,"MMMM")</f>
        <v>June</v>
      </c>
      <c r="H655" t="str">
        <f>TEXT(B655, "DDDD")</f>
        <v>Saturday</v>
      </c>
      <c r="I655">
        <f>((D655+E655)/C655)*100</f>
        <v>1.6800737333221607</v>
      </c>
      <c r="J655">
        <f>(D655/C655)*1000</f>
        <v>16.45430544411721</v>
      </c>
      <c r="K655">
        <f>(E655/C655)*1000</f>
        <v>0.34643188910439293</v>
      </c>
      <c r="L655">
        <f>CORREL(C655:C1153, D655:D1153)</f>
        <v>0.78401124176629933</v>
      </c>
      <c r="M655">
        <f>CORREL(C655:C1153,E655:E1153)</f>
        <v>3.5136037536845403E-2</v>
      </c>
      <c r="N655">
        <f>LEN(A655)</f>
        <v>38</v>
      </c>
      <c r="O655" t="str">
        <f>IF(ISNUMBER(SEARCH("$",A655)), "Money", IF(ISNUMBER(SEARCH("Win",A655)), "Challenge",IF(ISNUMBER(SEARCH("Challenge",A655)), "Challenge",IF(ISNUMBER(SEARCH("Last To Leave",A655)),"Challenge",IF(ISNUMBER(SEARCH("Giving Away", A655)),"Giveaway",IF(ISNUMBER(SEARCH("Stranded",A655)),"Survival", IF(ISNUMBER(SEARCH("Survive",A655)), "Survival", IF(ISNUMBER(SEARCH("Days",A655)),"Endurance","Other"))))))))</f>
        <v>Other</v>
      </c>
    </row>
    <row r="656" spans="1:15" x14ac:dyDescent="0.3">
      <c r="A656" t="s">
        <v>664</v>
      </c>
      <c r="B656" s="1">
        <v>44093</v>
      </c>
      <c r="C656" s="2">
        <v>215454832</v>
      </c>
      <c r="D656" s="3">
        <v>4905072</v>
      </c>
      <c r="E656" s="3">
        <v>184999</v>
      </c>
      <c r="F656">
        <f>YEAR(B656)</f>
        <v>2020</v>
      </c>
      <c r="G656" t="str">
        <f>TEXT(B656,"MMMM")</f>
        <v>September</v>
      </c>
      <c r="H656" t="str">
        <f>TEXT(B656, "DDDD")</f>
        <v>Saturday</v>
      </c>
      <c r="I656">
        <f>((D656+E656)/C656)*100</f>
        <v>2.3624770689756449</v>
      </c>
      <c r="J656">
        <f>(D656/C656)*1000</f>
        <v>22.76612668403742</v>
      </c>
      <c r="K656">
        <f>(E656/C656)*1000</f>
        <v>0.85864400571902699</v>
      </c>
      <c r="L656">
        <f>CORREL(C656:C1154, D656:D1154)</f>
        <v>0.78387863219304854</v>
      </c>
      <c r="M656">
        <f>CORREL(C656:C1154,E656:E1154)</f>
        <v>3.5110807703897184E-2</v>
      </c>
      <c r="N656">
        <f>LEN(A656)</f>
        <v>41</v>
      </c>
      <c r="O656" t="str">
        <f>IF(ISNUMBER(SEARCH("$",A656)), "Money", IF(ISNUMBER(SEARCH("Win",A656)), "Challenge",IF(ISNUMBER(SEARCH("Challenge",A656)), "Challenge",IF(ISNUMBER(SEARCH("Last To Leave",A656)),"Challenge",IF(ISNUMBER(SEARCH("Giving Away", A656)),"Giveaway",IF(ISNUMBER(SEARCH("Stranded",A656)),"Survival", IF(ISNUMBER(SEARCH("Survive",A656)), "Survival", IF(ISNUMBER(SEARCH("Days",A656)),"Endurance","Other"))))))))</f>
        <v>Other</v>
      </c>
    </row>
    <row r="657" spans="1:15" x14ac:dyDescent="0.3">
      <c r="A657" t="s">
        <v>665</v>
      </c>
      <c r="B657" s="1">
        <v>44007</v>
      </c>
      <c r="C657" s="2">
        <v>212171978</v>
      </c>
      <c r="D657" s="3">
        <v>3977044</v>
      </c>
      <c r="E657" s="3">
        <v>197616</v>
      </c>
      <c r="F657">
        <f>YEAR(B657)</f>
        <v>2020</v>
      </c>
      <c r="G657" t="str">
        <f>TEXT(B657,"MMMM")</f>
        <v>June</v>
      </c>
      <c r="H657" t="str">
        <f>TEXT(B657, "DDDD")</f>
        <v>Thursday</v>
      </c>
      <c r="I657">
        <f>((D657+E657)/C657)*100</f>
        <v>1.9675831084536526</v>
      </c>
      <c r="J657">
        <f>(D657/C657)*1000</f>
        <v>18.744435704888417</v>
      </c>
      <c r="K657">
        <f>(E657/C657)*1000</f>
        <v>0.93139537964810792</v>
      </c>
      <c r="L657">
        <f>CORREL(C657:C1155, D657:D1155)</f>
        <v>0.78377714556245748</v>
      </c>
      <c r="M657">
        <f>CORREL(C657:C1155,E657:E1155)</f>
        <v>3.6263069306751203E-2</v>
      </c>
      <c r="N657">
        <f>LEN(A657)</f>
        <v>20</v>
      </c>
      <c r="O657" t="str">
        <f>IF(ISNUMBER(SEARCH("$",A657)), "Money", IF(ISNUMBER(SEARCH("Win",A657)), "Challenge",IF(ISNUMBER(SEARCH("Challenge",A657)), "Challenge",IF(ISNUMBER(SEARCH("Last To Leave",A657)),"Challenge",IF(ISNUMBER(SEARCH("Giving Away", A657)),"Giveaway",IF(ISNUMBER(SEARCH("Stranded",A657)),"Survival", IF(ISNUMBER(SEARCH("Survive",A657)), "Survival", IF(ISNUMBER(SEARCH("Days",A657)),"Endurance","Other"))))))))</f>
        <v>Other</v>
      </c>
    </row>
    <row r="658" spans="1:15" x14ac:dyDescent="0.3">
      <c r="A658" t="s">
        <v>666</v>
      </c>
      <c r="B658" s="1">
        <v>44100</v>
      </c>
      <c r="C658" s="2">
        <v>209202510</v>
      </c>
      <c r="D658" s="3">
        <v>3087983</v>
      </c>
      <c r="E658" s="3">
        <v>71548</v>
      </c>
      <c r="F658">
        <f>YEAR(B658)</f>
        <v>2020</v>
      </c>
      <c r="G658" t="str">
        <f>TEXT(B658,"MMMM")</f>
        <v>September</v>
      </c>
      <c r="H658" t="str">
        <f>TEXT(B658, "DDDD")</f>
        <v>Saturday</v>
      </c>
      <c r="I658">
        <f>((D658+E658)/C658)*100</f>
        <v>1.510273944609938</v>
      </c>
      <c r="J658">
        <f>(D658/C658)*1000</f>
        <v>14.760735901304434</v>
      </c>
      <c r="K658">
        <f>(E658/C658)*1000</f>
        <v>0.34200354479494532</v>
      </c>
      <c r="L658">
        <f>CORREL(C658:C1156, D658:D1156)</f>
        <v>0.78362906207296124</v>
      </c>
      <c r="M658">
        <f>CORREL(C658:C1156,E658:E1156)</f>
        <v>3.7603516615097296E-2</v>
      </c>
      <c r="N658">
        <f>LEN(A658)</f>
        <v>50</v>
      </c>
      <c r="O658" t="str">
        <f>IF(ISNUMBER(SEARCH("$",A658)), "Money", IF(ISNUMBER(SEARCH("Win",A658)), "Challenge",IF(ISNUMBER(SEARCH("Challenge",A658)), "Challenge",IF(ISNUMBER(SEARCH("Last To Leave",A658)),"Challenge",IF(ISNUMBER(SEARCH("Giving Away", A658)),"Giveaway",IF(ISNUMBER(SEARCH("Stranded",A658)),"Survival", IF(ISNUMBER(SEARCH("Survive",A658)), "Survival", IF(ISNUMBER(SEARCH("Days",A658)),"Endurance","Other"))))))))</f>
        <v>Money</v>
      </c>
    </row>
    <row r="659" spans="1:15" x14ac:dyDescent="0.3">
      <c r="A659" t="s">
        <v>667</v>
      </c>
      <c r="B659" s="1">
        <v>44184</v>
      </c>
      <c r="C659" s="2">
        <v>207174741</v>
      </c>
      <c r="D659" s="3">
        <v>5197085</v>
      </c>
      <c r="E659" s="3">
        <v>723459</v>
      </c>
      <c r="F659">
        <f>YEAR(B659)</f>
        <v>2020</v>
      </c>
      <c r="G659" t="str">
        <f>TEXT(B659,"MMMM")</f>
        <v>December</v>
      </c>
      <c r="H659" t="str">
        <f>TEXT(B659, "DDDD")</f>
        <v>Saturday</v>
      </c>
      <c r="I659">
        <f>((D659+E659)/C659)*100</f>
        <v>2.8577537837974178</v>
      </c>
      <c r="J659">
        <f>(D659/C659)*1000</f>
        <v>25.085514647753321</v>
      </c>
      <c r="K659">
        <f>(E659/C659)*1000</f>
        <v>3.4920231902208583</v>
      </c>
      <c r="L659">
        <f>CORREL(C659:C1157, D659:D1157)</f>
        <v>0.78346031696666785</v>
      </c>
      <c r="M659">
        <f>CORREL(C659:C1157,E659:E1157)</f>
        <v>3.7522893973754731E-2</v>
      </c>
      <c r="N659">
        <f>LEN(A659)</f>
        <v>48</v>
      </c>
      <c r="O659" t="str">
        <f>IF(ISNUMBER(SEARCH("$",A659)), "Money", IF(ISNUMBER(SEARCH("Win",A659)), "Challenge",IF(ISNUMBER(SEARCH("Challenge",A659)), "Challenge",IF(ISNUMBER(SEARCH("Last To Leave",A659)),"Challenge",IF(ISNUMBER(SEARCH("Giving Away", A659)),"Giveaway",IF(ISNUMBER(SEARCH("Stranded",A659)),"Survival", IF(ISNUMBER(SEARCH("Survive",A659)), "Survival", IF(ISNUMBER(SEARCH("Days",A659)),"Endurance","Other"))))))))</f>
        <v>Other</v>
      </c>
    </row>
    <row r="660" spans="1:15" x14ac:dyDescent="0.3">
      <c r="A660" t="s">
        <v>668</v>
      </c>
      <c r="B660" s="1">
        <v>43862</v>
      </c>
      <c r="C660" s="2">
        <v>203332081</v>
      </c>
      <c r="D660" s="3">
        <v>4139349</v>
      </c>
      <c r="E660" s="3">
        <v>97481</v>
      </c>
      <c r="F660">
        <f>YEAR(B660)</f>
        <v>2020</v>
      </c>
      <c r="G660" t="str">
        <f>TEXT(B660,"MMMM")</f>
        <v>February</v>
      </c>
      <c r="H660" t="str">
        <f>TEXT(B660, "DDDD")</f>
        <v>Saturday</v>
      </c>
      <c r="I660">
        <f>((D660+E660)/C660)*100</f>
        <v>2.0836997187866286</v>
      </c>
      <c r="J660">
        <f>(D660/C660)*1000</f>
        <v>20.357579481026409</v>
      </c>
      <c r="K660">
        <f>(E660/C660)*1000</f>
        <v>0.47941770683987639</v>
      </c>
      <c r="L660">
        <f>CORREL(C660:C1158, D660:D1158)</f>
        <v>0.78337883059851332</v>
      </c>
      <c r="M660">
        <f>CORREL(C660:C1158,E660:E1158)</f>
        <v>4.6713131499377628E-2</v>
      </c>
      <c r="N660">
        <f>LEN(A660)</f>
        <v>38</v>
      </c>
      <c r="O660" t="str">
        <f>IF(ISNUMBER(SEARCH("$",A660)), "Money", IF(ISNUMBER(SEARCH("Win",A660)), "Challenge",IF(ISNUMBER(SEARCH("Challenge",A660)), "Challenge",IF(ISNUMBER(SEARCH("Last To Leave",A660)),"Challenge",IF(ISNUMBER(SEARCH("Giving Away", A660)),"Giveaway",IF(ISNUMBER(SEARCH("Stranded",A660)),"Survival", IF(ISNUMBER(SEARCH("Survive",A660)), "Survival", IF(ISNUMBER(SEARCH("Days",A660)),"Endurance","Other"))))))))</f>
        <v>Other</v>
      </c>
    </row>
    <row r="661" spans="1:15" x14ac:dyDescent="0.3">
      <c r="A661" t="s">
        <v>669</v>
      </c>
      <c r="B661" s="1">
        <v>43911</v>
      </c>
      <c r="C661" s="2">
        <v>189158865</v>
      </c>
      <c r="D661" s="3">
        <v>3538885</v>
      </c>
      <c r="E661" s="3">
        <v>70263</v>
      </c>
      <c r="F661">
        <f>YEAR(B661)</f>
        <v>2020</v>
      </c>
      <c r="G661" t="str">
        <f>TEXT(B661,"MMMM")</f>
        <v>March</v>
      </c>
      <c r="H661" t="str">
        <f>TEXT(B661, "DDDD")</f>
        <v>Saturday</v>
      </c>
      <c r="I661">
        <f>((D661+E661)/C661)*100</f>
        <v>1.9079983377992886</v>
      </c>
      <c r="J661">
        <f>(D661/C661)*1000</f>
        <v>18.708533697323674</v>
      </c>
      <c r="K661">
        <f>(E661/C661)*1000</f>
        <v>0.37144968066920891</v>
      </c>
      <c r="L661">
        <f>CORREL(C661:C1159, D661:D1159)</f>
        <v>0.78322347348814536</v>
      </c>
      <c r="M661">
        <f>CORREL(C661:C1159,E661:E1159)</f>
        <v>4.6972514260787301E-2</v>
      </c>
      <c r="N661">
        <f>LEN(A661)</f>
        <v>45</v>
      </c>
      <c r="O661" t="str">
        <f>IF(ISNUMBER(SEARCH("$",A661)), "Money", IF(ISNUMBER(SEARCH("Win",A661)), "Challenge",IF(ISNUMBER(SEARCH("Challenge",A661)), "Challenge",IF(ISNUMBER(SEARCH("Last To Leave",A661)),"Challenge",IF(ISNUMBER(SEARCH("Giving Away", A661)),"Giveaway",IF(ISNUMBER(SEARCH("Stranded",A661)),"Survival", IF(ISNUMBER(SEARCH("Survive",A661)), "Survival", IF(ISNUMBER(SEARCH("Days",A661)),"Endurance","Other"))))))))</f>
        <v>Other</v>
      </c>
    </row>
    <row r="662" spans="1:15" x14ac:dyDescent="0.3">
      <c r="A662" t="s">
        <v>670</v>
      </c>
      <c r="B662" s="1">
        <v>44056</v>
      </c>
      <c r="C662" s="2">
        <v>186585400</v>
      </c>
      <c r="D662" s="3">
        <v>4011016</v>
      </c>
      <c r="E662" s="3">
        <v>126824</v>
      </c>
      <c r="F662">
        <f>YEAR(B662)</f>
        <v>2020</v>
      </c>
      <c r="G662" t="str">
        <f>TEXT(B662,"MMMM")</f>
        <v>August</v>
      </c>
      <c r="H662" t="str">
        <f>TEXT(B662, "DDDD")</f>
        <v>Thursday</v>
      </c>
      <c r="I662">
        <f>((D662+E662)/C662)*100</f>
        <v>2.2176654765056645</v>
      </c>
      <c r="J662">
        <f>(D662/C662)*1000</f>
        <v>21.496944562650668</v>
      </c>
      <c r="K662">
        <f>(E662/C662)*1000</f>
        <v>0.67971020240597602</v>
      </c>
      <c r="L662">
        <f>CORREL(C662:C1160, D662:D1160)</f>
        <v>0.78302140789687225</v>
      </c>
      <c r="M662">
        <f>CORREL(C662:C1160,E662:E1160)</f>
        <v>4.6890509254467028E-2</v>
      </c>
      <c r="N662">
        <f>LEN(A662)</f>
        <v>25</v>
      </c>
      <c r="O662" t="str">
        <f>IF(ISNUMBER(SEARCH("$",A662)), "Money", IF(ISNUMBER(SEARCH("Win",A662)), "Challenge",IF(ISNUMBER(SEARCH("Challenge",A662)), "Challenge",IF(ISNUMBER(SEARCH("Last To Leave",A662)),"Challenge",IF(ISNUMBER(SEARCH("Giving Away", A662)),"Giveaway",IF(ISNUMBER(SEARCH("Stranded",A662)),"Survival", IF(ISNUMBER(SEARCH("Survive",A662)), "Survival", IF(ISNUMBER(SEARCH("Days",A662)),"Endurance","Other"))))))))</f>
        <v>Other</v>
      </c>
    </row>
    <row r="663" spans="1:15" x14ac:dyDescent="0.3">
      <c r="A663" t="s">
        <v>671</v>
      </c>
      <c r="B663" s="1">
        <v>44133</v>
      </c>
      <c r="C663" s="2">
        <v>184488770</v>
      </c>
      <c r="D663" s="3">
        <v>4270804</v>
      </c>
      <c r="E663" s="3">
        <v>192695</v>
      </c>
      <c r="F663">
        <f>YEAR(B663)</f>
        <v>2020</v>
      </c>
      <c r="G663" t="str">
        <f>TEXT(B663,"MMMM")</f>
        <v>October</v>
      </c>
      <c r="H663" t="str">
        <f>TEXT(B663, "DDDD")</f>
        <v>Thursday</v>
      </c>
      <c r="I663">
        <f>((D663+E663)/C663)*100</f>
        <v>2.4193879117953903</v>
      </c>
      <c r="J663">
        <f>(D663/C663)*1000</f>
        <v>23.149398199142418</v>
      </c>
      <c r="K663">
        <f>(E663/C663)*1000</f>
        <v>1.044480918811481</v>
      </c>
      <c r="L663">
        <f>CORREL(C663:C1161, D663:D1161)</f>
        <v>0.78284295348071475</v>
      </c>
      <c r="M663">
        <f>CORREL(C663:C1161,E663:E1161)</f>
        <v>4.7604585406929668E-2</v>
      </c>
      <c r="N663">
        <f>LEN(A663)</f>
        <v>35</v>
      </c>
      <c r="O663" t="str">
        <f>IF(ISNUMBER(SEARCH("$",A663)), "Money", IF(ISNUMBER(SEARCH("Win",A663)), "Challenge",IF(ISNUMBER(SEARCH("Challenge",A663)), "Challenge",IF(ISNUMBER(SEARCH("Last To Leave",A663)),"Challenge",IF(ISNUMBER(SEARCH("Giving Away", A663)),"Giveaway",IF(ISNUMBER(SEARCH("Stranded",A663)),"Survival", IF(ISNUMBER(SEARCH("Survive",A663)), "Survival", IF(ISNUMBER(SEARCH("Days",A663)),"Endurance","Other"))))))))</f>
        <v>Survival</v>
      </c>
    </row>
    <row r="664" spans="1:15" x14ac:dyDescent="0.3">
      <c r="A664" t="s">
        <v>672</v>
      </c>
      <c r="B664" s="1">
        <v>43847</v>
      </c>
      <c r="C664" s="2">
        <v>180415422</v>
      </c>
      <c r="D664" s="3">
        <v>2995934</v>
      </c>
      <c r="E664" s="3">
        <v>50755</v>
      </c>
      <c r="F664">
        <f>YEAR(B664)</f>
        <v>2020</v>
      </c>
      <c r="G664" t="str">
        <f>TEXT(B664,"MMMM")</f>
        <v>January</v>
      </c>
      <c r="H664" t="str">
        <f>TEXT(B664, "DDDD")</f>
        <v>Friday</v>
      </c>
      <c r="I664">
        <f>((D664+E664)/C664)*100</f>
        <v>1.688707631656899</v>
      </c>
      <c r="J664">
        <f>(D664/C664)*1000</f>
        <v>16.605753359599159</v>
      </c>
      <c r="K664">
        <f>(E664/C664)*1000</f>
        <v>0.28132295696983151</v>
      </c>
      <c r="L664">
        <f>CORREL(C664:C1162, D664:D1162)</f>
        <v>0.7826823405972575</v>
      </c>
      <c r="M664">
        <f>CORREL(C664:C1162,E664:E1162)</f>
        <v>4.931962214570567E-2</v>
      </c>
      <c r="N664">
        <f>LEN(A664)</f>
        <v>41</v>
      </c>
      <c r="O664" t="str">
        <f>IF(ISNUMBER(SEARCH("$",A664)), "Money", IF(ISNUMBER(SEARCH("Win",A664)), "Challenge",IF(ISNUMBER(SEARCH("Challenge",A664)), "Challenge",IF(ISNUMBER(SEARCH("Last To Leave",A664)),"Challenge",IF(ISNUMBER(SEARCH("Giving Away", A664)),"Giveaway",IF(ISNUMBER(SEARCH("Stranded",A664)),"Survival", IF(ISNUMBER(SEARCH("Survive",A664)), "Survival", IF(ISNUMBER(SEARCH("Days",A664)),"Endurance","Other"))))))))</f>
        <v>Money</v>
      </c>
    </row>
    <row r="665" spans="1:15" x14ac:dyDescent="0.3">
      <c r="A665" t="s">
        <v>673</v>
      </c>
      <c r="B665" s="1">
        <v>43951</v>
      </c>
      <c r="C665" s="2">
        <v>176031351</v>
      </c>
      <c r="D665" s="3">
        <v>4139740</v>
      </c>
      <c r="E665" s="3">
        <v>65593</v>
      </c>
      <c r="F665">
        <f>YEAR(B665)</f>
        <v>2020</v>
      </c>
      <c r="G665" t="str">
        <f>TEXT(B665,"MMMM")</f>
        <v>April</v>
      </c>
      <c r="H665" t="str">
        <f>TEXT(B665, "DDDD")</f>
        <v>Thursday</v>
      </c>
      <c r="I665">
        <f>((D665+E665)/C665)*100</f>
        <v>2.3889682014654312</v>
      </c>
      <c r="J665">
        <f>(D665/C665)*1000</f>
        <v>23.51706088990932</v>
      </c>
      <c r="K665">
        <f>(E665/C665)*1000</f>
        <v>0.37262112474498932</v>
      </c>
      <c r="L665">
        <f>CORREL(C665:C1163, D665:D1163)</f>
        <v>0.78243777787557711</v>
      </c>
      <c r="M665">
        <f>CORREL(C665:C1163,E665:E1163)</f>
        <v>4.8960143585007498E-2</v>
      </c>
      <c r="N665">
        <f>LEN(A665)</f>
        <v>28</v>
      </c>
      <c r="O665" t="str">
        <f>IF(ISNUMBER(SEARCH("$",A665)), "Money", IF(ISNUMBER(SEARCH("Win",A665)), "Challenge",IF(ISNUMBER(SEARCH("Challenge",A665)), "Challenge",IF(ISNUMBER(SEARCH("Last To Leave",A665)),"Challenge",IF(ISNUMBER(SEARCH("Giving Away", A665)),"Giveaway",IF(ISNUMBER(SEARCH("Stranded",A665)),"Survival", IF(ISNUMBER(SEARCH("Survive",A665)), "Survival", IF(ISNUMBER(SEARCH("Days",A665)),"Endurance","Other"))))))))</f>
        <v>Other</v>
      </c>
    </row>
    <row r="666" spans="1:15" x14ac:dyDescent="0.3">
      <c r="A666" t="s">
        <v>674</v>
      </c>
      <c r="B666" s="1">
        <v>43903</v>
      </c>
      <c r="C666" s="2">
        <v>162824843</v>
      </c>
      <c r="D666" s="3">
        <v>2812929</v>
      </c>
      <c r="E666" s="3">
        <v>66943</v>
      </c>
      <c r="F666">
        <f>YEAR(B666)</f>
        <v>2020</v>
      </c>
      <c r="G666" t="str">
        <f>TEXT(B666,"MMMM")</f>
        <v>March</v>
      </c>
      <c r="H666" t="str">
        <f>TEXT(B666, "DDDD")</f>
        <v>Friday</v>
      </c>
      <c r="I666">
        <f>((D666+E666)/C666)*100</f>
        <v>1.768693245415873</v>
      </c>
      <c r="J666">
        <f>(D666/C666)*1000</f>
        <v>17.275797403962493</v>
      </c>
      <c r="K666">
        <f>(E666/C666)*1000</f>
        <v>0.41113505019624064</v>
      </c>
      <c r="L666">
        <f>CORREL(C666:C1164, D666:D1164)</f>
        <v>0.78226176917557988</v>
      </c>
      <c r="M666">
        <f>CORREL(C666:C1164,E666:E1164)</f>
        <v>4.8809245515044952E-2</v>
      </c>
      <c r="N666">
        <f>LEN(A666)</f>
        <v>41</v>
      </c>
      <c r="O666" t="str">
        <f>IF(ISNUMBER(SEARCH("$",A666)), "Money", IF(ISNUMBER(SEARCH("Win",A666)), "Challenge",IF(ISNUMBER(SEARCH("Challenge",A666)), "Challenge",IF(ISNUMBER(SEARCH("Last To Leave",A666)),"Challenge",IF(ISNUMBER(SEARCH("Giving Away", A666)),"Giveaway",IF(ISNUMBER(SEARCH("Stranded",A666)),"Survival", IF(ISNUMBER(SEARCH("Survive",A666)), "Survival", IF(ISNUMBER(SEARCH("Days",A666)),"Endurance","Other"))))))))</f>
        <v>Money</v>
      </c>
    </row>
    <row r="667" spans="1:15" x14ac:dyDescent="0.3">
      <c r="A667" t="s">
        <v>675</v>
      </c>
      <c r="B667" s="1">
        <v>44128</v>
      </c>
      <c r="C667" s="2">
        <v>155242746</v>
      </c>
      <c r="D667" s="3">
        <v>4242563</v>
      </c>
      <c r="E667" s="3">
        <v>85866</v>
      </c>
      <c r="F667">
        <f>YEAR(B667)</f>
        <v>2020</v>
      </c>
      <c r="G667" t="str">
        <f>TEXT(B667,"MMMM")</f>
        <v>October</v>
      </c>
      <c r="H667" t="str">
        <f>TEXT(B667, "DDDD")</f>
        <v>Saturday</v>
      </c>
      <c r="I667">
        <f>((D667+E667)/C667)*100</f>
        <v>2.7881682793732598</v>
      </c>
      <c r="J667">
        <f>(D667/C667)*1000</f>
        <v>27.328574824359265</v>
      </c>
      <c r="K667">
        <f>(E667/C667)*1000</f>
        <v>0.55310796937333229</v>
      </c>
      <c r="L667">
        <f>CORREL(C667:C1165, D667:D1165)</f>
        <v>0.7819739626113632</v>
      </c>
      <c r="M667">
        <f>CORREL(C667:C1165,E667:E1165)</f>
        <v>4.8669318059331002E-2</v>
      </c>
      <c r="N667">
        <f>LEN(A667)</f>
        <v>43</v>
      </c>
      <c r="O667" t="str">
        <f>IF(ISNUMBER(SEARCH("$",A667)), "Money", IF(ISNUMBER(SEARCH("Win",A667)), "Challenge",IF(ISNUMBER(SEARCH("Challenge",A667)), "Challenge",IF(ISNUMBER(SEARCH("Last To Leave",A667)),"Challenge",IF(ISNUMBER(SEARCH("Giving Away", A667)),"Giveaway",IF(ISNUMBER(SEARCH("Stranded",A667)),"Survival", IF(ISNUMBER(SEARCH("Survive",A667)), "Survival", IF(ISNUMBER(SEARCH("Days",A667)),"Endurance","Other"))))))))</f>
        <v>Other</v>
      </c>
    </row>
    <row r="668" spans="1:15" x14ac:dyDescent="0.3">
      <c r="A668" t="s">
        <v>676</v>
      </c>
      <c r="B668" s="1">
        <v>44051</v>
      </c>
      <c r="C668" s="2">
        <v>153466003</v>
      </c>
      <c r="D668" s="3">
        <v>3420902</v>
      </c>
      <c r="E668" s="3">
        <v>85425</v>
      </c>
      <c r="F668">
        <f>YEAR(B668)</f>
        <v>2020</v>
      </c>
      <c r="G668" t="str">
        <f>TEXT(B668,"MMMM")</f>
        <v>August</v>
      </c>
      <c r="H668" t="str">
        <f>TEXT(B668, "DDDD")</f>
        <v>Saturday</v>
      </c>
      <c r="I668">
        <f>((D668+E668)/C668)*100</f>
        <v>2.2847581428181196</v>
      </c>
      <c r="J668">
        <f>(D668/C668)*1000</f>
        <v>22.290943486682195</v>
      </c>
      <c r="K668">
        <f>(E668/C668)*1000</f>
        <v>0.55663794149900425</v>
      </c>
      <c r="L668">
        <f>CORREL(C668:C1166, D668:D1166)</f>
        <v>0.78181296217046525</v>
      </c>
      <c r="M668">
        <f>CORREL(C668:C1166,E668:E1166)</f>
        <v>4.8846513822856041E-2</v>
      </c>
      <c r="N668">
        <f>LEN(A668)</f>
        <v>45</v>
      </c>
      <c r="O668" t="str">
        <f>IF(ISNUMBER(SEARCH("$",A668)), "Money", IF(ISNUMBER(SEARCH("Win",A668)), "Challenge",IF(ISNUMBER(SEARCH("Challenge",A668)), "Challenge",IF(ISNUMBER(SEARCH("Last To Leave",A668)),"Challenge",IF(ISNUMBER(SEARCH("Giving Away", A668)),"Giveaway",IF(ISNUMBER(SEARCH("Stranded",A668)),"Survival", IF(ISNUMBER(SEARCH("Survive",A668)), "Survival", IF(ISNUMBER(SEARCH("Days",A668)),"Endurance","Other"))))))))</f>
        <v>Money</v>
      </c>
    </row>
    <row r="669" spans="1:15" x14ac:dyDescent="0.3">
      <c r="A669" t="s">
        <v>677</v>
      </c>
      <c r="B669" s="1">
        <v>43869</v>
      </c>
      <c r="C669" s="2">
        <v>152842470</v>
      </c>
      <c r="D669" s="3">
        <v>2759647</v>
      </c>
      <c r="E669" s="3">
        <v>54876</v>
      </c>
      <c r="F669">
        <f>YEAR(B669)</f>
        <v>2020</v>
      </c>
      <c r="G669" t="str">
        <f>TEXT(B669,"MMMM")</f>
        <v>February</v>
      </c>
      <c r="H669" t="str">
        <f>TEXT(B669, "DDDD")</f>
        <v>Saturday</v>
      </c>
      <c r="I669">
        <f>((D669+E669)/C669)*100</f>
        <v>1.8414534912972815</v>
      </c>
      <c r="J669">
        <f>(D669/C669)*1000</f>
        <v>18.055498579681419</v>
      </c>
      <c r="K669">
        <f>(E669/C669)*1000</f>
        <v>0.35903633329139473</v>
      </c>
      <c r="L669">
        <f>CORREL(C669:C1167, D669:D1167)</f>
        <v>0.78155883762276757</v>
      </c>
      <c r="M669">
        <f>CORREL(C669:C1167,E669:E1167)</f>
        <v>4.9019480747607314E-2</v>
      </c>
      <c r="N669">
        <f>LEN(A669)</f>
        <v>30</v>
      </c>
      <c r="O669" t="str">
        <f>IF(ISNUMBER(SEARCH("$",A669)), "Money", IF(ISNUMBER(SEARCH("Win",A669)), "Challenge",IF(ISNUMBER(SEARCH("Challenge",A669)), "Challenge",IF(ISNUMBER(SEARCH("Last To Leave",A669)),"Challenge",IF(ISNUMBER(SEARCH("Giving Away", A669)),"Giveaway",IF(ISNUMBER(SEARCH("Stranded",A669)),"Survival", IF(ISNUMBER(SEARCH("Survive",A669)), "Survival", IF(ISNUMBER(SEARCH("Days",A669)),"Endurance","Other"))))))))</f>
        <v>Challenge</v>
      </c>
    </row>
    <row r="670" spans="1:15" x14ac:dyDescent="0.3">
      <c r="A670" t="s">
        <v>678</v>
      </c>
      <c r="B670" s="1">
        <v>44108</v>
      </c>
      <c r="C670" s="2">
        <v>149030914</v>
      </c>
      <c r="D670" s="3">
        <v>7367628</v>
      </c>
      <c r="E670" s="3">
        <v>263976</v>
      </c>
      <c r="F670">
        <f>YEAR(B670)</f>
        <v>2020</v>
      </c>
      <c r="G670" t="str">
        <f>TEXT(B670,"MMMM")</f>
        <v>October</v>
      </c>
      <c r="H670" t="str">
        <f>TEXT(B670, "DDDD")</f>
        <v>Sunday</v>
      </c>
      <c r="I670">
        <f>((D670+E670)/C670)*100</f>
        <v>5.1208194294507248</v>
      </c>
      <c r="J670">
        <f>(D670/C670)*1000</f>
        <v>49.436910787516204</v>
      </c>
      <c r="K670">
        <f>(E670/C670)*1000</f>
        <v>1.7712835069910395</v>
      </c>
      <c r="L670">
        <f>CORREL(C670:C1168, D670:D1168)</f>
        <v>0.78124580671201038</v>
      </c>
      <c r="M670">
        <f>CORREL(C670:C1168,E670:E1168)</f>
        <v>4.8664574585263284E-2</v>
      </c>
      <c r="N670">
        <f>LEN(A670)</f>
        <v>16</v>
      </c>
      <c r="O670" t="str">
        <f>IF(ISNUMBER(SEARCH("$",A670)), "Money", IF(ISNUMBER(SEARCH("Win",A670)), "Challenge",IF(ISNUMBER(SEARCH("Challenge",A670)), "Challenge",IF(ISNUMBER(SEARCH("Last To Leave",A670)),"Challenge",IF(ISNUMBER(SEARCH("Giving Away", A670)),"Giveaway",IF(ISNUMBER(SEARCH("Stranded",A670)),"Survival", IF(ISNUMBER(SEARCH("Survive",A670)), "Survival", IF(ISNUMBER(SEARCH("Days",A670)),"Endurance","Other"))))))))</f>
        <v>Other</v>
      </c>
    </row>
    <row r="671" spans="1:15" x14ac:dyDescent="0.3">
      <c r="A671" t="s">
        <v>679</v>
      </c>
      <c r="B671" s="1">
        <v>44188</v>
      </c>
      <c r="C671" s="2">
        <v>135321131</v>
      </c>
      <c r="D671" s="3">
        <v>3004515</v>
      </c>
      <c r="E671" s="3">
        <v>105707</v>
      </c>
      <c r="F671">
        <f>YEAR(B671)</f>
        <v>2020</v>
      </c>
      <c r="G671" t="str">
        <f>TEXT(B671,"MMMM")</f>
        <v>December</v>
      </c>
      <c r="H671" t="str">
        <f>TEXT(B671, "DDDD")</f>
        <v>Wednesday</v>
      </c>
      <c r="I671">
        <f>((D671+E671)/C671)*100</f>
        <v>2.2984008314266897</v>
      </c>
      <c r="J671">
        <f>(D671/C671)*1000</f>
        <v>22.20285167436267</v>
      </c>
      <c r="K671">
        <f>(E671/C671)*1000</f>
        <v>0.78115663990422901</v>
      </c>
      <c r="L671">
        <f>CORREL(C671:C1169, D671:D1169)</f>
        <v>0.78170949687070834</v>
      </c>
      <c r="M671">
        <f>CORREL(C671:C1169,E671:E1169)</f>
        <v>5.220927716463155E-2</v>
      </c>
      <c r="N671">
        <f>LEN(A671)</f>
        <v>62</v>
      </c>
      <c r="O671" t="str">
        <f>IF(ISNUMBER(SEARCH("$",A671)), "Money", IF(ISNUMBER(SEARCH("Win",A671)), "Challenge",IF(ISNUMBER(SEARCH("Challenge",A671)), "Challenge",IF(ISNUMBER(SEARCH("Last To Leave",A671)),"Challenge",IF(ISNUMBER(SEARCH("Giving Away", A671)),"Giveaway",IF(ISNUMBER(SEARCH("Stranded",A671)),"Survival", IF(ISNUMBER(SEARCH("Survive",A671)), "Survival", IF(ISNUMBER(SEARCH("Days",A671)),"Endurance","Other"))))))))</f>
        <v>Other</v>
      </c>
    </row>
    <row r="672" spans="1:15" x14ac:dyDescent="0.3">
      <c r="A672" t="s">
        <v>680</v>
      </c>
      <c r="B672" s="1">
        <v>43855</v>
      </c>
      <c r="C672" s="2">
        <v>131582778</v>
      </c>
      <c r="D672" s="3">
        <v>2314228</v>
      </c>
      <c r="E672" s="3">
        <v>45743</v>
      </c>
      <c r="F672">
        <f>YEAR(B672)</f>
        <v>2020</v>
      </c>
      <c r="G672" t="str">
        <f>TEXT(B672,"MMMM")</f>
        <v>January</v>
      </c>
      <c r="H672" t="str">
        <f>TEXT(B672, "DDDD")</f>
        <v>Saturday</v>
      </c>
      <c r="I672">
        <f>((D672+E672)/C672)*100</f>
        <v>1.7935257454436779</v>
      </c>
      <c r="J672">
        <f>(D672/C672)*1000</f>
        <v>17.587620775113898</v>
      </c>
      <c r="K672">
        <f>(E672/C672)*1000</f>
        <v>0.34763667932288222</v>
      </c>
      <c r="L672">
        <f>CORREL(C672:C1170, D672:D1170)</f>
        <v>0.78140061685660123</v>
      </c>
      <c r="M672">
        <f>CORREL(C672:C1170,E672:E1170)</f>
        <v>5.2813484983054146E-2</v>
      </c>
      <c r="N672">
        <f>LEN(A672)</f>
        <v>38</v>
      </c>
      <c r="O672" t="str">
        <f>IF(ISNUMBER(SEARCH("$",A672)), "Money", IF(ISNUMBER(SEARCH("Win",A672)), "Challenge",IF(ISNUMBER(SEARCH("Challenge",A672)), "Challenge",IF(ISNUMBER(SEARCH("Last To Leave",A672)),"Challenge",IF(ISNUMBER(SEARCH("Giving Away", A672)),"Giveaway",IF(ISNUMBER(SEARCH("Stranded",A672)),"Survival", IF(ISNUMBER(SEARCH("Survive",A672)), "Survival", IF(ISNUMBER(SEARCH("Days",A672)),"Endurance","Other"))))))))</f>
        <v>Money</v>
      </c>
    </row>
    <row r="673" spans="1:15" x14ac:dyDescent="0.3">
      <c r="A673" t="s">
        <v>681</v>
      </c>
      <c r="B673" s="1">
        <v>44079</v>
      </c>
      <c r="C673" s="2">
        <v>87901171</v>
      </c>
      <c r="D673" s="3">
        <v>2644276</v>
      </c>
      <c r="E673" s="3">
        <v>119447</v>
      </c>
      <c r="F673">
        <f>YEAR(B673)</f>
        <v>2020</v>
      </c>
      <c r="G673" t="str">
        <f>TEXT(B673,"MMMM")</f>
        <v>September</v>
      </c>
      <c r="H673" t="str">
        <f>TEXT(B673, "DDDD")</f>
        <v>Saturday</v>
      </c>
      <c r="I673">
        <f>((D673+E673)/C673)*100</f>
        <v>3.1441253495928967</v>
      </c>
      <c r="J673">
        <f>(D673/C673)*1000</f>
        <v>30.0823751255828</v>
      </c>
      <c r="K673">
        <f>(E673/C673)*1000</f>
        <v>1.3588783703461698</v>
      </c>
      <c r="L673">
        <f>CORREL(C673:C1171, D673:D1171)</f>
        <v>0.78101766020563468</v>
      </c>
      <c r="M673">
        <f>CORREL(C673:C1171,E673:E1171)</f>
        <v>5.2256286011103652E-2</v>
      </c>
      <c r="N673">
        <f>LEN(A673)</f>
        <v>44</v>
      </c>
      <c r="O673" t="str">
        <f>IF(ISNUMBER(SEARCH("$",A673)), "Money", IF(ISNUMBER(SEARCH("Win",A673)), "Challenge",IF(ISNUMBER(SEARCH("Challenge",A673)), "Challenge",IF(ISNUMBER(SEARCH("Last To Leave",A673)),"Challenge",IF(ISNUMBER(SEARCH("Giving Away", A673)),"Giveaway",IF(ISNUMBER(SEARCH("Stranded",A673)),"Survival", IF(ISNUMBER(SEARCH("Survive",A673)), "Survival", IF(ISNUMBER(SEARCH("Days",A673)),"Endurance","Other"))))))))</f>
        <v>Other</v>
      </c>
    </row>
    <row r="674" spans="1:15" x14ac:dyDescent="0.3">
      <c r="A674" t="s">
        <v>682</v>
      </c>
      <c r="B674" s="1">
        <v>43917</v>
      </c>
      <c r="C674" s="2">
        <v>69979526</v>
      </c>
      <c r="D674" s="3">
        <v>1953039</v>
      </c>
      <c r="E674" s="3">
        <v>64548</v>
      </c>
      <c r="F674">
        <f>YEAR(B674)</f>
        <v>2020</v>
      </c>
      <c r="G674" t="str">
        <f>TEXT(B674,"MMMM")</f>
        <v>March</v>
      </c>
      <c r="H674" t="str">
        <f>TEXT(B674, "DDDD")</f>
        <v>Friday</v>
      </c>
      <c r="I674">
        <f>((D674+E674)/C674)*100</f>
        <v>2.8831104114652049</v>
      </c>
      <c r="J674">
        <f>(D674/C674)*1000</f>
        <v>27.908720044774238</v>
      </c>
      <c r="K674">
        <f>(E674/C674)*1000</f>
        <v>0.92238406987780963</v>
      </c>
      <c r="L674">
        <f>CORREL(C674:C1172, D674:D1172)</f>
        <v>0.7806588935093246</v>
      </c>
      <c r="M674">
        <f>CORREL(C674:C1172,E674:E1172)</f>
        <v>5.3348120541761648E-2</v>
      </c>
      <c r="N674">
        <f>LEN(A674)</f>
        <v>43</v>
      </c>
      <c r="O674" t="str">
        <f>IF(ISNUMBER(SEARCH("$",A674)), "Money", IF(ISNUMBER(SEARCH("Win",A674)), "Challenge",IF(ISNUMBER(SEARCH("Challenge",A674)), "Challenge",IF(ISNUMBER(SEARCH("Last To Leave",A674)),"Challenge",IF(ISNUMBER(SEARCH("Giving Away", A674)),"Giveaway",IF(ISNUMBER(SEARCH("Stranded",A674)),"Survival", IF(ISNUMBER(SEARCH("Survive",A674)), "Survival", IF(ISNUMBER(SEARCH("Days",A674)),"Endurance","Other"))))))))</f>
        <v>Money</v>
      </c>
    </row>
    <row r="675" spans="1:15" x14ac:dyDescent="0.3">
      <c r="A675" t="s">
        <v>683</v>
      </c>
      <c r="B675" s="1">
        <v>44091</v>
      </c>
      <c r="C675" s="2">
        <v>59422417</v>
      </c>
      <c r="D675" s="3">
        <v>2778705</v>
      </c>
      <c r="E675" s="3">
        <v>93982</v>
      </c>
      <c r="F675">
        <f>YEAR(B675)</f>
        <v>2020</v>
      </c>
      <c r="G675" t="str">
        <f>TEXT(B675,"MMMM")</f>
        <v>September</v>
      </c>
      <c r="H675" t="str">
        <f>TEXT(B675, "DDDD")</f>
        <v>Thursday</v>
      </c>
      <c r="I675">
        <f>((D675+E675)/C675)*100</f>
        <v>4.8343489629511369</v>
      </c>
      <c r="J675">
        <f>(D675/C675)*1000</f>
        <v>46.761897955110108</v>
      </c>
      <c r="K675">
        <f>(E675/C675)*1000</f>
        <v>1.5815916744012617</v>
      </c>
      <c r="L675">
        <f>CORREL(C675:C1173, D675:D1173)</f>
        <v>0.78018942433018634</v>
      </c>
      <c r="M675">
        <f>CORREL(C675:C1173,E675:E1173)</f>
        <v>5.3120021062388952E-2</v>
      </c>
      <c r="N675">
        <f>LEN(A675)</f>
        <v>30</v>
      </c>
      <c r="O675" t="str">
        <f>IF(ISNUMBER(SEARCH("$",A675)), "Money", IF(ISNUMBER(SEARCH("Win",A675)), "Challenge",IF(ISNUMBER(SEARCH("Challenge",A675)), "Challenge",IF(ISNUMBER(SEARCH("Last To Leave",A675)),"Challenge",IF(ISNUMBER(SEARCH("Giving Away", A675)),"Giveaway",IF(ISNUMBER(SEARCH("Stranded",A675)),"Survival", IF(ISNUMBER(SEARCH("Survive",A675)), "Survival", IF(ISNUMBER(SEARCH("Days",A675)),"Endurance","Other"))))))))</f>
        <v>Other</v>
      </c>
    </row>
    <row r="676" spans="1:15" x14ac:dyDescent="0.3">
      <c r="A676" t="s">
        <v>684</v>
      </c>
      <c r="B676" s="1">
        <v>43958</v>
      </c>
      <c r="C676" s="2">
        <v>47393076</v>
      </c>
      <c r="D676" s="3">
        <v>1399736</v>
      </c>
      <c r="E676" s="3">
        <v>63239</v>
      </c>
      <c r="F676">
        <f>YEAR(B676)</f>
        <v>2020</v>
      </c>
      <c r="G676" t="str">
        <f>TEXT(B676,"MMMM")</f>
        <v>May</v>
      </c>
      <c r="H676" t="str">
        <f>TEXT(B676, "DDDD")</f>
        <v>Thursday</v>
      </c>
      <c r="I676">
        <f>((D676+E676)/C676)*100</f>
        <v>3.0868960689531946</v>
      </c>
      <c r="J676">
        <f>(D676/C676)*1000</f>
        <v>29.534609654794298</v>
      </c>
      <c r="K676">
        <f>(E676/C676)*1000</f>
        <v>1.3343510347376482</v>
      </c>
      <c r="L676">
        <f>CORREL(C676:C1174, D676:D1174)</f>
        <v>0.77988374805048533</v>
      </c>
      <c r="M676">
        <f>CORREL(C676:C1174,E676:E1174)</f>
        <v>5.3669884817222034E-2</v>
      </c>
      <c r="N676">
        <f>LEN(A676)</f>
        <v>60</v>
      </c>
      <c r="O676" t="str">
        <f>IF(ISNUMBER(SEARCH("$",A676)), "Money", IF(ISNUMBER(SEARCH("Win",A676)), "Challenge",IF(ISNUMBER(SEARCH("Challenge",A676)), "Challenge",IF(ISNUMBER(SEARCH("Last To Leave",A676)),"Challenge",IF(ISNUMBER(SEARCH("Giving Away", A676)),"Giveaway",IF(ISNUMBER(SEARCH("Stranded",A676)),"Survival", IF(ISNUMBER(SEARCH("Survive",A676)), "Survival", IF(ISNUMBER(SEARCH("Days",A676)),"Endurance","Other"))))))))</f>
        <v>Money</v>
      </c>
    </row>
    <row r="677" spans="1:15" x14ac:dyDescent="0.3">
      <c r="A677" t="s">
        <v>685</v>
      </c>
      <c r="B677" s="1">
        <v>43833</v>
      </c>
      <c r="C677" s="2">
        <v>19798084</v>
      </c>
      <c r="D677" s="3">
        <v>894780</v>
      </c>
      <c r="E677" s="3">
        <v>39543</v>
      </c>
      <c r="F677">
        <f>YEAR(B677)</f>
        <v>2020</v>
      </c>
      <c r="G677" t="str">
        <f>TEXT(B677,"MMMM")</f>
        <v>January</v>
      </c>
      <c r="H677" t="str">
        <f>TEXT(B677, "DDDD")</f>
        <v>Friday</v>
      </c>
      <c r="I677">
        <f>((D677+E677)/C677)*100</f>
        <v>4.7192597021004659</v>
      </c>
      <c r="J677">
        <f>(D677/C677)*1000</f>
        <v>45.195282533400707</v>
      </c>
      <c r="K677">
        <f>(E677/C677)*1000</f>
        <v>1.9973144876039521</v>
      </c>
      <c r="L677">
        <f>CORREL(C677:C1175, D677:D1175)</f>
        <v>0.77931333059566699</v>
      </c>
      <c r="M677">
        <f>CORREL(C677:C1175,E677:E1175)</f>
        <v>5.3394041836054701E-2</v>
      </c>
      <c r="N677">
        <f>LEN(A677)</f>
        <v>45</v>
      </c>
      <c r="O677" t="str">
        <f>IF(ISNUMBER(SEARCH("$",A677)), "Money", IF(ISNUMBER(SEARCH("Win",A677)), "Challenge",IF(ISNUMBER(SEARCH("Challenge",A677)), "Challenge",IF(ISNUMBER(SEARCH("Last To Leave",A677)),"Challenge",IF(ISNUMBER(SEARCH("Giving Away", A677)),"Giveaway",IF(ISNUMBER(SEARCH("Stranded",A677)),"Survival", IF(ISNUMBER(SEARCH("Survive",A677)), "Survival", IF(ISNUMBER(SEARCH("Days",A677)),"Endurance","Other"))))))))</f>
        <v>Other</v>
      </c>
    </row>
    <row r="678" spans="1:15" x14ac:dyDescent="0.3">
      <c r="A678" t="s">
        <v>686</v>
      </c>
      <c r="B678" s="1">
        <v>44524</v>
      </c>
      <c r="C678" s="2">
        <v>936855846</v>
      </c>
      <c r="D678" s="3">
        <v>20041207</v>
      </c>
      <c r="E678" s="3">
        <v>653246</v>
      </c>
      <c r="F678">
        <f>YEAR(B678)</f>
        <v>2021</v>
      </c>
      <c r="G678" t="str">
        <f>TEXT(B678,"MMMM")</f>
        <v>November</v>
      </c>
      <c r="H678" t="str">
        <f>TEXT(B678, "DDDD")</f>
        <v>Wednesday</v>
      </c>
      <c r="I678">
        <f>((D678+E678)/C678)*100</f>
        <v>2.2089260677997626</v>
      </c>
      <c r="J678">
        <f>(D678/C678)*1000</f>
        <v>21.391985848802612</v>
      </c>
      <c r="K678">
        <f>(E678/C678)*1000</f>
        <v>0.6972748291950136</v>
      </c>
      <c r="L678">
        <f>CORREL(C678:C1176, D678:D1176)</f>
        <v>0.77864623747560024</v>
      </c>
      <c r="M678">
        <f>CORREL(C678:C1176,E678:E1176)</f>
        <v>5.2380802606869337E-2</v>
      </c>
      <c r="N678">
        <f>LEN(A678)</f>
        <v>33</v>
      </c>
      <c r="O678" t="str">
        <f>IF(ISNUMBER(SEARCH("$",A678)), "Money", IF(ISNUMBER(SEARCH("Win",A678)), "Challenge",IF(ISNUMBER(SEARCH("Challenge",A678)), "Challenge",IF(ISNUMBER(SEARCH("Last To Leave",A678)),"Challenge",IF(ISNUMBER(SEARCH("Giving Away", A678)),"Giveaway",IF(ISNUMBER(SEARCH("Stranded",A678)),"Survival", IF(ISNUMBER(SEARCH("Survive",A678)), "Survival", IF(ISNUMBER(SEARCH("Days",A678)),"Endurance","Other"))))))))</f>
        <v>Money</v>
      </c>
    </row>
    <row r="679" spans="1:15" x14ac:dyDescent="0.3">
      <c r="A679" t="s">
        <v>687</v>
      </c>
      <c r="B679" s="1">
        <v>44439</v>
      </c>
      <c r="C679" s="2">
        <v>558041959</v>
      </c>
      <c r="D679" s="3">
        <v>7913972</v>
      </c>
      <c r="E679" s="3">
        <v>132963</v>
      </c>
      <c r="F679">
        <f>YEAR(B679)</f>
        <v>2021</v>
      </c>
      <c r="G679" t="str">
        <f>TEXT(B679,"MMMM")</f>
        <v>August</v>
      </c>
      <c r="H679" t="str">
        <f>TEXT(B679, "DDDD")</f>
        <v>Tuesday</v>
      </c>
      <c r="I679">
        <f>((D679+E679)/C679)*100</f>
        <v>1.4419946153188814</v>
      </c>
      <c r="J679">
        <f>(D679/C679)*1000</f>
        <v>14.181679123522681</v>
      </c>
      <c r="K679">
        <f>(E679/C679)*1000</f>
        <v>0.23826702966613303</v>
      </c>
      <c r="L679">
        <f>CORREL(C679:C1177, D679:D1177)</f>
        <v>0.77680469081876491</v>
      </c>
      <c r="M679">
        <f>CORREL(C679:C1177,E679:E1177)</f>
        <v>2.1864611370492001E-2</v>
      </c>
      <c r="N679">
        <f>LEN(A679)</f>
        <v>34</v>
      </c>
      <c r="O679" t="str">
        <f>IF(ISNUMBER(SEARCH("$",A679)), "Money", IF(ISNUMBER(SEARCH("Win",A679)), "Challenge",IF(ISNUMBER(SEARCH("Challenge",A679)), "Challenge",IF(ISNUMBER(SEARCH("Last To Leave",A679)),"Challenge",IF(ISNUMBER(SEARCH("Giving Away", A679)),"Giveaway",IF(ISNUMBER(SEARCH("Stranded",A679)),"Survival", IF(ISNUMBER(SEARCH("Survive",A679)), "Survival", IF(ISNUMBER(SEARCH("Days",A679)),"Endurance","Other"))))))))</f>
        <v>Money</v>
      </c>
    </row>
    <row r="680" spans="1:15" x14ac:dyDescent="0.3">
      <c r="A680" t="s">
        <v>688</v>
      </c>
      <c r="B680" s="1">
        <v>44296</v>
      </c>
      <c r="C680" s="2">
        <v>406183182</v>
      </c>
      <c r="D680" s="3">
        <v>5789027</v>
      </c>
      <c r="E680" s="3">
        <v>139930</v>
      </c>
      <c r="F680">
        <f>YEAR(B680)</f>
        <v>2021</v>
      </c>
      <c r="G680" t="str">
        <f>TEXT(B680,"MMMM")</f>
        <v>April</v>
      </c>
      <c r="H680" t="str">
        <f>TEXT(B680, "DDDD")</f>
        <v>Saturday</v>
      </c>
      <c r="I680">
        <f>((D680+E680)/C680)*100</f>
        <v>1.4596756494955028</v>
      </c>
      <c r="J680">
        <f>(D680/C680)*1000</f>
        <v>14.252256756410954</v>
      </c>
      <c r="K680">
        <f>(E680/C680)*1000</f>
        <v>0.34449973854407395</v>
      </c>
      <c r="L680">
        <f>CORREL(C680:C1178, D680:D1178)</f>
        <v>0.77758829651218608</v>
      </c>
      <c r="M680">
        <f>CORREL(C680:C1178,E680:E1178)</f>
        <v>2.0717867846673729E-2</v>
      </c>
      <c r="N680">
        <f>LEN(A680)</f>
        <v>36</v>
      </c>
      <c r="O680" t="str">
        <f>IF(ISNUMBER(SEARCH("$",A680)), "Money", IF(ISNUMBER(SEARCH("Win",A680)), "Challenge",IF(ISNUMBER(SEARCH("Challenge",A680)), "Challenge",IF(ISNUMBER(SEARCH("Last To Leave",A680)),"Challenge",IF(ISNUMBER(SEARCH("Giving Away", A680)),"Giveaway",IF(ISNUMBER(SEARCH("Stranded",A680)),"Survival", IF(ISNUMBER(SEARCH("Survive",A680)), "Survival", IF(ISNUMBER(SEARCH("Days",A680)),"Endurance","Other"))))))))</f>
        <v>Money</v>
      </c>
    </row>
    <row r="681" spans="1:15" x14ac:dyDescent="0.3">
      <c r="A681" t="s">
        <v>689</v>
      </c>
      <c r="B681" s="1">
        <v>44282</v>
      </c>
      <c r="C681" s="2">
        <v>342403337</v>
      </c>
      <c r="D681" s="3">
        <v>8348099</v>
      </c>
      <c r="E681" s="3">
        <v>242233</v>
      </c>
      <c r="F681">
        <f>YEAR(B681)</f>
        <v>2021</v>
      </c>
      <c r="G681" t="str">
        <f>TEXT(B681,"MMMM")</f>
        <v>March</v>
      </c>
      <c r="H681" t="str">
        <f>TEXT(B681, "DDDD")</f>
        <v>Saturday</v>
      </c>
      <c r="I681">
        <f>((D681+E681)/C681)*100</f>
        <v>2.5088341939845056</v>
      </c>
      <c r="J681">
        <f>(D681/C681)*1000</f>
        <v>24.380892642994304</v>
      </c>
      <c r="K681">
        <f>(E681/C681)*1000</f>
        <v>0.70744929685074887</v>
      </c>
      <c r="L681">
        <f>CORREL(C681:C1179, D681:D1179)</f>
        <v>0.7779469464845612</v>
      </c>
      <c r="M681">
        <f>CORREL(C681:C1179,E681:E1179)</f>
        <v>2.0360721577420932E-2</v>
      </c>
      <c r="N681">
        <f>LEN(A681)</f>
        <v>29</v>
      </c>
      <c r="O681" t="str">
        <f>IF(ISNUMBER(SEARCH("$",A681)), "Money", IF(ISNUMBER(SEARCH("Win",A681)), "Challenge",IF(ISNUMBER(SEARCH("Challenge",A681)), "Challenge",IF(ISNUMBER(SEARCH("Last To Leave",A681)),"Challenge",IF(ISNUMBER(SEARCH("Giving Away", A681)),"Giveaway",IF(ISNUMBER(SEARCH("Stranded",A681)),"Survival", IF(ISNUMBER(SEARCH("Survive",A681)), "Survival", IF(ISNUMBER(SEARCH("Days",A681)),"Endurance","Other"))))))))</f>
        <v>Other</v>
      </c>
    </row>
    <row r="682" spans="1:15" x14ac:dyDescent="0.3">
      <c r="A682" t="s">
        <v>690</v>
      </c>
      <c r="B682" s="1">
        <v>44218</v>
      </c>
      <c r="C682" s="2">
        <v>308022049</v>
      </c>
      <c r="D682" s="3">
        <v>6181586</v>
      </c>
      <c r="E682" s="3">
        <v>173035</v>
      </c>
      <c r="F682">
        <f>YEAR(B682)</f>
        <v>2021</v>
      </c>
      <c r="G682" t="str">
        <f>TEXT(B682,"MMMM")</f>
        <v>January</v>
      </c>
      <c r="H682" t="str">
        <f>TEXT(B682, "DDDD")</f>
        <v>Friday</v>
      </c>
      <c r="I682">
        <f>((D682+E682)/C682)*100</f>
        <v>2.0630409480848559</v>
      </c>
      <c r="J682">
        <f>(D682/C682)*1000</f>
        <v>20.068647748005858</v>
      </c>
      <c r="K682">
        <f>(E682/C682)*1000</f>
        <v>0.56176173284270314</v>
      </c>
      <c r="L682">
        <f>CORREL(C682:C1180, D682:D1180)</f>
        <v>0.77795163228173869</v>
      </c>
      <c r="M682">
        <f>CORREL(C682:C1180,E682:E1180)</f>
        <v>2.0508144289210314E-2</v>
      </c>
      <c r="N682">
        <f>LEN(A682)</f>
        <v>31</v>
      </c>
      <c r="O682" t="str">
        <f>IF(ISNUMBER(SEARCH("$",A682)), "Money", IF(ISNUMBER(SEARCH("Win",A682)), "Challenge",IF(ISNUMBER(SEARCH("Challenge",A682)), "Challenge",IF(ISNUMBER(SEARCH("Last To Leave",A682)),"Challenge",IF(ISNUMBER(SEARCH("Giving Away", A682)),"Giveaway",IF(ISNUMBER(SEARCH("Stranded",A682)),"Survival", IF(ISNUMBER(SEARCH("Survive",A682)), "Survival", IF(ISNUMBER(SEARCH("Days",A682)),"Endurance","Other"))))))))</f>
        <v>Money</v>
      </c>
    </row>
    <row r="683" spans="1:15" x14ac:dyDescent="0.3">
      <c r="A683" t="s">
        <v>691</v>
      </c>
      <c r="B683" s="1">
        <v>44289</v>
      </c>
      <c r="C683" s="2">
        <v>305117841</v>
      </c>
      <c r="D683" s="3">
        <v>5555971</v>
      </c>
      <c r="E683" s="3">
        <v>173998</v>
      </c>
      <c r="F683">
        <f>YEAR(B683)</f>
        <v>2021</v>
      </c>
      <c r="G683" t="str">
        <f>TEXT(B683,"MMMM")</f>
        <v>April</v>
      </c>
      <c r="H683" t="str">
        <f>TEXT(B683, "DDDD")</f>
        <v>Saturday</v>
      </c>
      <c r="I683">
        <f>((D683+E683)/C683)*100</f>
        <v>1.8779527874281203</v>
      </c>
      <c r="J683">
        <f>(D683/C683)*1000</f>
        <v>18.209262958176215</v>
      </c>
      <c r="K683">
        <f>(E683/C683)*1000</f>
        <v>0.57026491610498775</v>
      </c>
      <c r="L683">
        <f>CORREL(C683:C1181, D683:D1181)</f>
        <v>0.77793733651481478</v>
      </c>
      <c r="M683">
        <f>CORREL(C683:C1181,E683:E1181)</f>
        <v>2.0912623873606463E-2</v>
      </c>
      <c r="N683">
        <f>LEN(A683)</f>
        <v>52</v>
      </c>
      <c r="O683" t="str">
        <f>IF(ISNUMBER(SEARCH("$",A683)), "Money", IF(ISNUMBER(SEARCH("Win",A683)), "Challenge",IF(ISNUMBER(SEARCH("Challenge",A683)), "Challenge",IF(ISNUMBER(SEARCH("Last To Leave",A683)),"Challenge",IF(ISNUMBER(SEARCH("Giving Away", A683)),"Giveaway",IF(ISNUMBER(SEARCH("Stranded",A683)),"Survival", IF(ISNUMBER(SEARCH("Survive",A683)), "Survival", IF(ISNUMBER(SEARCH("Days",A683)),"Endurance","Other"))))))))</f>
        <v>Money</v>
      </c>
    </row>
    <row r="684" spans="1:15" x14ac:dyDescent="0.3">
      <c r="A684" t="s">
        <v>692</v>
      </c>
      <c r="B684" s="1">
        <v>44373</v>
      </c>
      <c r="C684" s="2">
        <v>301221038</v>
      </c>
      <c r="D684" s="3">
        <v>4486683</v>
      </c>
      <c r="E684" s="3">
        <v>99039</v>
      </c>
      <c r="F684">
        <f>YEAR(B684)</f>
        <v>2021</v>
      </c>
      <c r="G684" t="str">
        <f>TEXT(B684,"MMMM")</f>
        <v>June</v>
      </c>
      <c r="H684" t="str">
        <f>TEXT(B684, "DDDD")</f>
        <v>Saturday</v>
      </c>
      <c r="I684">
        <f>((D684+E684)/C684)*100</f>
        <v>1.5223777298051804</v>
      </c>
      <c r="J684">
        <f>(D684/C684)*1000</f>
        <v>14.894985522226373</v>
      </c>
      <c r="K684">
        <f>(E684/C684)*1000</f>
        <v>0.32879177582543223</v>
      </c>
      <c r="L684">
        <f>CORREL(C684:C1182, D684:D1182)</f>
        <v>0.77793397626436267</v>
      </c>
      <c r="M684">
        <f>CORREL(C684:C1182,E684:E1182)</f>
        <v>2.1353360825150148E-2</v>
      </c>
      <c r="N684">
        <f>LEN(A684)</f>
        <v>48</v>
      </c>
      <c r="O684" t="str">
        <f>IF(ISNUMBER(SEARCH("$",A684)), "Money", IF(ISNUMBER(SEARCH("Win",A684)), "Challenge",IF(ISNUMBER(SEARCH("Challenge",A684)), "Challenge",IF(ISNUMBER(SEARCH("Last To Leave",A684)),"Challenge",IF(ISNUMBER(SEARCH("Giving Away", A684)),"Giveaway",IF(ISNUMBER(SEARCH("Stranded",A684)),"Survival", IF(ISNUMBER(SEARCH("Survive",A684)), "Survival", IF(ISNUMBER(SEARCH("Days",A684)),"Endurance","Other"))))))))</f>
        <v>Survival</v>
      </c>
    </row>
    <row r="685" spans="1:15" x14ac:dyDescent="0.3">
      <c r="A685" t="s">
        <v>693</v>
      </c>
      <c r="B685" s="1">
        <v>44303</v>
      </c>
      <c r="C685" s="2">
        <v>273350070</v>
      </c>
      <c r="D685" s="3">
        <v>4023555</v>
      </c>
      <c r="E685" s="3">
        <v>116406</v>
      </c>
      <c r="F685">
        <f>YEAR(B685)</f>
        <v>2021</v>
      </c>
      <c r="G685" t="str">
        <f>TEXT(B685,"MMMM")</f>
        <v>April</v>
      </c>
      <c r="H685" t="str">
        <f>TEXT(B685, "DDDD")</f>
        <v>Saturday</v>
      </c>
      <c r="I685">
        <f>((D685+E685)/C685)*100</f>
        <v>1.5145271409661609</v>
      </c>
      <c r="J685">
        <f>(D685/C685)*1000</f>
        <v>14.719421875399556</v>
      </c>
      <c r="K685">
        <f>(E685/C685)*1000</f>
        <v>0.42584953426205452</v>
      </c>
      <c r="L685">
        <f>CORREL(C685:C1183, D685:D1183)</f>
        <v>0.77797839811274405</v>
      </c>
      <c r="M685">
        <f>CORREL(C685:C1183,E685:E1183)</f>
        <v>2.1472002618265238E-2</v>
      </c>
      <c r="N685">
        <f>LEN(A685)</f>
        <v>29</v>
      </c>
      <c r="O685" t="str">
        <f>IF(ISNUMBER(SEARCH("$",A685)), "Money", IF(ISNUMBER(SEARCH("Win",A685)), "Challenge",IF(ISNUMBER(SEARCH("Challenge",A685)), "Challenge",IF(ISNUMBER(SEARCH("Last To Leave",A685)),"Challenge",IF(ISNUMBER(SEARCH("Giving Away", A685)),"Giveaway",IF(ISNUMBER(SEARCH("Stranded",A685)),"Survival", IF(ISNUMBER(SEARCH("Survive",A685)), "Survival", IF(ISNUMBER(SEARCH("Days",A685)),"Endurance","Other"))))))))</f>
        <v>Money</v>
      </c>
    </row>
    <row r="686" spans="1:15" x14ac:dyDescent="0.3">
      <c r="A686" t="s">
        <v>694</v>
      </c>
      <c r="B686" s="1">
        <v>44348</v>
      </c>
      <c r="C686" s="2">
        <v>272233354</v>
      </c>
      <c r="D686" s="3">
        <v>3680608</v>
      </c>
      <c r="E686" s="3">
        <v>82325</v>
      </c>
      <c r="F686">
        <f>YEAR(B686)</f>
        <v>2021</v>
      </c>
      <c r="G686" t="str">
        <f>TEXT(B686,"MMMM")</f>
        <v>June</v>
      </c>
      <c r="H686" t="str">
        <f>TEXT(B686, "DDDD")</f>
        <v>Tuesday</v>
      </c>
      <c r="I686">
        <f>((D686+E686)/C686)*100</f>
        <v>1.3822453952501352</v>
      </c>
      <c r="J686">
        <f>(D686/C686)*1000</f>
        <v>13.520047951214677</v>
      </c>
      <c r="K686">
        <f>(E686/C686)*1000</f>
        <v>0.30240600128667555</v>
      </c>
      <c r="L686">
        <f>CORREL(C686:C1184, D686:D1184)</f>
        <v>0.77794941314593757</v>
      </c>
      <c r="M686">
        <f>CORREL(C686:C1184,E686:E1184)</f>
        <v>2.1792203503719115E-2</v>
      </c>
      <c r="N686">
        <f>LEN(A686)</f>
        <v>51</v>
      </c>
      <c r="O686" t="str">
        <f>IF(ISNUMBER(SEARCH("$",A686)), "Money", IF(ISNUMBER(SEARCH("Win",A686)), "Challenge",IF(ISNUMBER(SEARCH("Challenge",A686)), "Challenge",IF(ISNUMBER(SEARCH("Last To Leave",A686)),"Challenge",IF(ISNUMBER(SEARCH("Giving Away", A686)),"Giveaway",IF(ISNUMBER(SEARCH("Stranded",A686)),"Survival", IF(ISNUMBER(SEARCH("Survive",A686)), "Survival", IF(ISNUMBER(SEARCH("Days",A686)),"Endurance","Other"))))))))</f>
        <v>Other</v>
      </c>
    </row>
    <row r="687" spans="1:15" x14ac:dyDescent="0.3">
      <c r="A687" t="s">
        <v>695</v>
      </c>
      <c r="B687" s="1">
        <v>44415</v>
      </c>
      <c r="C687" s="2">
        <v>271009576</v>
      </c>
      <c r="D687" s="3">
        <v>4907747</v>
      </c>
      <c r="E687" s="3">
        <v>97578</v>
      </c>
      <c r="F687">
        <f>YEAR(B687)</f>
        <v>2021</v>
      </c>
      <c r="G687" t="str">
        <f>TEXT(B687,"MMMM")</f>
        <v>August</v>
      </c>
      <c r="H687" t="str">
        <f>TEXT(B687, "DDDD")</f>
        <v>Saturday</v>
      </c>
      <c r="I687">
        <f>((D687+E687)/C687)*100</f>
        <v>1.8469181325164687</v>
      </c>
      <c r="J687">
        <f>(D687/C687)*1000</f>
        <v>18.109127627283549</v>
      </c>
      <c r="K687">
        <f>(E687/C687)*1000</f>
        <v>0.36005369788114056</v>
      </c>
      <c r="L687">
        <f>CORREL(C687:C1185, D687:D1185)</f>
        <v>0.7779359302757678</v>
      </c>
      <c r="M687">
        <f>CORREL(C687:C1185,E687:E1185)</f>
        <v>2.1861817921944467E-2</v>
      </c>
      <c r="N687">
        <f>LEN(A687)</f>
        <v>23</v>
      </c>
      <c r="O687" t="str">
        <f>IF(ISNUMBER(SEARCH("$",A687)), "Money", IF(ISNUMBER(SEARCH("Win",A687)), "Challenge",IF(ISNUMBER(SEARCH("Challenge",A687)), "Challenge",IF(ISNUMBER(SEARCH("Last To Leave",A687)),"Challenge",IF(ISNUMBER(SEARCH("Giving Away", A687)),"Giveaway",IF(ISNUMBER(SEARCH("Stranded",A687)),"Survival", IF(ISNUMBER(SEARCH("Survive",A687)), "Survival", IF(ISNUMBER(SEARCH("Days",A687)),"Endurance","Other"))))))))</f>
        <v>Other</v>
      </c>
    </row>
    <row r="688" spans="1:15" x14ac:dyDescent="0.3">
      <c r="A688" t="s">
        <v>696</v>
      </c>
      <c r="B688" s="1">
        <v>44401</v>
      </c>
      <c r="C688" s="2">
        <v>270522146</v>
      </c>
      <c r="D688" s="3">
        <v>3942637</v>
      </c>
      <c r="E688" s="3">
        <v>78951</v>
      </c>
      <c r="F688">
        <f>YEAR(B688)</f>
        <v>2021</v>
      </c>
      <c r="G688" t="str">
        <f>TEXT(B688,"MMMM")</f>
        <v>July</v>
      </c>
      <c r="H688" t="str">
        <f>TEXT(B688, "DDDD")</f>
        <v>Saturday</v>
      </c>
      <c r="I688">
        <f>((D688+E688)/C688)*100</f>
        <v>1.4866021357083277</v>
      </c>
      <c r="J688">
        <f>(D688/C688)*1000</f>
        <v>14.574174640770446</v>
      </c>
      <c r="K688">
        <f>(E688/C688)*1000</f>
        <v>0.2918467163128301</v>
      </c>
      <c r="L688">
        <f>CORREL(C688:C1186, D688:D1186)</f>
        <v>0.77787120343725058</v>
      </c>
      <c r="M688">
        <f>CORREL(C688:C1186,E688:E1186)</f>
        <v>2.2049933511674967E-2</v>
      </c>
      <c r="N688">
        <f>LEN(A688)</f>
        <v>40</v>
      </c>
      <c r="O688" t="str">
        <f>IF(ISNUMBER(SEARCH("$",A688)), "Money", IF(ISNUMBER(SEARCH("Win",A688)), "Challenge",IF(ISNUMBER(SEARCH("Challenge",A688)), "Challenge",IF(ISNUMBER(SEARCH("Last To Leave",A688)),"Challenge",IF(ISNUMBER(SEARCH("Giving Away", A688)),"Giveaway",IF(ISNUMBER(SEARCH("Stranded",A688)),"Survival", IF(ISNUMBER(SEARCH("Survive",A688)), "Survival", IF(ISNUMBER(SEARCH("Days",A688)),"Endurance","Other"))))))))</f>
        <v>Money</v>
      </c>
    </row>
    <row r="689" spans="1:15" x14ac:dyDescent="0.3">
      <c r="A689" t="s">
        <v>697</v>
      </c>
      <c r="B689" s="1">
        <v>44540</v>
      </c>
      <c r="C689" s="2">
        <v>267713914</v>
      </c>
      <c r="D689" s="3">
        <v>4871846</v>
      </c>
      <c r="E689" s="3">
        <v>93529</v>
      </c>
      <c r="F689">
        <f>YEAR(B689)</f>
        <v>2021</v>
      </c>
      <c r="G689" t="str">
        <f>TEXT(B689,"MMMM")</f>
        <v>December</v>
      </c>
      <c r="H689" t="str">
        <f>TEXT(B689, "DDDD")</f>
        <v>Friday</v>
      </c>
      <c r="I689">
        <f>((D689+E689)/C689)*100</f>
        <v>1.8547317641473053</v>
      </c>
      <c r="J689">
        <f>(D689/C689)*1000</f>
        <v>18.197955897055092</v>
      </c>
      <c r="K689">
        <f>(E689/C689)*1000</f>
        <v>0.34936174441796103</v>
      </c>
      <c r="L689">
        <f>CORREL(C689:C1187, D689:D1187)</f>
        <v>0.77783552109023191</v>
      </c>
      <c r="M689">
        <f>CORREL(C689:C1187,E689:E1187)</f>
        <v>2.2096619531256922E-2</v>
      </c>
      <c r="N689">
        <f>LEN(A689)</f>
        <v>28</v>
      </c>
      <c r="O689" t="str">
        <f>IF(ISNUMBER(SEARCH("$",A689)), "Money", IF(ISNUMBER(SEARCH("Win",A689)), "Challenge",IF(ISNUMBER(SEARCH("Challenge",A689)), "Challenge",IF(ISNUMBER(SEARCH("Last To Leave",A689)),"Challenge",IF(ISNUMBER(SEARCH("Giving Away", A689)),"Giveaway",IF(ISNUMBER(SEARCH("Stranded",A689)),"Survival", IF(ISNUMBER(SEARCH("Survive",A689)), "Survival", IF(ISNUMBER(SEARCH("Days",A689)),"Endurance","Other"))))))))</f>
        <v>Other</v>
      </c>
    </row>
    <row r="690" spans="1:15" x14ac:dyDescent="0.3">
      <c r="A690" t="s">
        <v>698</v>
      </c>
      <c r="B690" s="1">
        <v>44310</v>
      </c>
      <c r="C690" s="2">
        <v>240172906</v>
      </c>
      <c r="D690" s="3">
        <v>4378440</v>
      </c>
      <c r="E690" s="3">
        <v>119834</v>
      </c>
      <c r="F690">
        <f>YEAR(B690)</f>
        <v>2021</v>
      </c>
      <c r="G690" t="str">
        <f>TEXT(B690,"MMMM")</f>
        <v>April</v>
      </c>
      <c r="H690" t="str">
        <f>TEXT(B690, "DDDD")</f>
        <v>Saturday</v>
      </c>
      <c r="I690">
        <f>((D690+E690)/C690)*100</f>
        <v>1.8729314954452021</v>
      </c>
      <c r="J690">
        <f>(D690/C690)*1000</f>
        <v>18.230366084674017</v>
      </c>
      <c r="K690">
        <f>(E690/C690)*1000</f>
        <v>0.49894886977800901</v>
      </c>
      <c r="L690">
        <f>CORREL(C690:C1188, D690:D1188)</f>
        <v>0.77776310534929072</v>
      </c>
      <c r="M690">
        <f>CORREL(C690:C1188,E690:E1188)</f>
        <v>2.2262333228424736E-2</v>
      </c>
      <c r="N690">
        <f>LEN(A690)</f>
        <v>36</v>
      </c>
      <c r="O690" t="str">
        <f>IF(ISNUMBER(SEARCH("$",A690)), "Money", IF(ISNUMBER(SEARCH("Win",A690)), "Challenge",IF(ISNUMBER(SEARCH("Challenge",A690)), "Challenge",IF(ISNUMBER(SEARCH("Last To Leave",A690)),"Challenge",IF(ISNUMBER(SEARCH("Giving Away", A690)),"Giveaway",IF(ISNUMBER(SEARCH("Stranded",A690)),"Survival", IF(ISNUMBER(SEARCH("Survive",A690)), "Survival", IF(ISNUMBER(SEARCH("Days",A690)),"Endurance","Other"))))))))</f>
        <v>Other</v>
      </c>
    </row>
    <row r="691" spans="1:15" x14ac:dyDescent="0.3">
      <c r="A691" t="s">
        <v>699</v>
      </c>
      <c r="B691" s="1">
        <v>44443</v>
      </c>
      <c r="C691" s="2">
        <v>235239446</v>
      </c>
      <c r="D691" s="3">
        <v>4802133</v>
      </c>
      <c r="E691" s="3">
        <v>97216</v>
      </c>
      <c r="F691">
        <f>YEAR(B691)</f>
        <v>2021</v>
      </c>
      <c r="G691" t="str">
        <f>TEXT(B691,"MMMM")</f>
        <v>September</v>
      </c>
      <c r="H691" t="str">
        <f>TEXT(B691, "DDDD")</f>
        <v>Saturday</v>
      </c>
      <c r="I691">
        <f>((D691+E691)/C691)*100</f>
        <v>2.0827072514020459</v>
      </c>
      <c r="J691">
        <f>(D691/C691)*1000</f>
        <v>20.413808490264852</v>
      </c>
      <c r="K691">
        <f>(E691/C691)*1000</f>
        <v>0.41326402375560772</v>
      </c>
      <c r="L691">
        <f>CORREL(C691:C1189, D691:D1189)</f>
        <v>0.77763244494124395</v>
      </c>
      <c r="M691">
        <f>CORREL(C691:C1189,E691:E1189)</f>
        <v>2.2771982712057815E-2</v>
      </c>
      <c r="N691">
        <f>LEN(A691)</f>
        <v>29</v>
      </c>
      <c r="O691" t="str">
        <f>IF(ISNUMBER(SEARCH("$",A691)), "Money", IF(ISNUMBER(SEARCH("Win",A691)), "Challenge",IF(ISNUMBER(SEARCH("Challenge",A691)), "Challenge",IF(ISNUMBER(SEARCH("Last To Leave",A691)),"Challenge",IF(ISNUMBER(SEARCH("Giving Away", A691)),"Giveaway",IF(ISNUMBER(SEARCH("Stranded",A691)),"Survival", IF(ISNUMBER(SEARCH("Survive",A691)), "Survival", IF(ISNUMBER(SEARCH("Days",A691)),"Endurance","Other"))))))))</f>
        <v>Money</v>
      </c>
    </row>
    <row r="692" spans="1:15" x14ac:dyDescent="0.3">
      <c r="A692" t="s">
        <v>700</v>
      </c>
      <c r="B692" s="1">
        <v>44359</v>
      </c>
      <c r="C692" s="2">
        <v>224856339</v>
      </c>
      <c r="D692" s="3">
        <v>3775716</v>
      </c>
      <c r="E692" s="3">
        <v>80058</v>
      </c>
      <c r="F692">
        <f>YEAR(B692)</f>
        <v>2021</v>
      </c>
      <c r="G692" t="str">
        <f>TEXT(B692,"MMMM")</f>
        <v>June</v>
      </c>
      <c r="H692" t="str">
        <f>TEXT(B692, "DDDD")</f>
        <v>Saturday</v>
      </c>
      <c r="I692">
        <f>((D692+E692)/C692)*100</f>
        <v>1.714772203953743</v>
      </c>
      <c r="J692">
        <f>(D692/C692)*1000</f>
        <v>16.791681376614427</v>
      </c>
      <c r="K692">
        <f>(E692/C692)*1000</f>
        <v>0.35604066292300524</v>
      </c>
      <c r="L692">
        <f>CORREL(C692:C1190, D692:D1190)</f>
        <v>0.77750336162046141</v>
      </c>
      <c r="M692">
        <f>CORREL(C692:C1190,E692:E1190)</f>
        <v>2.3051238542825703E-2</v>
      </c>
      <c r="N692">
        <f>LEN(A692)</f>
        <v>28</v>
      </c>
      <c r="O692" t="str">
        <f>IF(ISNUMBER(SEARCH("$",A692)), "Money", IF(ISNUMBER(SEARCH("Win",A692)), "Challenge",IF(ISNUMBER(SEARCH("Challenge",A692)), "Challenge",IF(ISNUMBER(SEARCH("Last To Leave",A692)),"Challenge",IF(ISNUMBER(SEARCH("Giving Away", A692)),"Giveaway",IF(ISNUMBER(SEARCH("Stranded",A692)),"Survival", IF(ISNUMBER(SEARCH("Survive",A692)), "Survival", IF(ISNUMBER(SEARCH("Days",A692)),"Endurance","Other"))))))))</f>
        <v>Money</v>
      </c>
    </row>
    <row r="693" spans="1:15" x14ac:dyDescent="0.3">
      <c r="A693" t="s">
        <v>701</v>
      </c>
      <c r="B693" s="1">
        <v>44205</v>
      </c>
      <c r="C693" s="2">
        <v>216892002</v>
      </c>
      <c r="D693" s="3">
        <v>5786833</v>
      </c>
      <c r="E693" s="3">
        <v>192002</v>
      </c>
      <c r="F693">
        <f>YEAR(B693)</f>
        <v>2021</v>
      </c>
      <c r="G693" t="str">
        <f>TEXT(B693,"MMMM")</f>
        <v>January</v>
      </c>
      <c r="H693" t="str">
        <f>TEXT(B693, "DDDD")</f>
        <v>Saturday</v>
      </c>
      <c r="I693">
        <f>((D693+E693)/C693)*100</f>
        <v>2.7565954230068841</v>
      </c>
      <c r="J693">
        <f>(D693/C693)*1000</f>
        <v>26.680711813430538</v>
      </c>
      <c r="K693">
        <f>(E693/C693)*1000</f>
        <v>0.88524241663830461</v>
      </c>
      <c r="L693">
        <f>CORREL(C693:C1191, D693:D1191)</f>
        <v>0.77733004974178899</v>
      </c>
      <c r="M693">
        <f>CORREL(C693:C1191,E693:E1191)</f>
        <v>2.314677062527799E-2</v>
      </c>
      <c r="N693">
        <f>LEN(A693)</f>
        <v>31</v>
      </c>
      <c r="O693" t="str">
        <f>IF(ISNUMBER(SEARCH("$",A693)), "Money", IF(ISNUMBER(SEARCH("Win",A693)), "Challenge",IF(ISNUMBER(SEARCH("Challenge",A693)), "Challenge",IF(ISNUMBER(SEARCH("Last To Leave",A693)),"Challenge",IF(ISNUMBER(SEARCH("Giving Away", A693)),"Giveaway",IF(ISNUMBER(SEARCH("Stranded",A693)),"Survival", IF(ISNUMBER(SEARCH("Survive",A693)), "Survival", IF(ISNUMBER(SEARCH("Days",A693)),"Endurance","Other"))))))))</f>
        <v>Other</v>
      </c>
    </row>
    <row r="694" spans="1:15" x14ac:dyDescent="0.3">
      <c r="A694" t="s">
        <v>702</v>
      </c>
      <c r="B694" s="1">
        <v>44465</v>
      </c>
      <c r="C694" s="2">
        <v>216443681</v>
      </c>
      <c r="D694" s="3">
        <v>4577967</v>
      </c>
      <c r="E694" s="3">
        <v>117365</v>
      </c>
      <c r="F694">
        <f>YEAR(B694)</f>
        <v>2021</v>
      </c>
      <c r="G694" t="str">
        <f>TEXT(B694,"MMMM")</f>
        <v>September</v>
      </c>
      <c r="H694" t="str">
        <f>TEXT(B694, "DDDD")</f>
        <v>Sunday</v>
      </c>
      <c r="I694">
        <f>((D694+E694)/C694)*100</f>
        <v>2.1693088836351846</v>
      </c>
      <c r="J694">
        <f>(D694/C694)*1000</f>
        <v>21.15084616399589</v>
      </c>
      <c r="K694">
        <f>(E694/C694)*1000</f>
        <v>0.54224267235595569</v>
      </c>
      <c r="L694">
        <f>CORREL(C694:C1192, D694:D1192)</f>
        <v>0.77726645674764883</v>
      </c>
      <c r="M694">
        <f>CORREL(C694:C1192,E694:E1192)</f>
        <v>2.4753187186150667E-2</v>
      </c>
      <c r="N694">
        <f>LEN(A694)</f>
        <v>31</v>
      </c>
      <c r="O694" t="str">
        <f>IF(ISNUMBER(SEARCH("$",A694)), "Money", IF(ISNUMBER(SEARCH("Win",A694)), "Challenge",IF(ISNUMBER(SEARCH("Challenge",A694)), "Challenge",IF(ISNUMBER(SEARCH("Last To Leave",A694)),"Challenge",IF(ISNUMBER(SEARCH("Giving Away", A694)),"Giveaway",IF(ISNUMBER(SEARCH("Stranded",A694)),"Survival", IF(ISNUMBER(SEARCH("Survive",A694)), "Survival", IF(ISNUMBER(SEARCH("Days",A694)),"Endurance","Other"))))))))</f>
        <v>Money</v>
      </c>
    </row>
    <row r="695" spans="1:15" x14ac:dyDescent="0.3">
      <c r="A695" t="s">
        <v>703</v>
      </c>
      <c r="B695" s="1">
        <v>44492</v>
      </c>
      <c r="C695" s="2">
        <v>202095557</v>
      </c>
      <c r="D695" s="3">
        <v>4819480</v>
      </c>
      <c r="E695" s="3">
        <v>126427</v>
      </c>
      <c r="F695">
        <f>YEAR(B695)</f>
        <v>2021</v>
      </c>
      <c r="G695" t="str">
        <f>TEXT(B695,"MMMM")</f>
        <v>October</v>
      </c>
      <c r="H695" t="str">
        <f>TEXT(B695, "DDDD")</f>
        <v>Saturday</v>
      </c>
      <c r="I695">
        <f>((D695+E695)/C695)*100</f>
        <v>2.4473111004612536</v>
      </c>
      <c r="J695">
        <f>(D695/C695)*1000</f>
        <v>23.847530700538854</v>
      </c>
      <c r="K695">
        <f>(E695/C695)*1000</f>
        <v>0.62558030407368126</v>
      </c>
      <c r="L695">
        <f>CORREL(C695:C1193, D695:D1193)</f>
        <v>0.77710399593076362</v>
      </c>
      <c r="M695">
        <f>CORREL(C695:C1193,E695:E1193)</f>
        <v>2.536102495712245E-2</v>
      </c>
      <c r="N695">
        <f>LEN(A695)</f>
        <v>43</v>
      </c>
      <c r="O695" t="str">
        <f>IF(ISNUMBER(SEARCH("$",A695)), "Money", IF(ISNUMBER(SEARCH("Win",A695)), "Challenge",IF(ISNUMBER(SEARCH("Challenge",A695)), "Challenge",IF(ISNUMBER(SEARCH("Last To Leave",A695)),"Challenge",IF(ISNUMBER(SEARCH("Giving Away", A695)),"Giveaway",IF(ISNUMBER(SEARCH("Stranded",A695)),"Survival", IF(ISNUMBER(SEARCH("Survive",A695)), "Survival", IF(ISNUMBER(SEARCH("Days",A695)),"Endurance","Other"))))))))</f>
        <v>Other</v>
      </c>
    </row>
    <row r="696" spans="1:15" x14ac:dyDescent="0.3">
      <c r="A696" t="s">
        <v>704</v>
      </c>
      <c r="B696" s="1">
        <v>44387</v>
      </c>
      <c r="C696" s="2">
        <v>190915303</v>
      </c>
      <c r="D696" s="3">
        <v>3710444</v>
      </c>
      <c r="E696" s="3">
        <v>83024</v>
      </c>
      <c r="F696">
        <f>YEAR(B696)</f>
        <v>2021</v>
      </c>
      <c r="G696" t="str">
        <f>TEXT(B696,"MMMM")</f>
        <v>July</v>
      </c>
      <c r="H696" t="str">
        <f>TEXT(B696, "DDDD")</f>
        <v>Saturday</v>
      </c>
      <c r="I696">
        <f>((D696+E696)/C696)*100</f>
        <v>1.986990010957896</v>
      </c>
      <c r="J696">
        <f>(D696/C696)*1000</f>
        <v>19.435026641106923</v>
      </c>
      <c r="K696">
        <f>(E696/C696)*1000</f>
        <v>0.43487346847203762</v>
      </c>
      <c r="L696">
        <f>CORREL(C696:C1194, D696:D1194)</f>
        <v>0.77695119818398817</v>
      </c>
      <c r="M696">
        <f>CORREL(C696:C1194,E696:E1194)</f>
        <v>2.6175064607314735E-2</v>
      </c>
      <c r="N696">
        <f>LEN(A696)</f>
        <v>35</v>
      </c>
      <c r="O696" t="str">
        <f>IF(ISNUMBER(SEARCH("$",A696)), "Money", IF(ISNUMBER(SEARCH("Win",A696)), "Challenge",IF(ISNUMBER(SEARCH("Challenge",A696)), "Challenge",IF(ISNUMBER(SEARCH("Last To Leave",A696)),"Challenge",IF(ISNUMBER(SEARCH("Giving Away", A696)),"Giveaway",IF(ISNUMBER(SEARCH("Stranded",A696)),"Survival", IF(ISNUMBER(SEARCH("Survive",A696)), "Survival", IF(ISNUMBER(SEARCH("Days",A696)),"Endurance","Other"))))))))</f>
        <v>Money</v>
      </c>
    </row>
    <row r="697" spans="1:15" x14ac:dyDescent="0.3">
      <c r="A697" t="s">
        <v>705</v>
      </c>
      <c r="B697" s="1">
        <v>44261</v>
      </c>
      <c r="C697" s="2">
        <v>189959380</v>
      </c>
      <c r="D697" s="3">
        <v>4096397</v>
      </c>
      <c r="E697" s="3">
        <v>116904</v>
      </c>
      <c r="F697">
        <f>YEAR(B697)</f>
        <v>2021</v>
      </c>
      <c r="G697" t="str">
        <f>TEXT(B697,"MMMM")</f>
        <v>March</v>
      </c>
      <c r="H697" t="str">
        <f>TEXT(B697, "DDDD")</f>
        <v>Saturday</v>
      </c>
      <c r="I697">
        <f>((D697+E697)/C697)*100</f>
        <v>2.2180010273775372</v>
      </c>
      <c r="J697">
        <f>(D697/C697)*1000</f>
        <v>21.564594493833365</v>
      </c>
      <c r="K697">
        <f>(E697/C697)*1000</f>
        <v>0.61541577994200647</v>
      </c>
      <c r="L697">
        <f>CORREL(C697:C1195, D697:D1195)</f>
        <v>0.7767059265774422</v>
      </c>
      <c r="M697">
        <f>CORREL(C697:C1195,E697:E1195)</f>
        <v>2.6362307775182753E-2</v>
      </c>
      <c r="N697">
        <f>LEN(A697)</f>
        <v>22</v>
      </c>
      <c r="O697" t="str">
        <f>IF(ISNUMBER(SEARCH("$",A697)), "Money", IF(ISNUMBER(SEARCH("Win",A697)), "Challenge",IF(ISNUMBER(SEARCH("Challenge",A697)), "Challenge",IF(ISNUMBER(SEARCH("Last To Leave",A697)),"Challenge",IF(ISNUMBER(SEARCH("Giving Away", A697)),"Giveaway",IF(ISNUMBER(SEARCH("Stranded",A697)),"Survival", IF(ISNUMBER(SEARCH("Survive",A697)), "Survival", IF(ISNUMBER(SEARCH("Days",A697)),"Endurance","Other"))))))))</f>
        <v>Money</v>
      </c>
    </row>
    <row r="698" spans="1:15" x14ac:dyDescent="0.3">
      <c r="A698" t="s">
        <v>706</v>
      </c>
      <c r="B698" s="1">
        <v>44268</v>
      </c>
      <c r="C698" s="2">
        <v>170443698</v>
      </c>
      <c r="D698" s="3">
        <v>3547637</v>
      </c>
      <c r="E698" s="3">
        <v>111230</v>
      </c>
      <c r="F698">
        <f>YEAR(B698)</f>
        <v>2021</v>
      </c>
      <c r="G698" t="str">
        <f>TEXT(B698,"MMMM")</f>
        <v>March</v>
      </c>
      <c r="H698" t="str">
        <f>TEXT(B698, "DDDD")</f>
        <v>Saturday</v>
      </c>
      <c r="I698">
        <f>((D698+E698)/C698)*100</f>
        <v>2.1466719174328168</v>
      </c>
      <c r="J698">
        <f>(D698/C698)*1000</f>
        <v>20.814128311156448</v>
      </c>
      <c r="K698">
        <f>(E698/C698)*1000</f>
        <v>0.65259086317172021</v>
      </c>
      <c r="L698">
        <f>CORREL(C698:C1196, D698:D1196)</f>
        <v>0.77648448101439804</v>
      </c>
      <c r="M698">
        <f>CORREL(C698:C1196,E698:E1196)</f>
        <v>2.7099518343401605E-2</v>
      </c>
      <c r="N698">
        <f>LEN(A698)</f>
        <v>42</v>
      </c>
      <c r="O698" t="str">
        <f>IF(ISNUMBER(SEARCH("$",A698)), "Money", IF(ISNUMBER(SEARCH("Win",A698)), "Challenge",IF(ISNUMBER(SEARCH("Challenge",A698)), "Challenge",IF(ISNUMBER(SEARCH("Last To Leave",A698)),"Challenge",IF(ISNUMBER(SEARCH("Giving Away", A698)),"Giveaway",IF(ISNUMBER(SEARCH("Stranded",A698)),"Survival", IF(ISNUMBER(SEARCH("Survive",A698)), "Survival", IF(ISNUMBER(SEARCH("Days",A698)),"Endurance","Other"))))))))</f>
        <v>Money</v>
      </c>
    </row>
    <row r="699" spans="1:15" x14ac:dyDescent="0.3">
      <c r="A699" t="s">
        <v>707</v>
      </c>
      <c r="B699" s="1">
        <v>44498</v>
      </c>
      <c r="C699" s="2">
        <v>136424053</v>
      </c>
      <c r="D699" s="3">
        <v>5608946</v>
      </c>
      <c r="E699" s="3">
        <v>166108</v>
      </c>
      <c r="F699">
        <f>YEAR(B699)</f>
        <v>2021</v>
      </c>
      <c r="G699" t="str">
        <f>TEXT(B699,"MMMM")</f>
        <v>October</v>
      </c>
      <c r="H699" t="str">
        <f>TEXT(B699, "DDDD")</f>
        <v>Friday</v>
      </c>
      <c r="I699">
        <f>((D699+E699)/C699)*100</f>
        <v>4.2331640740801033</v>
      </c>
      <c r="J699">
        <f>(D699/C699)*1000</f>
        <v>41.114054865383601</v>
      </c>
      <c r="K699">
        <f>(E699/C699)*1000</f>
        <v>1.2175858754174385</v>
      </c>
      <c r="L699">
        <f>CORREL(C699:C1197, D699:D1197)</f>
        <v>0.77619963855619534</v>
      </c>
      <c r="M699">
        <f>CORREL(C699:C1197,E699:E1197)</f>
        <v>2.7830007787765416E-2</v>
      </c>
      <c r="N699">
        <f>LEN(A699)</f>
        <v>48</v>
      </c>
      <c r="O699" t="str">
        <f>IF(ISNUMBER(SEARCH("$",A699)), "Money", IF(ISNUMBER(SEARCH("Win",A699)), "Challenge",IF(ISNUMBER(SEARCH("Challenge",A699)), "Challenge",IF(ISNUMBER(SEARCH("Last To Leave",A699)),"Challenge",IF(ISNUMBER(SEARCH("Giving Away", A699)),"Giveaway",IF(ISNUMBER(SEARCH("Stranded",A699)),"Survival", IF(ISNUMBER(SEARCH("Survive",A699)), "Survival", IF(ISNUMBER(SEARCH("Days",A699)),"Endurance","Other"))))))))</f>
        <v>Other</v>
      </c>
    </row>
    <row r="700" spans="1:15" x14ac:dyDescent="0.3">
      <c r="A700" t="s">
        <v>708</v>
      </c>
      <c r="B700" s="1">
        <v>44548</v>
      </c>
      <c r="C700" s="2">
        <v>110994478</v>
      </c>
      <c r="D700" s="3">
        <v>3648948</v>
      </c>
      <c r="E700" s="3">
        <v>116175</v>
      </c>
      <c r="F700">
        <f>YEAR(B700)</f>
        <v>2021</v>
      </c>
      <c r="G700" t="str">
        <f>TEXT(B700,"MMMM")</f>
        <v>December</v>
      </c>
      <c r="H700" t="str">
        <f>TEXT(B700, "DDDD")</f>
        <v>Saturday</v>
      </c>
      <c r="I700">
        <f>((D700+E700)/C700)*100</f>
        <v>3.3921714555925928</v>
      </c>
      <c r="J700">
        <f>(D700/C700)*1000</f>
        <v>32.875040864645534</v>
      </c>
      <c r="K700">
        <f>(E700/C700)*1000</f>
        <v>1.0466736912803896</v>
      </c>
      <c r="L700">
        <f>CORREL(C700:C1198, D700:D1198)</f>
        <v>0.77627470108253616</v>
      </c>
      <c r="M700">
        <f>CORREL(C700:C1198,E700:E1198)</f>
        <v>2.9907176941765378E-2</v>
      </c>
      <c r="N700">
        <f>LEN(A700)</f>
        <v>32</v>
      </c>
      <c r="O700" t="str">
        <f>IF(ISNUMBER(SEARCH("$",A700)), "Money", IF(ISNUMBER(SEARCH("Win",A700)), "Challenge",IF(ISNUMBER(SEARCH("Challenge",A700)), "Challenge",IF(ISNUMBER(SEARCH("Last To Leave",A700)),"Challenge",IF(ISNUMBER(SEARCH("Giving Away", A700)),"Giveaway",IF(ISNUMBER(SEARCH("Stranded",A700)),"Survival", IF(ISNUMBER(SEARCH("Survive",A700)), "Survival", IF(ISNUMBER(SEARCH("Days",A700)),"Endurance","Other"))))))))</f>
        <v>Money</v>
      </c>
    </row>
    <row r="701" spans="1:15" x14ac:dyDescent="0.3">
      <c r="A701" t="s">
        <v>709</v>
      </c>
      <c r="B701" s="1">
        <v>44546</v>
      </c>
      <c r="C701" s="2">
        <v>107154592</v>
      </c>
      <c r="D701" s="3">
        <v>3130083</v>
      </c>
      <c r="E701" s="3">
        <v>83327</v>
      </c>
      <c r="F701">
        <f>YEAR(B701)</f>
        <v>2021</v>
      </c>
      <c r="G701" t="str">
        <f>TEXT(B701,"MMMM")</f>
        <v>December</v>
      </c>
      <c r="H701" t="str">
        <f>TEXT(B701, "DDDD")</f>
        <v>Thursday</v>
      </c>
      <c r="I701">
        <f>((D701+E701)/C701)*100</f>
        <v>2.9988542161590237</v>
      </c>
      <c r="J701">
        <f>(D701/C701)*1000</f>
        <v>29.210908665491445</v>
      </c>
      <c r="K701">
        <f>(E701/C701)*1000</f>
        <v>0.77763349609879528</v>
      </c>
      <c r="L701">
        <f>CORREL(C701:C1199, D701:D1199)</f>
        <v>0.77601158099365286</v>
      </c>
      <c r="M701">
        <f>CORREL(C701:C1199,E701:E1199)</f>
        <v>3.1027551026342026E-2</v>
      </c>
      <c r="N701">
        <f>LEN(A701)</f>
        <v>46</v>
      </c>
      <c r="O701" t="str">
        <f>IF(ISNUMBER(SEARCH("$",A701)), "Money", IF(ISNUMBER(SEARCH("Win",A701)), "Challenge",IF(ISNUMBER(SEARCH("Challenge",A701)), "Challenge",IF(ISNUMBER(SEARCH("Last To Leave",A701)),"Challenge",IF(ISNUMBER(SEARCH("Giving Away", A701)),"Giveaway",IF(ISNUMBER(SEARCH("Stranded",A701)),"Survival", IF(ISNUMBER(SEARCH("Survive",A701)), "Survival", IF(ISNUMBER(SEARCH("Days",A701)),"Endurance","Other"))))))))</f>
        <v>Money</v>
      </c>
    </row>
    <row r="702" spans="1:15" x14ac:dyDescent="0.3">
      <c r="A702" t="s">
        <v>710</v>
      </c>
      <c r="B702" s="1">
        <v>44197</v>
      </c>
      <c r="C702" s="2">
        <v>73507896</v>
      </c>
      <c r="D702" s="3">
        <v>5014173</v>
      </c>
      <c r="E702" s="3">
        <v>272448</v>
      </c>
      <c r="F702">
        <f>YEAR(B702)</f>
        <v>2021</v>
      </c>
      <c r="G702" t="str">
        <f>TEXT(B702,"MMMM")</f>
        <v>January</v>
      </c>
      <c r="H702" t="str">
        <f>TEXT(B702, "DDDD")</f>
        <v>Friday</v>
      </c>
      <c r="I702">
        <f>((D702+E702)/C702)*100</f>
        <v>7.1919090161416133</v>
      </c>
      <c r="J702">
        <f>(D702/C702)*1000</f>
        <v>68.212712822034803</v>
      </c>
      <c r="K702">
        <f>(E702/C702)*1000</f>
        <v>3.7063773393813366</v>
      </c>
      <c r="L702">
        <f>CORREL(C702:C1200, D702:D1200)</f>
        <v>0.77565811822179109</v>
      </c>
      <c r="M702">
        <f>CORREL(C702:C1200,E702:E1200)</f>
        <v>3.136448690778415E-2</v>
      </c>
      <c r="N702">
        <f>LEN(A702)</f>
        <v>20</v>
      </c>
      <c r="O702" t="str">
        <f>IF(ISNUMBER(SEARCH("$",A702)), "Money", IF(ISNUMBER(SEARCH("Win",A702)), "Challenge",IF(ISNUMBER(SEARCH("Challenge",A702)), "Challenge",IF(ISNUMBER(SEARCH("Last To Leave",A702)),"Challenge",IF(ISNUMBER(SEARCH("Giving Away", A702)),"Giveaway",IF(ISNUMBER(SEARCH("Stranded",A702)),"Survival", IF(ISNUMBER(SEARCH("Survive",A702)), "Survival", IF(ISNUMBER(SEARCH("Days",A702)),"Endurance","Other"))))))))</f>
        <v>Challenge</v>
      </c>
    </row>
    <row r="703" spans="1:15" x14ac:dyDescent="0.3">
      <c r="A703" t="s">
        <v>711</v>
      </c>
      <c r="B703" s="1">
        <v>44240</v>
      </c>
      <c r="C703" s="2">
        <v>57590296</v>
      </c>
      <c r="D703" s="3">
        <v>3026180</v>
      </c>
      <c r="E703" s="3">
        <v>142875</v>
      </c>
      <c r="F703">
        <f>YEAR(B703)</f>
        <v>2021</v>
      </c>
      <c r="G703" t="str">
        <f>TEXT(B703,"MMMM")</f>
        <v>February</v>
      </c>
      <c r="H703" t="str">
        <f>TEXT(B703, "DDDD")</f>
        <v>Saturday</v>
      </c>
      <c r="I703">
        <f>((D703+E703)/C703)*100</f>
        <v>5.5027586592018904</v>
      </c>
      <c r="J703">
        <f>(D703/C703)*1000</f>
        <v>52.546699881521704</v>
      </c>
      <c r="K703">
        <f>(E703/C703)*1000</f>
        <v>2.4808867104971992</v>
      </c>
      <c r="L703">
        <f>CORREL(C703:C1201, D703:D1201)</f>
        <v>0.77583430257470998</v>
      </c>
      <c r="M703">
        <f>CORREL(C703:C1201,E703:E1201)</f>
        <v>3.7222184957505323E-2</v>
      </c>
      <c r="N703">
        <f>LEN(A703)</f>
        <v>36</v>
      </c>
      <c r="O703" t="str">
        <f>IF(ISNUMBER(SEARCH("$",A703)), "Money", IF(ISNUMBER(SEARCH("Win",A703)), "Challenge",IF(ISNUMBER(SEARCH("Challenge",A703)), "Challenge",IF(ISNUMBER(SEARCH("Last To Leave",A703)),"Challenge",IF(ISNUMBER(SEARCH("Giving Away", A703)),"Giveaway",IF(ISNUMBER(SEARCH("Stranded",A703)),"Survival", IF(ISNUMBER(SEARCH("Survive",A703)), "Survival", IF(ISNUMBER(SEARCH("Days",A703)),"Endurance","Other"))))))))</f>
        <v>Money</v>
      </c>
    </row>
    <row r="704" spans="1:15" x14ac:dyDescent="0.3">
      <c r="A704" t="s">
        <v>712</v>
      </c>
      <c r="B704" s="1">
        <v>44867</v>
      </c>
      <c r="C704" s="2">
        <v>1816848204</v>
      </c>
      <c r="D704" s="3">
        <v>42037409</v>
      </c>
      <c r="E704" s="3">
        <v>154621</v>
      </c>
      <c r="F704">
        <f>YEAR(B704)</f>
        <v>2022</v>
      </c>
      <c r="G704" t="str">
        <f>TEXT(B704,"MMMM")</f>
        <v>November</v>
      </c>
      <c r="H704" t="str">
        <f>TEXT(B704, "DDDD")</f>
        <v>Wednesday</v>
      </c>
      <c r="I704">
        <f>((D704+E704)/C704)*100</f>
        <v>2.3222650030481029</v>
      </c>
      <c r="J704">
        <f>(D704/C704)*1000</f>
        <v>23.137546057755301</v>
      </c>
      <c r="K704">
        <f>(E704/C704)*1000</f>
        <v>8.5103972725725854E-2</v>
      </c>
      <c r="L704">
        <f>CORREL(C704:C1202, D704:D1202)</f>
        <v>0.77552782573547152</v>
      </c>
      <c r="M704">
        <f>CORREL(C704:C1202,E704:E1202)</f>
        <v>3.9479716083549395E-2</v>
      </c>
      <c r="N704">
        <f>LEN(A704)</f>
        <v>44</v>
      </c>
      <c r="O704" t="str">
        <f>IF(ISNUMBER(SEARCH("$",A704)), "Money", IF(ISNUMBER(SEARCH("Win",A704)), "Challenge",IF(ISNUMBER(SEARCH("Challenge",A704)), "Challenge",IF(ISNUMBER(SEARCH("Last To Leave",A704)),"Challenge",IF(ISNUMBER(SEARCH("Giving Away", A704)),"Giveaway",IF(ISNUMBER(SEARCH("Stranded",A704)),"Survival", IF(ISNUMBER(SEARCH("Survive",A704)), "Survival", IF(ISNUMBER(SEARCH("Days",A704)),"Endurance","Other"))))))))</f>
        <v>Other</v>
      </c>
    </row>
    <row r="705" spans="1:15" x14ac:dyDescent="0.3">
      <c r="A705" t="s">
        <v>713</v>
      </c>
      <c r="B705" s="1">
        <v>44903</v>
      </c>
      <c r="C705" s="2">
        <v>1763457596</v>
      </c>
      <c r="D705" s="3">
        <v>58284896</v>
      </c>
      <c r="E705" s="3">
        <v>129089</v>
      </c>
      <c r="F705">
        <f>YEAR(B705)</f>
        <v>2022</v>
      </c>
      <c r="G705" t="str">
        <f>TEXT(B705,"MMMM")</f>
        <v>December</v>
      </c>
      <c r="H705" t="str">
        <f>TEXT(B705, "DDDD")</f>
        <v>Thursday</v>
      </c>
      <c r="I705">
        <f>((D705+E705)/C705)*100</f>
        <v>3.3124689321988097</v>
      </c>
      <c r="J705">
        <f>(D705/C705)*1000</f>
        <v>33.051487108170875</v>
      </c>
      <c r="K705">
        <f>(E705/C705)*1000</f>
        <v>7.320221381722411E-2</v>
      </c>
      <c r="L705">
        <f>CORREL(C705:C1203, D705:D1203)</f>
        <v>0.75888424684906597</v>
      </c>
      <c r="M705">
        <f>CORREL(C705:C1203,E705:E1203)</f>
        <v>2.8627059980183261E-2</v>
      </c>
      <c r="N705">
        <f>LEN(A705)</f>
        <v>38</v>
      </c>
      <c r="O705" t="str">
        <f>IF(ISNUMBER(SEARCH("$",A705)), "Money", IF(ISNUMBER(SEARCH("Win",A705)), "Challenge",IF(ISNUMBER(SEARCH("Challenge",A705)), "Challenge",IF(ISNUMBER(SEARCH("Last To Leave",A705)),"Challenge",IF(ISNUMBER(SEARCH("Giving Away", A705)),"Giveaway",IF(ISNUMBER(SEARCH("Stranded",A705)),"Survival", IF(ISNUMBER(SEARCH("Survive",A705)), "Survival", IF(ISNUMBER(SEARCH("Days",A705)),"Endurance","Other"))))))))</f>
        <v>Other</v>
      </c>
    </row>
    <row r="706" spans="1:15" x14ac:dyDescent="0.3">
      <c r="A706" t="s">
        <v>714</v>
      </c>
      <c r="B706" s="1">
        <v>44884</v>
      </c>
      <c r="C706" s="2">
        <v>875442677</v>
      </c>
      <c r="D706" s="3">
        <v>31098607</v>
      </c>
      <c r="E706" s="3">
        <v>56173</v>
      </c>
      <c r="F706">
        <f>YEAR(B706)</f>
        <v>2022</v>
      </c>
      <c r="G706" t="str">
        <f>TEXT(B706,"MMMM")</f>
        <v>November</v>
      </c>
      <c r="H706" t="str">
        <f>TEXT(B706, "DDDD")</f>
        <v>Saturday</v>
      </c>
      <c r="I706">
        <f>((D706+E706)/C706)*100</f>
        <v>3.5587458572116195</v>
      </c>
      <c r="J706">
        <f>(D706/C706)*1000</f>
        <v>35.523293320094787</v>
      </c>
      <c r="K706">
        <f>(E706/C706)*1000</f>
        <v>6.4165252021406757E-2</v>
      </c>
      <c r="L706">
        <f>CORREL(C706:C1204, D706:D1204)</f>
        <v>0.72845815456552987</v>
      </c>
      <c r="M706">
        <f>CORREL(C706:C1204,E706:E1204)</f>
        <v>2.094649923982593E-2</v>
      </c>
      <c r="N706">
        <f>LEN(A706)</f>
        <v>49</v>
      </c>
      <c r="O706" t="str">
        <f>IF(ISNUMBER(SEARCH("$",A706)), "Money", IF(ISNUMBER(SEARCH("Win",A706)), "Challenge",IF(ISNUMBER(SEARCH("Challenge",A706)), "Challenge",IF(ISNUMBER(SEARCH("Last To Leave",A706)),"Challenge",IF(ISNUMBER(SEARCH("Giving Away", A706)),"Giveaway",IF(ISNUMBER(SEARCH("Stranded",A706)),"Survival", IF(ISNUMBER(SEARCH("Survive",A706)), "Survival", IF(ISNUMBER(SEARCH("Days",A706)),"Endurance","Other"))))))))</f>
        <v>Other</v>
      </c>
    </row>
    <row r="707" spans="1:15" x14ac:dyDescent="0.3">
      <c r="A707" t="s">
        <v>715</v>
      </c>
      <c r="B707" s="1">
        <v>44855</v>
      </c>
      <c r="C707" s="2">
        <v>728659862</v>
      </c>
      <c r="D707" s="3">
        <v>36370869</v>
      </c>
      <c r="E707" s="3">
        <v>81679</v>
      </c>
      <c r="F707">
        <f>YEAR(B707)</f>
        <v>2022</v>
      </c>
      <c r="G707" t="str">
        <f>TEXT(B707,"MMMM")</f>
        <v>October</v>
      </c>
      <c r="H707" t="str">
        <f>TEXT(B707, "DDDD")</f>
        <v>Friday</v>
      </c>
      <c r="I707">
        <f>((D707+E707)/C707)*100</f>
        <v>5.0026836801393619</v>
      </c>
      <c r="J707">
        <f>(D707/C707)*1000</f>
        <v>49.914741976003064</v>
      </c>
      <c r="K707">
        <f>(E707/C707)*1000</f>
        <v>0.11209482539056063</v>
      </c>
      <c r="L707">
        <f>CORREL(C707:C1205, D707:D1205)</f>
        <v>0.72357054979736368</v>
      </c>
      <c r="M707">
        <f>CORREL(C707:C1205,E707:E1205)</f>
        <v>2.1912682302109684E-2</v>
      </c>
      <c r="N707">
        <f>LEN(A707)</f>
        <v>32</v>
      </c>
      <c r="O707" t="str">
        <f>IF(ISNUMBER(SEARCH("$",A707)), "Money", IF(ISNUMBER(SEARCH("Win",A707)), "Challenge",IF(ISNUMBER(SEARCH("Challenge",A707)), "Challenge",IF(ISNUMBER(SEARCH("Last To Leave",A707)),"Challenge",IF(ISNUMBER(SEARCH("Giving Away", A707)),"Giveaway",IF(ISNUMBER(SEARCH("Stranded",A707)),"Survival", IF(ISNUMBER(SEARCH("Survive",A707)), "Survival", IF(ISNUMBER(SEARCH("Days",A707)),"Endurance","Other"))))))))</f>
        <v>Money</v>
      </c>
    </row>
    <row r="708" spans="1:15" x14ac:dyDescent="0.3">
      <c r="A708" t="s">
        <v>716</v>
      </c>
      <c r="B708" s="1">
        <v>44856</v>
      </c>
      <c r="C708" s="2">
        <v>449482142</v>
      </c>
      <c r="D708" s="3">
        <v>7705582</v>
      </c>
      <c r="E708" s="3">
        <v>116509</v>
      </c>
      <c r="F708">
        <f>YEAR(B708)</f>
        <v>2022</v>
      </c>
      <c r="G708" t="str">
        <f>TEXT(B708,"MMMM")</f>
        <v>October</v>
      </c>
      <c r="H708" t="str">
        <f>TEXT(B708, "DDDD")</f>
        <v>Saturday</v>
      </c>
      <c r="I708">
        <f>((D708+E708)/C708)*100</f>
        <v>1.7402451107835115</v>
      </c>
      <c r="J708">
        <f>(D708/C708)*1000</f>
        <v>17.143243924471641</v>
      </c>
      <c r="K708">
        <f>(E708/C708)*1000</f>
        <v>0.25920718336347165</v>
      </c>
      <c r="L708">
        <f>CORREL(C708:C1206, D708:D1206)</f>
        <v>0.72553320324860915</v>
      </c>
      <c r="M708">
        <f>CORREL(C708:C1206,E708:E1206)</f>
        <v>2.14981934132987E-2</v>
      </c>
      <c r="N708">
        <f>LEN(A708)</f>
        <v>28</v>
      </c>
      <c r="O708" t="str">
        <f>IF(ISNUMBER(SEARCH("$",A708)), "Money", IF(ISNUMBER(SEARCH("Win",A708)), "Challenge",IF(ISNUMBER(SEARCH("Challenge",A708)), "Challenge",IF(ISNUMBER(SEARCH("Last To Leave",A708)),"Challenge",IF(ISNUMBER(SEARCH("Giving Away", A708)),"Giveaway",IF(ISNUMBER(SEARCH("Stranded",A708)),"Survival", IF(ISNUMBER(SEARCH("Survive",A708)), "Survival", IF(ISNUMBER(SEARCH("Days",A708)),"Endurance","Other"))))))))</f>
        <v>Money</v>
      </c>
    </row>
    <row r="709" spans="1:15" x14ac:dyDescent="0.3">
      <c r="A709" t="s">
        <v>717</v>
      </c>
      <c r="B709" s="1">
        <v>44828</v>
      </c>
      <c r="C709" s="2">
        <v>419236868</v>
      </c>
      <c r="D709" s="3">
        <v>6359856</v>
      </c>
      <c r="E709" s="3">
        <v>101545</v>
      </c>
      <c r="F709">
        <f>YEAR(B709)</f>
        <v>2022</v>
      </c>
      <c r="G709" t="str">
        <f>TEXT(B709,"MMMM")</f>
        <v>September</v>
      </c>
      <c r="H709" t="str">
        <f>TEXT(B709, "DDDD")</f>
        <v>Saturday</v>
      </c>
      <c r="I709">
        <f>((D709+E709)/C709)*100</f>
        <v>1.5412291936118558</v>
      </c>
      <c r="J709">
        <f>(D709/C709)*1000</f>
        <v>15.170078028538272</v>
      </c>
      <c r="K709">
        <f>(E709/C709)*1000</f>
        <v>0.24221390758028466</v>
      </c>
      <c r="L709">
        <f>CORREL(C709:C1207, D709:D1207)</f>
        <v>0.72578640414089013</v>
      </c>
      <c r="M709">
        <f>CORREL(C709:C1207,E709:E1207)</f>
        <v>2.0963107798229626E-2</v>
      </c>
      <c r="N709">
        <f>LEN(A709)</f>
        <v>40</v>
      </c>
      <c r="O709" t="str">
        <f>IF(ISNUMBER(SEARCH("$",A709)), "Money", IF(ISNUMBER(SEARCH("Win",A709)), "Challenge",IF(ISNUMBER(SEARCH("Challenge",A709)), "Challenge",IF(ISNUMBER(SEARCH("Last To Leave",A709)),"Challenge",IF(ISNUMBER(SEARCH("Giving Away", A709)),"Giveaway",IF(ISNUMBER(SEARCH("Stranded",A709)),"Survival", IF(ISNUMBER(SEARCH("Survive",A709)), "Survival", IF(ISNUMBER(SEARCH("Days",A709)),"Endurance","Other"))))))))</f>
        <v>Money</v>
      </c>
    </row>
    <row r="710" spans="1:15" x14ac:dyDescent="0.3">
      <c r="A710" t="s">
        <v>718</v>
      </c>
      <c r="B710" s="1">
        <v>44716</v>
      </c>
      <c r="C710" s="2">
        <v>378733676</v>
      </c>
      <c r="D710" s="3">
        <v>6950863</v>
      </c>
      <c r="E710" s="3">
        <v>155666</v>
      </c>
      <c r="F710">
        <f>YEAR(B710)</f>
        <v>2022</v>
      </c>
      <c r="G710" t="str">
        <f>TEXT(B710,"MMMM")</f>
        <v>June</v>
      </c>
      <c r="H710" t="str">
        <f>TEXT(B710, "DDDD")</f>
        <v>Saturday</v>
      </c>
      <c r="I710">
        <f>((D710+E710)/C710)*100</f>
        <v>1.8763921590114949</v>
      </c>
      <c r="J710">
        <f>(D710/C710)*1000</f>
        <v>18.352904535481549</v>
      </c>
      <c r="K710">
        <f>(E710/C710)*1000</f>
        <v>0.41101705463339888</v>
      </c>
      <c r="L710">
        <f>CORREL(C710:C1208, D710:D1208)</f>
        <v>0.72618213935695719</v>
      </c>
      <c r="M710">
        <f>CORREL(C710:C1208,E710:E1208)</f>
        <v>2.0701863475768262E-2</v>
      </c>
      <c r="N710">
        <f>LEN(A710)</f>
        <v>40</v>
      </c>
      <c r="O710" t="str">
        <f>IF(ISNUMBER(SEARCH("$",A710)), "Money", IF(ISNUMBER(SEARCH("Win",A710)), "Challenge",IF(ISNUMBER(SEARCH("Challenge",A710)), "Challenge",IF(ISNUMBER(SEARCH("Last To Leave",A710)),"Challenge",IF(ISNUMBER(SEARCH("Giving Away", A710)),"Giveaway",IF(ISNUMBER(SEARCH("Stranded",A710)),"Survival", IF(ISNUMBER(SEARCH("Survive",A710)), "Survival", IF(ISNUMBER(SEARCH("Days",A710)),"Endurance","Other"))))))))</f>
        <v>Other</v>
      </c>
    </row>
    <row r="711" spans="1:15" x14ac:dyDescent="0.3">
      <c r="A711" t="s">
        <v>719</v>
      </c>
      <c r="B711" s="1">
        <v>44898</v>
      </c>
      <c r="C711" s="2">
        <v>342989045</v>
      </c>
      <c r="D711" s="3">
        <v>4938037</v>
      </c>
      <c r="E711" s="3">
        <v>93054</v>
      </c>
      <c r="F711">
        <f>YEAR(B711)</f>
        <v>2022</v>
      </c>
      <c r="G711" t="str">
        <f>TEXT(B711,"MMMM")</f>
        <v>December</v>
      </c>
      <c r="H711" t="str">
        <f>TEXT(B711, "DDDD")</f>
        <v>Saturday</v>
      </c>
      <c r="I711">
        <f>((D711+E711)/C711)*100</f>
        <v>1.4668372279936812</v>
      </c>
      <c r="J711">
        <f>(D711/C711)*1000</f>
        <v>14.397069154205786</v>
      </c>
      <c r="K711">
        <f>(E711/C711)*1000</f>
        <v>0.27130312573102733</v>
      </c>
      <c r="L711">
        <f>CORREL(C711:C1209, D711:D1209)</f>
        <v>0.72629038992626294</v>
      </c>
      <c r="M711">
        <f>CORREL(C711:C1209,E711:E1209)</f>
        <v>2.0386337637018529E-2</v>
      </c>
      <c r="N711">
        <f>LEN(A711)</f>
        <v>35</v>
      </c>
      <c r="O711" t="str">
        <f>IF(ISNUMBER(SEARCH("$",A711)), "Money", IF(ISNUMBER(SEARCH("Win",A711)), "Challenge",IF(ISNUMBER(SEARCH("Challenge",A711)), "Challenge",IF(ISNUMBER(SEARCH("Last To Leave",A711)),"Challenge",IF(ISNUMBER(SEARCH("Giving Away", A711)),"Giveaway",IF(ISNUMBER(SEARCH("Stranded",A711)),"Survival", IF(ISNUMBER(SEARCH("Survive",A711)), "Survival", IF(ISNUMBER(SEARCH("Days",A711)),"Endurance","Other"))))))))</f>
        <v>Money</v>
      </c>
    </row>
    <row r="712" spans="1:15" x14ac:dyDescent="0.3">
      <c r="A712" t="s">
        <v>720</v>
      </c>
      <c r="B712" s="1">
        <v>44765</v>
      </c>
      <c r="C712" s="2">
        <v>306988519</v>
      </c>
      <c r="D712" s="3">
        <v>5047789</v>
      </c>
      <c r="E712" s="3">
        <v>136125</v>
      </c>
      <c r="F712">
        <f>YEAR(B712)</f>
        <v>2022</v>
      </c>
      <c r="G712" t="str">
        <f>TEXT(B712,"MMMM")</f>
        <v>July</v>
      </c>
      <c r="H712" t="str">
        <f>TEXT(B712, "DDDD")</f>
        <v>Saturday</v>
      </c>
      <c r="I712">
        <f>((D712+E712)/C712)*100</f>
        <v>1.6886344860343132</v>
      </c>
      <c r="J712">
        <f>(D712/C712)*1000</f>
        <v>16.442924368777454</v>
      </c>
      <c r="K712">
        <f>(E712/C712)*1000</f>
        <v>0.4434204915656797</v>
      </c>
      <c r="L712">
        <f>CORREL(C712:C1210, D712:D1210)</f>
        <v>0.72650712305402987</v>
      </c>
      <c r="M712">
        <f>CORREL(C712:C1210,E712:E1210)</f>
        <v>2.039055975021321E-2</v>
      </c>
      <c r="N712">
        <f>LEN(A712)</f>
        <v>34</v>
      </c>
      <c r="O712" t="str">
        <f>IF(ISNUMBER(SEARCH("$",A712)), "Money", IF(ISNUMBER(SEARCH("Win",A712)), "Challenge",IF(ISNUMBER(SEARCH("Challenge",A712)), "Challenge",IF(ISNUMBER(SEARCH("Last To Leave",A712)),"Challenge",IF(ISNUMBER(SEARCH("Giving Away", A712)),"Giveaway",IF(ISNUMBER(SEARCH("Stranded",A712)),"Survival", IF(ISNUMBER(SEARCH("Survive",A712)), "Survival", IF(ISNUMBER(SEARCH("Days",A712)),"Endurance","Other"))))))))</f>
        <v>Money</v>
      </c>
    </row>
    <row r="713" spans="1:15" x14ac:dyDescent="0.3">
      <c r="A713" t="s">
        <v>721</v>
      </c>
      <c r="B713" s="1">
        <v>44590</v>
      </c>
      <c r="C713" s="2">
        <v>291313835</v>
      </c>
      <c r="D713" s="3">
        <v>5566363</v>
      </c>
      <c r="E713" s="3">
        <v>129469</v>
      </c>
      <c r="F713">
        <f>YEAR(B713)</f>
        <v>2022</v>
      </c>
      <c r="G713" t="str">
        <f>TEXT(B713,"MMMM")</f>
        <v>January</v>
      </c>
      <c r="H713" t="str">
        <f>TEXT(B713, "DDDD")</f>
        <v>Saturday</v>
      </c>
      <c r="I713">
        <f>((D713+E713)/C713)*100</f>
        <v>1.955221934447432</v>
      </c>
      <c r="J713">
        <f>(D713/C713)*1000</f>
        <v>19.107787997779095</v>
      </c>
      <c r="K713">
        <f>(E713/C713)*1000</f>
        <v>0.44443134669522305</v>
      </c>
      <c r="L713">
        <f>CORREL(C713:C1211, D713:D1211)</f>
        <v>0.72653293074592951</v>
      </c>
      <c r="M713">
        <f>CORREL(C713:C1211,E713:E1211)</f>
        <v>2.0680381321607644E-2</v>
      </c>
      <c r="N713">
        <f>LEN(A713)</f>
        <v>37</v>
      </c>
      <c r="O713" t="str">
        <f>IF(ISNUMBER(SEARCH("$",A713)), "Money", IF(ISNUMBER(SEARCH("Win",A713)), "Challenge",IF(ISNUMBER(SEARCH("Challenge",A713)), "Challenge",IF(ISNUMBER(SEARCH("Last To Leave",A713)),"Challenge",IF(ISNUMBER(SEARCH("Giving Away", A713)),"Giveaway",IF(ISNUMBER(SEARCH("Stranded",A713)),"Survival", IF(ISNUMBER(SEARCH("Survive",A713)), "Survival", IF(ISNUMBER(SEARCH("Days",A713)),"Endurance","Other"))))))))</f>
        <v>Other</v>
      </c>
    </row>
    <row r="714" spans="1:15" x14ac:dyDescent="0.3">
      <c r="A714" t="s">
        <v>722</v>
      </c>
      <c r="B714" s="1">
        <v>44905</v>
      </c>
      <c r="C714" s="2">
        <v>276128869</v>
      </c>
      <c r="D714" s="3">
        <v>5841586</v>
      </c>
      <c r="E714" s="3">
        <v>124432</v>
      </c>
      <c r="F714">
        <f>YEAR(B714)</f>
        <v>2022</v>
      </c>
      <c r="G714" t="str">
        <f>TEXT(B714,"MMMM")</f>
        <v>December</v>
      </c>
      <c r="H714" t="str">
        <f>TEXT(B714, "DDDD")</f>
        <v>Saturday</v>
      </c>
      <c r="I714">
        <f>((D714+E714)/C714)*100</f>
        <v>2.1605919082658467</v>
      </c>
      <c r="J714">
        <f>(D714/C714)*1000</f>
        <v>21.155288909686583</v>
      </c>
      <c r="K714">
        <f>(E714/C714)*1000</f>
        <v>0.45063017297188152</v>
      </c>
      <c r="L714">
        <f>CORREL(C714:C1212, D714:D1212)</f>
        <v>0.72648381391968531</v>
      </c>
      <c r="M714">
        <f>CORREL(C714:C1212,E714:E1212)</f>
        <v>2.1050186847824396E-2</v>
      </c>
      <c r="N714">
        <f>LEN(A714)</f>
        <v>34</v>
      </c>
      <c r="O714" t="str">
        <f>IF(ISNUMBER(SEARCH("$",A714)), "Money", IF(ISNUMBER(SEARCH("Win",A714)), "Challenge",IF(ISNUMBER(SEARCH("Challenge",A714)), "Challenge",IF(ISNUMBER(SEARCH("Last To Leave",A714)),"Challenge",IF(ISNUMBER(SEARCH("Giving Away", A714)),"Giveaway",IF(ISNUMBER(SEARCH("Stranded",A714)),"Survival", IF(ISNUMBER(SEARCH("Survive",A714)), "Survival", IF(ISNUMBER(SEARCH("Days",A714)),"Endurance","Other"))))))))</f>
        <v>Other</v>
      </c>
    </row>
    <row r="715" spans="1:15" x14ac:dyDescent="0.3">
      <c r="A715" t="s">
        <v>723</v>
      </c>
      <c r="B715" s="1">
        <v>44807</v>
      </c>
      <c r="C715" s="2">
        <v>272733404</v>
      </c>
      <c r="D715" s="3">
        <v>4047768</v>
      </c>
      <c r="E715" s="3">
        <v>65755</v>
      </c>
      <c r="F715">
        <f>YEAR(B715)</f>
        <v>2022</v>
      </c>
      <c r="G715" t="str">
        <f>TEXT(B715,"MMMM")</f>
        <v>September</v>
      </c>
      <c r="H715" t="str">
        <f>TEXT(B715, "DDDD")</f>
        <v>Saturday</v>
      </c>
      <c r="I715">
        <f>((D715+E715)/C715)*100</f>
        <v>1.5082578590189855</v>
      </c>
      <c r="J715">
        <f>(D715/C715)*1000</f>
        <v>14.84148234368827</v>
      </c>
      <c r="K715">
        <f>(E715/C715)*1000</f>
        <v>0.24109624650158365</v>
      </c>
      <c r="L715">
        <f>CORREL(C715:C1213, D715:D1213)</f>
        <v>0.7264073687058783</v>
      </c>
      <c r="M715">
        <f>CORREL(C715:C1213,E715:E1213)</f>
        <v>2.1487765420256925E-2</v>
      </c>
      <c r="N715">
        <f>LEN(A715)</f>
        <v>20</v>
      </c>
      <c r="O715" t="str">
        <f>IF(ISNUMBER(SEARCH("$",A715)), "Money", IF(ISNUMBER(SEARCH("Win",A715)), "Challenge",IF(ISNUMBER(SEARCH("Challenge",A715)), "Challenge",IF(ISNUMBER(SEARCH("Last To Leave",A715)),"Challenge",IF(ISNUMBER(SEARCH("Giving Away", A715)),"Giveaway",IF(ISNUMBER(SEARCH("Stranded",A715)),"Survival", IF(ISNUMBER(SEARCH("Survive",A715)), "Survival", IF(ISNUMBER(SEARCH("Days",A715)),"Endurance","Other"))))))))</f>
        <v>Other</v>
      </c>
    </row>
    <row r="716" spans="1:15" x14ac:dyDescent="0.3">
      <c r="A716" t="s">
        <v>724</v>
      </c>
      <c r="B716" s="1">
        <v>44777</v>
      </c>
      <c r="C716" s="2">
        <v>262186052</v>
      </c>
      <c r="D716" s="3">
        <v>7174090</v>
      </c>
      <c r="E716" s="3">
        <v>224596</v>
      </c>
      <c r="F716">
        <f>YEAR(B716)</f>
        <v>2022</v>
      </c>
      <c r="G716" t="str">
        <f>TEXT(B716,"MMMM")</f>
        <v>August</v>
      </c>
      <c r="H716" t="str">
        <f>TEXT(B716, "DDDD")</f>
        <v>Thursday</v>
      </c>
      <c r="I716">
        <f>((D716+E716)/C716)*100</f>
        <v>2.8219220448843707</v>
      </c>
      <c r="J716">
        <f>(D716/C716)*1000</f>
        <v>27.362592118363338</v>
      </c>
      <c r="K716">
        <f>(E716/C716)*1000</f>
        <v>0.85662833048037201</v>
      </c>
      <c r="L716">
        <f>CORREL(C716:C1214, D716:D1214)</f>
        <v>0.72634354110366151</v>
      </c>
      <c r="M716">
        <f>CORREL(C716:C1214,E716:E1214)</f>
        <v>2.1468634628373805E-2</v>
      </c>
      <c r="N716">
        <f>LEN(A716)</f>
        <v>37</v>
      </c>
      <c r="O716" t="str">
        <f>IF(ISNUMBER(SEARCH("$",A716)), "Money", IF(ISNUMBER(SEARCH("Win",A716)), "Challenge",IF(ISNUMBER(SEARCH("Challenge",A716)), "Challenge",IF(ISNUMBER(SEARCH("Last To Leave",A716)),"Challenge",IF(ISNUMBER(SEARCH("Giving Away", A716)),"Giveaway",IF(ISNUMBER(SEARCH("Stranded",A716)),"Survival", IF(ISNUMBER(SEARCH("Survive",A716)), "Survival", IF(ISNUMBER(SEARCH("Days",A716)),"Endurance","Other"))))))))</f>
        <v>Other</v>
      </c>
    </row>
    <row r="717" spans="1:15" x14ac:dyDescent="0.3">
      <c r="A717" t="s">
        <v>725</v>
      </c>
      <c r="B717" s="1">
        <v>44919</v>
      </c>
      <c r="C717" s="2">
        <v>259791034</v>
      </c>
      <c r="D717" s="3">
        <v>5869273</v>
      </c>
      <c r="E717" s="3">
        <v>143026</v>
      </c>
      <c r="F717">
        <f>YEAR(B717)</f>
        <v>2022</v>
      </c>
      <c r="G717" t="str">
        <f>TEXT(B717,"MMMM")</f>
        <v>December</v>
      </c>
      <c r="H717" t="str">
        <f>TEXT(B717, "DDDD")</f>
        <v>Saturday</v>
      </c>
      <c r="I717">
        <f>((D717+E717)/C717)*100</f>
        <v>2.3142827169316398</v>
      </c>
      <c r="J717">
        <f>(D717/C717)*1000</f>
        <v>22.59228468985577</v>
      </c>
      <c r="K717">
        <f>(E717/C717)*1000</f>
        <v>0.55054247946062684</v>
      </c>
      <c r="L717">
        <f>CORREL(C717:C1215, D717:D1215)</f>
        <v>0.7263753450018835</v>
      </c>
      <c r="M717">
        <f>CORREL(C717:C1215,E717:E1215)</f>
        <v>2.298716712765669E-2</v>
      </c>
      <c r="N717">
        <f>LEN(A717)</f>
        <v>33</v>
      </c>
      <c r="O717" t="str">
        <f>IF(ISNUMBER(SEARCH("$",A717)), "Money", IF(ISNUMBER(SEARCH("Win",A717)), "Challenge",IF(ISNUMBER(SEARCH("Challenge",A717)), "Challenge",IF(ISNUMBER(SEARCH("Last To Leave",A717)),"Challenge",IF(ISNUMBER(SEARCH("Giving Away", A717)),"Giveaway",IF(ISNUMBER(SEARCH("Stranded",A717)),"Survival", IF(ISNUMBER(SEARCH("Survive",A717)), "Survival", IF(ISNUMBER(SEARCH("Days",A717)),"Endurance","Other"))))))))</f>
        <v>Survival</v>
      </c>
    </row>
    <row r="718" spans="1:15" x14ac:dyDescent="0.3">
      <c r="A718" t="s">
        <v>726</v>
      </c>
      <c r="B718" s="1">
        <v>44877</v>
      </c>
      <c r="C718" s="2">
        <v>249317506</v>
      </c>
      <c r="D718" s="3">
        <v>4963758</v>
      </c>
      <c r="E718" s="3">
        <v>99710</v>
      </c>
      <c r="F718">
        <f>YEAR(B718)</f>
        <v>2022</v>
      </c>
      <c r="G718" t="str">
        <f>TEXT(B718,"MMMM")</f>
        <v>November</v>
      </c>
      <c r="H718" t="str">
        <f>TEXT(B718, "DDDD")</f>
        <v>Saturday</v>
      </c>
      <c r="I718">
        <f>((D718+E718)/C718)*100</f>
        <v>2.0309315945106556</v>
      </c>
      <c r="J718">
        <f>(D718/C718)*1000</f>
        <v>19.909384140879379</v>
      </c>
      <c r="K718">
        <f>(E718/C718)*1000</f>
        <v>0.39993180422717689</v>
      </c>
      <c r="L718">
        <f>CORREL(C718:C1216, D718:D1216)</f>
        <v>0.72628216563820103</v>
      </c>
      <c r="M718">
        <f>CORREL(C718:C1216,E718:E1216)</f>
        <v>2.3730124508550266E-2</v>
      </c>
      <c r="N718">
        <f>LEN(A718)</f>
        <v>36</v>
      </c>
      <c r="O718" t="str">
        <f>IF(ISNUMBER(SEARCH("$",A718)), "Money", IF(ISNUMBER(SEARCH("Win",A718)), "Challenge",IF(ISNUMBER(SEARCH("Challenge",A718)), "Challenge",IF(ISNUMBER(SEARCH("Last To Leave",A718)),"Challenge",IF(ISNUMBER(SEARCH("Giving Away", A718)),"Giveaway",IF(ISNUMBER(SEARCH("Stranded",A718)),"Survival", IF(ISNUMBER(SEARCH("Survive",A718)), "Survival", IF(ISNUMBER(SEARCH("Days",A718)),"Endurance","Other"))))))))</f>
        <v>Other</v>
      </c>
    </row>
    <row r="719" spans="1:15" x14ac:dyDescent="0.3">
      <c r="A719" t="s">
        <v>727</v>
      </c>
      <c r="B719" s="1">
        <v>44660</v>
      </c>
      <c r="C719" s="2">
        <v>248180619</v>
      </c>
      <c r="D719" s="3">
        <v>5641303</v>
      </c>
      <c r="E719" s="3">
        <v>127489</v>
      </c>
      <c r="F719">
        <f>YEAR(B719)</f>
        <v>2022</v>
      </c>
      <c r="G719" t="str">
        <f>TEXT(B719,"MMMM")</f>
        <v>April</v>
      </c>
      <c r="H719" t="str">
        <f>TEXT(B719, "DDDD")</f>
        <v>Saturday</v>
      </c>
      <c r="I719">
        <f>((D719+E719)/C719)*100</f>
        <v>2.3244329163350184</v>
      </c>
      <c r="J719">
        <f>(D719/C719)*1000</f>
        <v>22.730634739854523</v>
      </c>
      <c r="K719">
        <f>(E719/C719)*1000</f>
        <v>0.51369442349565586</v>
      </c>
      <c r="L719">
        <f>CORREL(C719:C1217, D719:D1217)</f>
        <v>0.7261269406122618</v>
      </c>
      <c r="M719">
        <f>CORREL(C719:C1217,E719:E1217)</f>
        <v>2.4086987814397484E-2</v>
      </c>
      <c r="N719">
        <f>LEN(A719)</f>
        <v>36</v>
      </c>
      <c r="O719" t="str">
        <f>IF(ISNUMBER(SEARCH("$",A719)), "Money", IF(ISNUMBER(SEARCH("Win",A719)), "Challenge",IF(ISNUMBER(SEARCH("Challenge",A719)), "Challenge",IF(ISNUMBER(SEARCH("Last To Leave",A719)),"Challenge",IF(ISNUMBER(SEARCH("Giving Away", A719)),"Giveaway",IF(ISNUMBER(SEARCH("Stranded",A719)),"Survival", IF(ISNUMBER(SEARCH("Survive",A719)), "Survival", IF(ISNUMBER(SEARCH("Days",A719)),"Endurance","Other"))))))))</f>
        <v>Money</v>
      </c>
    </row>
    <row r="720" spans="1:15" x14ac:dyDescent="0.3">
      <c r="A720" t="s">
        <v>728</v>
      </c>
      <c r="B720" s="1">
        <v>44793</v>
      </c>
      <c r="C720" s="2">
        <v>233909250</v>
      </c>
      <c r="D720" s="3">
        <v>4281465</v>
      </c>
      <c r="E720" s="3">
        <v>74037</v>
      </c>
      <c r="F720">
        <f>YEAR(B720)</f>
        <v>2022</v>
      </c>
      <c r="G720" t="str">
        <f>TEXT(B720,"MMMM")</f>
        <v>August</v>
      </c>
      <c r="H720" t="str">
        <f>TEXT(B720, "DDDD")</f>
        <v>Saturday</v>
      </c>
      <c r="I720">
        <f>((D720+E720)/C720)*100</f>
        <v>1.8620477813511009</v>
      </c>
      <c r="J720">
        <f>(D720/C720)*1000</f>
        <v>18.30395762459159</v>
      </c>
      <c r="K720">
        <f>(E720/C720)*1000</f>
        <v>0.31652018891942069</v>
      </c>
      <c r="L720">
        <f>CORREL(C720:C1218, D720:D1218)</f>
        <v>0.72600835093225347</v>
      </c>
      <c r="M720">
        <f>CORREL(C720:C1218,E720:E1218)</f>
        <v>2.4764674752257614E-2</v>
      </c>
      <c r="N720">
        <f>LEN(A720)</f>
        <v>28</v>
      </c>
      <c r="O720" t="str">
        <f>IF(ISNUMBER(SEARCH("$",A720)), "Money", IF(ISNUMBER(SEARCH("Win",A720)), "Challenge",IF(ISNUMBER(SEARCH("Challenge",A720)), "Challenge",IF(ISNUMBER(SEARCH("Last To Leave",A720)),"Challenge",IF(ISNUMBER(SEARCH("Giving Away", A720)),"Giveaway",IF(ISNUMBER(SEARCH("Stranded",A720)),"Survival", IF(ISNUMBER(SEARCH("Survive",A720)), "Survival", IF(ISNUMBER(SEARCH("Days",A720)),"Endurance","Other"))))))))</f>
        <v>Survival</v>
      </c>
    </row>
    <row r="721" spans="1:15" x14ac:dyDescent="0.3">
      <c r="A721" t="s">
        <v>729</v>
      </c>
      <c r="B721" s="1">
        <v>44639</v>
      </c>
      <c r="C721" s="2">
        <v>207180299</v>
      </c>
      <c r="D721" s="3">
        <v>4173324</v>
      </c>
      <c r="E721" s="3">
        <v>86056</v>
      </c>
      <c r="F721">
        <f>YEAR(B721)</f>
        <v>2022</v>
      </c>
      <c r="G721" t="str">
        <f>TEXT(B721,"MMMM")</f>
        <v>March</v>
      </c>
      <c r="H721" t="str">
        <f>TEXT(B721, "DDDD")</f>
        <v>Saturday</v>
      </c>
      <c r="I721">
        <f>((D721+E721)/C721)*100</f>
        <v>2.0558808055393336</v>
      </c>
      <c r="J721">
        <f>(D721/C721)*1000</f>
        <v>20.143440376056219</v>
      </c>
      <c r="K721">
        <f>(E721/C721)*1000</f>
        <v>0.41536767933711688</v>
      </c>
      <c r="L721">
        <f>CORREL(C721:C1219, D721:D1219)</f>
        <v>0.72578790436106488</v>
      </c>
      <c r="M721">
        <f>CORREL(C721:C1219,E721:E1219)</f>
        <v>2.4858761743856071E-2</v>
      </c>
      <c r="N721">
        <f>LEN(A721)</f>
        <v>40</v>
      </c>
      <c r="O721" t="str">
        <f>IF(ISNUMBER(SEARCH("$",A721)), "Money", IF(ISNUMBER(SEARCH("Win",A721)), "Challenge",IF(ISNUMBER(SEARCH("Challenge",A721)), "Challenge",IF(ISNUMBER(SEARCH("Last To Leave",A721)),"Challenge",IF(ISNUMBER(SEARCH("Giving Away", A721)),"Giveaway",IF(ISNUMBER(SEARCH("Stranded",A721)),"Survival", IF(ISNUMBER(SEARCH("Survive",A721)), "Survival", IF(ISNUMBER(SEARCH("Days",A721)),"Endurance","Other"))))))))</f>
        <v>Money</v>
      </c>
    </row>
    <row r="722" spans="1:15" x14ac:dyDescent="0.3">
      <c r="A722" t="s">
        <v>730</v>
      </c>
      <c r="B722" s="1">
        <v>44744</v>
      </c>
      <c r="C722" s="2">
        <v>132482996</v>
      </c>
      <c r="D722" s="3">
        <v>4377433</v>
      </c>
      <c r="E722" s="3">
        <v>106770</v>
      </c>
      <c r="F722">
        <f>YEAR(B722)</f>
        <v>2022</v>
      </c>
      <c r="G722" t="str">
        <f>TEXT(B722,"MMMM")</f>
        <v>July</v>
      </c>
      <c r="H722" t="str">
        <f>TEXT(B722, "DDDD")</f>
        <v>Saturday</v>
      </c>
      <c r="I722">
        <f>((D722+E722)/C722)*100</f>
        <v>3.3847385214627845</v>
      </c>
      <c r="J722">
        <f>(D722/C722)*1000</f>
        <v>33.04147046916119</v>
      </c>
      <c r="K722">
        <f>(E722/C722)*1000</f>
        <v>0.80591474546665598</v>
      </c>
      <c r="L722">
        <f>CORREL(C722:C1220, D722:D1220)</f>
        <v>0.72549567833997486</v>
      </c>
      <c r="M722">
        <f>CORREL(C722:C1220,E722:E1220)</f>
        <v>2.5169106372109819E-2</v>
      </c>
      <c r="N722">
        <f>LEN(A722)</f>
        <v>31</v>
      </c>
      <c r="O722" t="str">
        <f>IF(ISNUMBER(SEARCH("$",A722)), "Money", IF(ISNUMBER(SEARCH("Win",A722)), "Challenge",IF(ISNUMBER(SEARCH("Challenge",A722)), "Challenge",IF(ISNUMBER(SEARCH("Last To Leave",A722)),"Challenge",IF(ISNUMBER(SEARCH("Giving Away", A722)),"Giveaway",IF(ISNUMBER(SEARCH("Stranded",A722)),"Survival", IF(ISNUMBER(SEARCH("Survive",A722)), "Survival", IF(ISNUMBER(SEARCH("Days",A722)),"Endurance","Other"))))))))</f>
        <v>Endurance</v>
      </c>
    </row>
    <row r="723" spans="1:15" x14ac:dyDescent="0.3">
      <c r="A723" t="s">
        <v>731</v>
      </c>
      <c r="B723" s="1">
        <v>45188</v>
      </c>
      <c r="C723" s="2">
        <v>1329975358</v>
      </c>
      <c r="D723" s="3">
        <v>30090152</v>
      </c>
      <c r="E723" s="3">
        <v>43200</v>
      </c>
      <c r="F723">
        <f>YEAR(B723)</f>
        <v>2023</v>
      </c>
      <c r="G723" t="str">
        <f>TEXT(B723,"MMMM")</f>
        <v>September</v>
      </c>
      <c r="H723" t="str">
        <f>TEXT(B723, "DDDD")</f>
        <v>Tuesday</v>
      </c>
      <c r="I723">
        <f>((D723+E723)/C723)*100</f>
        <v>2.2657075425302731</v>
      </c>
      <c r="J723">
        <f>(D723/C723)*1000</f>
        <v>22.624593620478191</v>
      </c>
      <c r="K723">
        <f>(E723/C723)*1000</f>
        <v>3.2481804824537205E-2</v>
      </c>
      <c r="L723">
        <f>CORREL(C723:C1221, D723:D1221)</f>
        <v>0.72521923496530682</v>
      </c>
      <c r="M723">
        <f>CORREL(C723:C1221,E723:E1221)</f>
        <v>2.6167410423744757E-2</v>
      </c>
      <c r="N723">
        <f>LEN(A723)</f>
        <v>22</v>
      </c>
      <c r="O723" t="str">
        <f>IF(ISNUMBER(SEARCH("$",A723)), "Money", IF(ISNUMBER(SEARCH("Win",A723)), "Challenge",IF(ISNUMBER(SEARCH("Challenge",A723)), "Challenge",IF(ISNUMBER(SEARCH("Last To Leave",A723)),"Challenge",IF(ISNUMBER(SEARCH("Giving Away", A723)),"Giveaway",IF(ISNUMBER(SEARCH("Stranded",A723)),"Survival", IF(ISNUMBER(SEARCH("Survive",A723)), "Survival", IF(ISNUMBER(SEARCH("Days",A723)),"Endurance","Other"))))))))</f>
        <v>Money</v>
      </c>
    </row>
    <row r="724" spans="1:15" x14ac:dyDescent="0.3">
      <c r="A724" t="s">
        <v>732</v>
      </c>
      <c r="B724" s="1">
        <v>45176</v>
      </c>
      <c r="C724" s="2">
        <v>1181331718</v>
      </c>
      <c r="D724" s="3">
        <v>38453146</v>
      </c>
      <c r="E724" s="3">
        <v>54356</v>
      </c>
      <c r="F724">
        <f>YEAR(B724)</f>
        <v>2023</v>
      </c>
      <c r="G724" t="str">
        <f>TEXT(B724,"MMMM")</f>
        <v>September</v>
      </c>
      <c r="H724" t="str">
        <f>TEXT(B724, "DDDD")</f>
        <v>Thursday</v>
      </c>
      <c r="I724">
        <f>((D724+E724)/C724)*100</f>
        <v>3.2596688477300328</v>
      </c>
      <c r="J724">
        <f>(D724/C724)*1000</f>
        <v>32.550675999033828</v>
      </c>
      <c r="K724">
        <f>(E724/C724)*1000</f>
        <v>4.6012478266498215E-2</v>
      </c>
      <c r="L724">
        <f>CORREL(C724:C1222, D724:D1222)</f>
        <v>0.713346757113555</v>
      </c>
      <c r="M724">
        <f>CORREL(C724:C1222,E724:E1222)</f>
        <v>2.9644849951721172E-2</v>
      </c>
      <c r="N724">
        <f>LEN(A724)</f>
        <v>16</v>
      </c>
      <c r="O724" t="str">
        <f>IF(ISNUMBER(SEARCH("$",A724)), "Money", IF(ISNUMBER(SEARCH("Win",A724)), "Challenge",IF(ISNUMBER(SEARCH("Challenge",A724)), "Challenge",IF(ISNUMBER(SEARCH("Last To Leave",A724)),"Challenge",IF(ISNUMBER(SEARCH("Giving Away", A724)),"Giveaway",IF(ISNUMBER(SEARCH("Stranded",A724)),"Survival", IF(ISNUMBER(SEARCH("Survive",A724)), "Survival", IF(ISNUMBER(SEARCH("Days",A724)),"Endurance","Other"))))))))</f>
        <v>Other</v>
      </c>
    </row>
    <row r="725" spans="1:15" x14ac:dyDescent="0.3">
      <c r="A725" t="s">
        <v>733</v>
      </c>
      <c r="B725" s="1">
        <v>45202</v>
      </c>
      <c r="C725" s="2">
        <v>1038267971</v>
      </c>
      <c r="D725" s="3">
        <v>26425972</v>
      </c>
      <c r="E725" s="3">
        <v>24152</v>
      </c>
      <c r="F725">
        <f>YEAR(B725)</f>
        <v>2023</v>
      </c>
      <c r="G725" t="str">
        <f>TEXT(B725,"MMMM")</f>
        <v>October</v>
      </c>
      <c r="H725" t="str">
        <f>TEXT(B725, "DDDD")</f>
        <v>Tuesday</v>
      </c>
      <c r="I725">
        <f>((D725+E725)/C725)*100</f>
        <v>2.5475238318798143</v>
      </c>
      <c r="J725">
        <f>(D725/C725)*1000</f>
        <v>25.451976501353521</v>
      </c>
      <c r="K725">
        <f>(E725/C725)*1000</f>
        <v>2.3261817444621913E-2</v>
      </c>
      <c r="L725">
        <f>CORREL(C725:C1223, D725:D1223)</f>
        <v>0.69830090661497501</v>
      </c>
      <c r="M725">
        <f>CORREL(C725:C1223,E725:E1223)</f>
        <v>3.1564007915486046E-2</v>
      </c>
      <c r="N725">
        <f>LEN(A725)</f>
        <v>23</v>
      </c>
      <c r="O725" t="str">
        <f>IF(ISNUMBER(SEARCH("$",A725)), "Money", IF(ISNUMBER(SEARCH("Win",A725)), "Challenge",IF(ISNUMBER(SEARCH("Challenge",A725)), "Challenge",IF(ISNUMBER(SEARCH("Last To Leave",A725)),"Challenge",IF(ISNUMBER(SEARCH("Giving Away", A725)),"Giveaway",IF(ISNUMBER(SEARCH("Stranded",A725)),"Survival", IF(ISNUMBER(SEARCH("Survive",A725)), "Survival", IF(ISNUMBER(SEARCH("Days",A725)),"Endurance","Other"))))))))</f>
        <v>Other</v>
      </c>
    </row>
    <row r="726" spans="1:15" x14ac:dyDescent="0.3">
      <c r="A726" t="s">
        <v>734</v>
      </c>
      <c r="B726" s="1">
        <v>45047</v>
      </c>
      <c r="C726" s="2">
        <v>991961264</v>
      </c>
      <c r="D726" s="3">
        <v>29376509</v>
      </c>
      <c r="E726" s="3">
        <v>38613</v>
      </c>
      <c r="F726">
        <f>YEAR(B726)</f>
        <v>2023</v>
      </c>
      <c r="G726" t="str">
        <f>TEXT(B726,"MMMM")</f>
        <v>May</v>
      </c>
      <c r="H726" t="str">
        <f>TEXT(B726, "DDDD")</f>
        <v>Monday</v>
      </c>
      <c r="I726">
        <f>((D726+E726)/C726)*100</f>
        <v>2.9653498647100398</v>
      </c>
      <c r="J726">
        <f>(D726/C726)*1000</f>
        <v>29.614572731944904</v>
      </c>
      <c r="K726">
        <f>(E726/C726)*1000</f>
        <v>3.8925915155493408E-2</v>
      </c>
      <c r="L726">
        <f>CORREL(C726:C1224, D726:D1224)</f>
        <v>0.68921654797720733</v>
      </c>
      <c r="M726">
        <f>CORREL(C726:C1224,E726:E1224)</f>
        <v>3.5689591562312405E-2</v>
      </c>
      <c r="N726">
        <f>LEN(A726)</f>
        <v>34</v>
      </c>
      <c r="O726" t="str">
        <f>IF(ISNUMBER(SEARCH("$",A726)), "Money", IF(ISNUMBER(SEARCH("Win",A726)), "Challenge",IF(ISNUMBER(SEARCH("Challenge",A726)), "Challenge",IF(ISNUMBER(SEARCH("Last To Leave",A726)),"Challenge",IF(ISNUMBER(SEARCH("Giving Away", A726)),"Giveaway",IF(ISNUMBER(SEARCH("Stranded",A726)),"Survival", IF(ISNUMBER(SEARCH("Survive",A726)), "Survival", IF(ISNUMBER(SEARCH("Days",A726)),"Endurance","Other"))))))))</f>
        <v>Other</v>
      </c>
    </row>
    <row r="727" spans="1:15" x14ac:dyDescent="0.3">
      <c r="A727" t="s">
        <v>735</v>
      </c>
      <c r="B727" s="1">
        <v>45038</v>
      </c>
      <c r="C727" s="2">
        <v>775049947</v>
      </c>
      <c r="D727" s="3">
        <v>30632956</v>
      </c>
      <c r="E727" s="3">
        <v>73806</v>
      </c>
      <c r="F727">
        <f>YEAR(B727)</f>
        <v>2023</v>
      </c>
      <c r="G727" t="str">
        <f>TEXT(B727,"MMMM")</f>
        <v>April</v>
      </c>
      <c r="H727" t="str">
        <f>TEXT(B727, "DDDD")</f>
        <v>Saturday</v>
      </c>
      <c r="I727">
        <f>((D727+E727)/C727)*100</f>
        <v>3.9619075027173696</v>
      </c>
      <c r="J727">
        <f>(D727/C727)*1000</f>
        <v>39.523847615978227</v>
      </c>
      <c r="K727">
        <f>(E727/C727)*1000</f>
        <v>9.5227411195474856E-2</v>
      </c>
      <c r="L727">
        <f>CORREL(C727:C1225, D727:D1225)</f>
        <v>0.67903305186802521</v>
      </c>
      <c r="M727">
        <f>CORREL(C727:C1225,E727:E1225)</f>
        <v>3.8498898267201542E-2</v>
      </c>
      <c r="N727">
        <f>LEN(A727)</f>
        <v>24</v>
      </c>
      <c r="O727" t="str">
        <f>IF(ISNUMBER(SEARCH("$",A727)), "Money", IF(ISNUMBER(SEARCH("Win",A727)), "Challenge",IF(ISNUMBER(SEARCH("Challenge",A727)), "Challenge",IF(ISNUMBER(SEARCH("Last To Leave",A727)),"Challenge",IF(ISNUMBER(SEARCH("Giving Away", A727)),"Giveaway",IF(ISNUMBER(SEARCH("Stranded",A727)),"Survival", IF(ISNUMBER(SEARCH("Survive",A727)), "Survival", IF(ISNUMBER(SEARCH("Days",A727)),"Endurance","Other"))))))))</f>
        <v>Other</v>
      </c>
    </row>
    <row r="728" spans="1:15" x14ac:dyDescent="0.3">
      <c r="A728" t="s">
        <v>736</v>
      </c>
      <c r="B728" s="1">
        <v>45197</v>
      </c>
      <c r="C728" s="2">
        <v>770479116</v>
      </c>
      <c r="D728" s="3">
        <v>22087704</v>
      </c>
      <c r="E728" s="3">
        <v>32117</v>
      </c>
      <c r="F728">
        <f>YEAR(B728)</f>
        <v>2023</v>
      </c>
      <c r="G728" t="str">
        <f>TEXT(B728,"MMMM")</f>
        <v>September</v>
      </c>
      <c r="H728" t="str">
        <f>TEXT(B728, "DDDD")</f>
        <v>Thursday</v>
      </c>
      <c r="I728">
        <f>((D728+E728)/C728)*100</f>
        <v>2.8709176589803898</v>
      </c>
      <c r="J728">
        <f>(D728/C728)*1000</f>
        <v>28.667492137450743</v>
      </c>
      <c r="K728">
        <f>(E728/C728)*1000</f>
        <v>4.168445235315113E-2</v>
      </c>
      <c r="L728">
        <f>CORREL(C728:C1226, D728:D1226)</f>
        <v>0.67471205402879164</v>
      </c>
      <c r="M728">
        <f>CORREL(C728:C1226,E728:E1226)</f>
        <v>3.8405837070761513E-2</v>
      </c>
      <c r="N728">
        <f>LEN(A728)</f>
        <v>34</v>
      </c>
      <c r="O728" t="str">
        <f>IF(ISNUMBER(SEARCH("$",A728)), "Money", IF(ISNUMBER(SEARCH("Win",A728)), "Challenge",IF(ISNUMBER(SEARCH("Challenge",A728)), "Challenge",IF(ISNUMBER(SEARCH("Last To Leave",A728)),"Challenge",IF(ISNUMBER(SEARCH("Giving Away", A728)),"Giveaway",IF(ISNUMBER(SEARCH("Stranded",A728)),"Survival", IF(ISNUMBER(SEARCH("Survive",A728)), "Survival", IF(ISNUMBER(SEARCH("Days",A728)),"Endurance","Other"))))))))</f>
        <v>Money</v>
      </c>
    </row>
    <row r="729" spans="1:15" x14ac:dyDescent="0.3">
      <c r="A729" t="s">
        <v>737</v>
      </c>
      <c r="B729" s="1">
        <v>44996</v>
      </c>
      <c r="C729" s="2">
        <v>761620739</v>
      </c>
      <c r="D729" s="3">
        <v>14429211</v>
      </c>
      <c r="E729" s="3">
        <v>20201</v>
      </c>
      <c r="F729">
        <f>YEAR(B729)</f>
        <v>2023</v>
      </c>
      <c r="G729" t="str">
        <f>TEXT(B729,"MMMM")</f>
        <v>March</v>
      </c>
      <c r="H729" t="str">
        <f>TEXT(B729, "DDDD")</f>
        <v>Saturday</v>
      </c>
      <c r="I729">
        <f>((D729+E729)/C729)*100</f>
        <v>1.8971925605613005</v>
      </c>
      <c r="J729">
        <f>(D729/C729)*1000</f>
        <v>18.94540190560646</v>
      </c>
      <c r="K729">
        <f>(E729/C729)*1000</f>
        <v>2.6523700006546171E-2</v>
      </c>
      <c r="L729">
        <f>CORREL(C729:C1227, D729:D1227)</f>
        <v>0.66975526567825883</v>
      </c>
      <c r="M729">
        <f>CORREL(C729:C1227,E729:E1227)</f>
        <v>4.0573590879699611E-2</v>
      </c>
      <c r="N729">
        <f>LEN(A729)</f>
        <v>26</v>
      </c>
      <c r="O729" t="str">
        <f>IF(ISNUMBER(SEARCH("$",A729)), "Money", IF(ISNUMBER(SEARCH("Win",A729)), "Challenge",IF(ISNUMBER(SEARCH("Challenge",A729)), "Challenge",IF(ISNUMBER(SEARCH("Last To Leave",A729)),"Challenge",IF(ISNUMBER(SEARCH("Giving Away", A729)),"Giveaway",IF(ISNUMBER(SEARCH("Stranded",A729)),"Survival", IF(ISNUMBER(SEARCH("Survive",A729)), "Survival", IF(ISNUMBER(SEARCH("Days",A729)),"Endurance","Other"))))))))</f>
        <v>Money</v>
      </c>
    </row>
    <row r="730" spans="1:15" x14ac:dyDescent="0.3">
      <c r="A730" t="s">
        <v>738</v>
      </c>
      <c r="B730" s="1">
        <v>45122</v>
      </c>
      <c r="C730" s="2">
        <v>758607878</v>
      </c>
      <c r="D730" s="3">
        <v>27586644</v>
      </c>
      <c r="E730" s="3">
        <v>43992</v>
      </c>
      <c r="F730">
        <f>YEAR(B730)</f>
        <v>2023</v>
      </c>
      <c r="G730" t="str">
        <f>TEXT(B730,"MMMM")</f>
        <v>July</v>
      </c>
      <c r="H730" t="str">
        <f>TEXT(B730, "DDDD")</f>
        <v>Saturday</v>
      </c>
      <c r="I730">
        <f>((D730+E730)/C730)*100</f>
        <v>3.6422817111846548</v>
      </c>
      <c r="J730">
        <f>(D730/C730)*1000</f>
        <v>36.364826677953374</v>
      </c>
      <c r="K730">
        <f>(E730/C730)*1000</f>
        <v>5.7990433893173994E-2</v>
      </c>
      <c r="L730">
        <f>CORREL(C730:C1228, D730:D1228)</f>
        <v>0.66794629819513784</v>
      </c>
      <c r="M730">
        <f>CORREL(C730:C1228,E730:E1228)</f>
        <v>4.338193934121732E-2</v>
      </c>
      <c r="N730">
        <f>LEN(A730)</f>
        <v>30</v>
      </c>
      <c r="O730" t="str">
        <f>IF(ISNUMBER(SEARCH("$",A730)), "Money", IF(ISNUMBER(SEARCH("Win",A730)), "Challenge",IF(ISNUMBER(SEARCH("Challenge",A730)), "Challenge",IF(ISNUMBER(SEARCH("Last To Leave",A730)),"Challenge",IF(ISNUMBER(SEARCH("Giving Away", A730)),"Giveaway",IF(ISNUMBER(SEARCH("Stranded",A730)),"Survival", IF(ISNUMBER(SEARCH("Survive",A730)), "Survival", IF(ISNUMBER(SEARCH("Days",A730)),"Endurance","Other"))))))))</f>
        <v>Other</v>
      </c>
    </row>
    <row r="731" spans="1:15" x14ac:dyDescent="0.3">
      <c r="A731" t="s">
        <v>739</v>
      </c>
      <c r="B731" s="1">
        <v>45015</v>
      </c>
      <c r="C731" s="2">
        <v>745892791</v>
      </c>
      <c r="D731" s="3">
        <v>30271166</v>
      </c>
      <c r="E731" s="3">
        <v>81586</v>
      </c>
      <c r="F731">
        <f>YEAR(B731)</f>
        <v>2023</v>
      </c>
      <c r="G731" t="str">
        <f>TEXT(B731,"MMMM")</f>
        <v>March</v>
      </c>
      <c r="H731" t="str">
        <f>TEXT(B731, "DDDD")</f>
        <v>Thursday</v>
      </c>
      <c r="I731">
        <f>((D731+E731)/C731)*100</f>
        <v>4.0693183211097699</v>
      </c>
      <c r="J731">
        <f>(D731/C731)*1000</f>
        <v>40.583802880593872</v>
      </c>
      <c r="K731">
        <f>(E731/C731)*1000</f>
        <v>0.10938033050382438</v>
      </c>
      <c r="L731">
        <f>CORREL(C731:C1229, D731:D1229)</f>
        <v>0.66288281816348604</v>
      </c>
      <c r="M731">
        <f>CORREL(C731:C1229,E731:E1229)</f>
        <v>4.4940701006355104E-2</v>
      </c>
      <c r="N731">
        <f>LEN(A731)</f>
        <v>33</v>
      </c>
      <c r="O731" t="str">
        <f>IF(ISNUMBER(SEARCH("$",A731)), "Money", IF(ISNUMBER(SEARCH("Win",A731)), "Challenge",IF(ISNUMBER(SEARCH("Challenge",A731)), "Challenge",IF(ISNUMBER(SEARCH("Last To Leave",A731)),"Challenge",IF(ISNUMBER(SEARCH("Giving Away", A731)),"Giveaway",IF(ISNUMBER(SEARCH("Stranded",A731)),"Survival", IF(ISNUMBER(SEARCH("Survive",A731)), "Survival", IF(ISNUMBER(SEARCH("Days",A731)),"Endurance","Other"))))))))</f>
        <v>Other</v>
      </c>
    </row>
    <row r="732" spans="1:15" x14ac:dyDescent="0.3">
      <c r="A732" t="s">
        <v>740</v>
      </c>
      <c r="B732" s="1">
        <v>45232</v>
      </c>
      <c r="C732" s="2">
        <v>738096987</v>
      </c>
      <c r="D732" s="3">
        <v>22393089</v>
      </c>
      <c r="E732" s="3">
        <v>41164</v>
      </c>
      <c r="F732">
        <f>YEAR(B732)</f>
        <v>2023</v>
      </c>
      <c r="G732" t="str">
        <f>TEXT(B732,"MMMM")</f>
        <v>November</v>
      </c>
      <c r="H732" t="str">
        <f>TEXT(B732, "DDDD")</f>
        <v>Thursday</v>
      </c>
      <c r="I732">
        <f>((D732+E732)/C732)*100</f>
        <v>3.0394722367292362</v>
      </c>
      <c r="J732">
        <f>(D732/C732)*1000</f>
        <v>30.338951918794379</v>
      </c>
      <c r="K732">
        <f>(E732/C732)*1000</f>
        <v>5.5770448497983099E-2</v>
      </c>
      <c r="L732">
        <f>CORREL(C732:C1230, D732:D1230)</f>
        <v>0.65893822703784222</v>
      </c>
      <c r="M732">
        <f>CORREL(C732:C1230,E732:E1230)</f>
        <v>4.4493917883179246E-2</v>
      </c>
      <c r="N732">
        <f>LEN(A732)</f>
        <v>34</v>
      </c>
      <c r="O732" t="str">
        <f>IF(ISNUMBER(SEARCH("$",A732)), "Money", IF(ISNUMBER(SEARCH("Win",A732)), "Challenge",IF(ISNUMBER(SEARCH("Challenge",A732)), "Challenge",IF(ISNUMBER(SEARCH("Last To Leave",A732)),"Challenge",IF(ISNUMBER(SEARCH("Giving Away", A732)),"Giveaway",IF(ISNUMBER(SEARCH("Stranded",A732)),"Survival", IF(ISNUMBER(SEARCH("Survive",A732)), "Survival", IF(ISNUMBER(SEARCH("Days",A732)),"Endurance","Other"))))))))</f>
        <v>Money</v>
      </c>
    </row>
    <row r="733" spans="1:15" x14ac:dyDescent="0.3">
      <c r="A733" t="s">
        <v>741</v>
      </c>
      <c r="B733" s="1">
        <v>45211</v>
      </c>
      <c r="C733" s="2">
        <v>724271269</v>
      </c>
      <c r="D733" s="3">
        <v>27136649</v>
      </c>
      <c r="E733" s="3">
        <v>36788</v>
      </c>
      <c r="F733">
        <f>YEAR(B733)</f>
        <v>2023</v>
      </c>
      <c r="G733" t="str">
        <f>TEXT(B733,"MMMM")</f>
        <v>October</v>
      </c>
      <c r="H733" t="str">
        <f>TEXT(B733, "DDDD")</f>
        <v>Thursday</v>
      </c>
      <c r="I733">
        <f>((D733+E733)/C733)*100</f>
        <v>3.7518314149777492</v>
      </c>
      <c r="J733">
        <f>(D733/C733)*1000</f>
        <v>37.467521026296573</v>
      </c>
      <c r="K733">
        <f>(E733/C733)*1000</f>
        <v>5.0793123480920514E-2</v>
      </c>
      <c r="L733">
        <f>CORREL(C733:C1231, D733:D1231)</f>
        <v>0.65380578754274554</v>
      </c>
      <c r="M733">
        <f>CORREL(C733:C1231,E733:E1231)</f>
        <v>4.6157941474202789E-2</v>
      </c>
      <c r="N733">
        <f>LEN(A733)</f>
        <v>38</v>
      </c>
      <c r="O733" t="str">
        <f>IF(ISNUMBER(SEARCH("$",A733)), "Money", IF(ISNUMBER(SEARCH("Win",A733)), "Challenge",IF(ISNUMBER(SEARCH("Challenge",A733)), "Challenge",IF(ISNUMBER(SEARCH("Last To Leave",A733)),"Challenge",IF(ISNUMBER(SEARCH("Giving Away", A733)),"Giveaway",IF(ISNUMBER(SEARCH("Stranded",A733)),"Survival", IF(ISNUMBER(SEARCH("Survive",A733)), "Survival", IF(ISNUMBER(SEARCH("Days",A733)),"Endurance","Other"))))))))</f>
        <v>Other</v>
      </c>
    </row>
    <row r="734" spans="1:15" x14ac:dyDescent="0.3">
      <c r="A734" t="s">
        <v>742</v>
      </c>
      <c r="B734" s="1">
        <v>45274</v>
      </c>
      <c r="C734" s="2">
        <v>633026108</v>
      </c>
      <c r="D734" s="3">
        <v>16095881</v>
      </c>
      <c r="E734" s="3">
        <v>32298</v>
      </c>
      <c r="F734">
        <f>YEAR(B734)</f>
        <v>2023</v>
      </c>
      <c r="G734" t="str">
        <f>TEXT(B734,"MMMM")</f>
        <v>December</v>
      </c>
      <c r="H734" t="str">
        <f>TEXT(B734, "DDDD")</f>
        <v>Thursday</v>
      </c>
      <c r="I734">
        <f>((D734+E734)/C734)*100</f>
        <v>2.5477904933424957</v>
      </c>
      <c r="J734">
        <f>(D734/C734)*1000</f>
        <v>25.426883341121215</v>
      </c>
      <c r="K734">
        <f>(E734/C734)*1000</f>
        <v>5.1021592303741127E-2</v>
      </c>
      <c r="L734">
        <f>CORREL(C734:C1232, D734:D1232)</f>
        <v>0.6493457210079796</v>
      </c>
      <c r="M734">
        <f>CORREL(C734:C1232,E734:E1232)</f>
        <v>4.8015073846944256E-2</v>
      </c>
      <c r="N734">
        <f>LEN(A734)</f>
        <v>33</v>
      </c>
      <c r="O734" t="str">
        <f>IF(ISNUMBER(SEARCH("$",A734)), "Money", IF(ISNUMBER(SEARCH("Win",A734)), "Challenge",IF(ISNUMBER(SEARCH("Challenge",A734)), "Challenge",IF(ISNUMBER(SEARCH("Last To Leave",A734)),"Challenge",IF(ISNUMBER(SEARCH("Giving Away", A734)),"Giveaway",IF(ISNUMBER(SEARCH("Stranded",A734)),"Survival", IF(ISNUMBER(SEARCH("Survive",A734)), "Survival", IF(ISNUMBER(SEARCH("Days",A734)),"Endurance","Other"))))))))</f>
        <v>Money</v>
      </c>
    </row>
    <row r="735" spans="1:15" x14ac:dyDescent="0.3">
      <c r="A735" t="s">
        <v>743</v>
      </c>
      <c r="B735" s="1">
        <v>44971</v>
      </c>
      <c r="C735" s="2">
        <v>612882497</v>
      </c>
      <c r="D735" s="3">
        <v>22148024</v>
      </c>
      <c r="E735" s="3">
        <v>30322</v>
      </c>
      <c r="F735">
        <f>YEAR(B735)</f>
        <v>2023</v>
      </c>
      <c r="G735" t="str">
        <f>TEXT(B735,"MMMM")</f>
        <v>February</v>
      </c>
      <c r="H735" t="str">
        <f>TEXT(B735, "DDDD")</f>
        <v>Tuesday</v>
      </c>
      <c r="I735">
        <f>((D735+E735)/C735)*100</f>
        <v>3.6186946288335595</v>
      </c>
      <c r="J735">
        <f>(D735/C735)*1000</f>
        <v>36.13747187823509</v>
      </c>
      <c r="K735">
        <f>(E735/C735)*1000</f>
        <v>4.9474410100505774E-2</v>
      </c>
      <c r="L735">
        <f>CORREL(C735:C1233, D735:D1233)</f>
        <v>0.64664228998986573</v>
      </c>
      <c r="M735">
        <f>CORREL(C735:C1233,E735:E1233)</f>
        <v>4.9605928589740431E-2</v>
      </c>
      <c r="N735">
        <f>LEN(A735)</f>
        <v>30</v>
      </c>
      <c r="O735" t="str">
        <f>IF(ISNUMBER(SEARCH("$",A735)), "Money", IF(ISNUMBER(SEARCH("Win",A735)), "Challenge",IF(ISNUMBER(SEARCH("Challenge",A735)), "Challenge",IF(ISNUMBER(SEARCH("Last To Leave",A735)),"Challenge",IF(ISNUMBER(SEARCH("Giving Away", A735)),"Giveaway",IF(ISNUMBER(SEARCH("Stranded",A735)),"Survival", IF(ISNUMBER(SEARCH("Survive",A735)), "Survival", IF(ISNUMBER(SEARCH("Days",A735)),"Endurance","Other"))))))))</f>
        <v>Other</v>
      </c>
    </row>
    <row r="736" spans="1:15" x14ac:dyDescent="0.3">
      <c r="A736" t="s">
        <v>744</v>
      </c>
      <c r="B736" s="1">
        <v>45155</v>
      </c>
      <c r="C736" s="2">
        <v>600816252</v>
      </c>
      <c r="D736" s="3">
        <v>21408214</v>
      </c>
      <c r="E736" s="3">
        <v>40536</v>
      </c>
      <c r="F736">
        <f>YEAR(B736)</f>
        <v>2023</v>
      </c>
      <c r="G736" t="str">
        <f>TEXT(B736,"MMMM")</f>
        <v>August</v>
      </c>
      <c r="H736" t="str">
        <f>TEXT(B736, "DDDD")</f>
        <v>Thursday</v>
      </c>
      <c r="I736">
        <f>((D736+E736)/C736)*100</f>
        <v>3.569935055618302</v>
      </c>
      <c r="J736">
        <f>(D736/C736)*1000</f>
        <v>35.631882341291927</v>
      </c>
      <c r="K736">
        <f>(E736/C736)*1000</f>
        <v>6.7468214891097847E-2</v>
      </c>
      <c r="L736">
        <f>CORREL(C736:C1234, D736:D1234)</f>
        <v>0.64432968311401506</v>
      </c>
      <c r="M736">
        <f>CORREL(C736:C1234,E736:E1234)</f>
        <v>5.1180303903042547E-2</v>
      </c>
      <c r="N736">
        <f>LEN(A736)</f>
        <v>37</v>
      </c>
      <c r="O736" t="str">
        <f>IF(ISNUMBER(SEARCH("$",A736)), "Money", IF(ISNUMBER(SEARCH("Win",A736)), "Challenge",IF(ISNUMBER(SEARCH("Challenge",A736)), "Challenge",IF(ISNUMBER(SEARCH("Last To Leave",A736)),"Challenge",IF(ISNUMBER(SEARCH("Giving Away", A736)),"Giveaway",IF(ISNUMBER(SEARCH("Stranded",A736)),"Survival", IF(ISNUMBER(SEARCH("Survive",A736)), "Survival", IF(ISNUMBER(SEARCH("Days",A736)),"Endurance","Other"))))))))</f>
        <v>Other</v>
      </c>
    </row>
    <row r="737" spans="1:15" x14ac:dyDescent="0.3">
      <c r="A737" t="s">
        <v>745</v>
      </c>
      <c r="B737" s="1">
        <v>45031</v>
      </c>
      <c r="C737" s="2">
        <v>596738610</v>
      </c>
      <c r="D737" s="3">
        <v>24373873</v>
      </c>
      <c r="E737" s="3">
        <v>29871</v>
      </c>
      <c r="F737">
        <f>YEAR(B737)</f>
        <v>2023</v>
      </c>
      <c r="G737" t="str">
        <f>TEXT(B737,"MMMM")</f>
        <v>April</v>
      </c>
      <c r="H737" t="str">
        <f>TEXT(B737, "DDDD")</f>
        <v>Saturday</v>
      </c>
      <c r="I737">
        <f>((D737+E737)/C737)*100</f>
        <v>4.0895198653226075</v>
      </c>
      <c r="J737">
        <f>(D737/C737)*1000</f>
        <v>40.845141560389393</v>
      </c>
      <c r="K737">
        <f>(E737/C737)*1000</f>
        <v>5.005709283667769E-2</v>
      </c>
      <c r="L737">
        <f>CORREL(C737:C1235, D737:D1235)</f>
        <v>0.64214756262797734</v>
      </c>
      <c r="M737">
        <f>CORREL(C737:C1235,E737:E1235)</f>
        <v>5.2333165411282932E-2</v>
      </c>
      <c r="N737">
        <f>LEN(A737)</f>
        <v>38</v>
      </c>
      <c r="O737" t="str">
        <f>IF(ISNUMBER(SEARCH("$",A737)), "Money", IF(ISNUMBER(SEARCH("Win",A737)), "Challenge",IF(ISNUMBER(SEARCH("Challenge",A737)), "Challenge",IF(ISNUMBER(SEARCH("Last To Leave",A737)),"Challenge",IF(ISNUMBER(SEARCH("Giving Away", A737)),"Giveaway",IF(ISNUMBER(SEARCH("Stranded",A737)),"Survival", IF(ISNUMBER(SEARCH("Survive",A737)), "Survival", IF(ISNUMBER(SEARCH("Days",A737)),"Endurance","Other"))))))))</f>
        <v>Other</v>
      </c>
    </row>
    <row r="738" spans="1:15" x14ac:dyDescent="0.3">
      <c r="A738" t="s">
        <v>746</v>
      </c>
      <c r="B738" s="1">
        <v>45204</v>
      </c>
      <c r="C738" s="2">
        <v>591984955</v>
      </c>
      <c r="D738" s="3">
        <v>31173271</v>
      </c>
      <c r="E738" s="3">
        <v>84571</v>
      </c>
      <c r="F738">
        <f>YEAR(B738)</f>
        <v>2023</v>
      </c>
      <c r="G738" t="str">
        <f>TEXT(B738,"MMMM")</f>
        <v>October</v>
      </c>
      <c r="H738" t="str">
        <f>TEXT(B738, "DDDD")</f>
        <v>Thursday</v>
      </c>
      <c r="I738">
        <f>((D738+E738)/C738)*100</f>
        <v>5.2801750679626647</v>
      </c>
      <c r="J738">
        <f>(D738/C738)*1000</f>
        <v>52.658890630083668</v>
      </c>
      <c r="K738">
        <f>(E738/C738)*1000</f>
        <v>0.14286004954298204</v>
      </c>
      <c r="L738">
        <f>CORREL(C738:C1236, D738:D1236)</f>
        <v>0.64122405216100786</v>
      </c>
      <c r="M738">
        <f>CORREL(C738:C1236,E738:E1236)</f>
        <v>5.3868925180109342E-2</v>
      </c>
      <c r="N738">
        <f>LEN(A738)</f>
        <v>54</v>
      </c>
      <c r="O738" t="str">
        <f>IF(ISNUMBER(SEARCH("$",A738)), "Money", IF(ISNUMBER(SEARCH("Win",A738)), "Challenge",IF(ISNUMBER(SEARCH("Challenge",A738)), "Challenge",IF(ISNUMBER(SEARCH("Last To Leave",A738)),"Challenge",IF(ISNUMBER(SEARCH("Giving Away", A738)),"Giveaway",IF(ISNUMBER(SEARCH("Stranded",A738)),"Survival", IF(ISNUMBER(SEARCH("Survive",A738)), "Survival", IF(ISNUMBER(SEARCH("Days",A738)),"Endurance","Other"))))))))</f>
        <v>Other</v>
      </c>
    </row>
    <row r="739" spans="1:15" x14ac:dyDescent="0.3">
      <c r="A739" t="s">
        <v>747</v>
      </c>
      <c r="B739" s="1">
        <v>45185</v>
      </c>
      <c r="C739" s="2">
        <v>565310414</v>
      </c>
      <c r="D739" s="3">
        <v>8195535</v>
      </c>
      <c r="E739" s="3">
        <v>159916</v>
      </c>
      <c r="F739">
        <f>YEAR(B739)</f>
        <v>2023</v>
      </c>
      <c r="G739" t="str">
        <f>TEXT(B739,"MMMM")</f>
        <v>September</v>
      </c>
      <c r="H739" t="str">
        <f>TEXT(B739, "DDDD")</f>
        <v>Saturday</v>
      </c>
      <c r="I739">
        <f>((D739+E739)/C739)*100</f>
        <v>1.4780288480586881</v>
      </c>
      <c r="J739">
        <f>(D739/C739)*1000</f>
        <v>14.497406729181536</v>
      </c>
      <c r="K739">
        <f>(E739/C739)*1000</f>
        <v>0.28288175140534383</v>
      </c>
      <c r="L739">
        <f>CORREL(C739:C1237, D739:D1237)</f>
        <v>0.64646093349238931</v>
      </c>
      <c r="M739">
        <f>CORREL(C739:C1237,E739:E1237)</f>
        <v>5.3454074705783006E-2</v>
      </c>
      <c r="N739">
        <f>LEN(A739)</f>
        <v>23</v>
      </c>
      <c r="O739" t="str">
        <f>IF(ISNUMBER(SEARCH("$",A739)), "Money", IF(ISNUMBER(SEARCH("Win",A739)), "Challenge",IF(ISNUMBER(SEARCH("Challenge",A739)), "Challenge",IF(ISNUMBER(SEARCH("Last To Leave",A739)),"Challenge",IF(ISNUMBER(SEARCH("Giving Away", A739)),"Giveaway",IF(ISNUMBER(SEARCH("Stranded",A739)),"Survival", IF(ISNUMBER(SEARCH("Survive",A739)), "Survival", IF(ISNUMBER(SEARCH("Days",A739)),"Endurance","Other"))))))))</f>
        <v>Money</v>
      </c>
    </row>
    <row r="740" spans="1:15" x14ac:dyDescent="0.3">
      <c r="A740" t="s">
        <v>748</v>
      </c>
      <c r="B740" s="1">
        <v>45017</v>
      </c>
      <c r="C740" s="2">
        <v>564954489</v>
      </c>
      <c r="D740" s="3">
        <v>9086953</v>
      </c>
      <c r="E740" s="3">
        <v>176255</v>
      </c>
      <c r="F740">
        <f>YEAR(B740)</f>
        <v>2023</v>
      </c>
      <c r="G740" t="str">
        <f>TEXT(B740,"MMMM")</f>
        <v>April</v>
      </c>
      <c r="H740" t="str">
        <f>TEXT(B740, "DDDD")</f>
        <v>Saturday</v>
      </c>
      <c r="I740">
        <f>((D740+E740)/C740)*100</f>
        <v>1.6396379142674624</v>
      </c>
      <c r="J740">
        <f>(D740/C740)*1000</f>
        <v>16.084398260264113</v>
      </c>
      <c r="K740">
        <f>(E740/C740)*1000</f>
        <v>0.31198088241051219</v>
      </c>
      <c r="L740">
        <f>CORREL(C740:C1238, D740:D1238)</f>
        <v>0.64696151172640193</v>
      </c>
      <c r="M740">
        <f>CORREL(C740:C1238,E740:E1238)</f>
        <v>5.068807999927951E-2</v>
      </c>
      <c r="N740">
        <f>LEN(A740)</f>
        <v>28</v>
      </c>
      <c r="O740" t="str">
        <f>IF(ISNUMBER(SEARCH("$",A740)), "Money", IF(ISNUMBER(SEARCH("Win",A740)), "Challenge",IF(ISNUMBER(SEARCH("Challenge",A740)), "Challenge",IF(ISNUMBER(SEARCH("Last To Leave",A740)),"Challenge",IF(ISNUMBER(SEARCH("Giving Away", A740)),"Giveaway",IF(ISNUMBER(SEARCH("Stranded",A740)),"Survival", IF(ISNUMBER(SEARCH("Survive",A740)), "Survival", IF(ISNUMBER(SEARCH("Days",A740)),"Endurance","Other"))))))))</f>
        <v>Money</v>
      </c>
    </row>
    <row r="741" spans="1:15" x14ac:dyDescent="0.3">
      <c r="A741" t="s">
        <v>749</v>
      </c>
      <c r="B741" s="1">
        <v>45230</v>
      </c>
      <c r="C741" s="2">
        <v>560260485</v>
      </c>
      <c r="D741" s="3">
        <v>21942870</v>
      </c>
      <c r="E741" s="3">
        <v>39094</v>
      </c>
      <c r="F741">
        <f>YEAR(B741)</f>
        <v>2023</v>
      </c>
      <c r="G741" t="str">
        <f>TEXT(B741,"MMMM")</f>
        <v>October</v>
      </c>
      <c r="H741" t="str">
        <f>TEXT(B741, "DDDD")</f>
        <v>Tuesday</v>
      </c>
      <c r="I741">
        <f>((D741+E741)/C741)*100</f>
        <v>3.9235256793096878</v>
      </c>
      <c r="J741">
        <f>(D741/C741)*1000</f>
        <v>39.165478536291914</v>
      </c>
      <c r="K741">
        <f>(E741/C741)*1000</f>
        <v>6.9778256804957431E-2</v>
      </c>
      <c r="L741">
        <f>CORREL(C741:C1239, D741:D1239)</f>
        <v>0.64691825670076275</v>
      </c>
      <c r="M741">
        <f>CORREL(C741:C1239,E741:E1239)</f>
        <v>4.7374865822225019E-2</v>
      </c>
      <c r="N741">
        <f>LEN(A741)</f>
        <v>28</v>
      </c>
      <c r="O741" t="str">
        <f>IF(ISNUMBER(SEARCH("$",A741)), "Money", IF(ISNUMBER(SEARCH("Win",A741)), "Challenge",IF(ISNUMBER(SEARCH("Challenge",A741)), "Challenge",IF(ISNUMBER(SEARCH("Last To Leave",A741)),"Challenge",IF(ISNUMBER(SEARCH("Giving Away", A741)),"Giveaway",IF(ISNUMBER(SEARCH("Stranded",A741)),"Survival", IF(ISNUMBER(SEARCH("Survive",A741)), "Survival", IF(ISNUMBER(SEARCH("Days",A741)),"Endurance","Other"))))))))</f>
        <v>Other</v>
      </c>
    </row>
    <row r="742" spans="1:15" x14ac:dyDescent="0.3">
      <c r="A742" t="s">
        <v>750</v>
      </c>
      <c r="B742" s="1">
        <v>45146</v>
      </c>
      <c r="C742" s="2">
        <v>559313193</v>
      </c>
      <c r="D742" s="3">
        <v>22296213</v>
      </c>
      <c r="E742" s="3">
        <v>41505</v>
      </c>
      <c r="F742">
        <f>YEAR(B742)</f>
        <v>2023</v>
      </c>
      <c r="G742" t="str">
        <f>TEXT(B742,"MMMM")</f>
        <v>August</v>
      </c>
      <c r="H742" t="str">
        <f>TEXT(B742, "DDDD")</f>
        <v>Tuesday</v>
      </c>
      <c r="I742">
        <f>((D742+E742)/C742)*100</f>
        <v>3.99377634562609</v>
      </c>
      <c r="J742">
        <f>(D742/C742)*1000</f>
        <v>39.863556374219122</v>
      </c>
      <c r="K742">
        <f>(E742/C742)*1000</f>
        <v>7.4207082041778338E-2</v>
      </c>
      <c r="L742">
        <f>CORREL(C742:C1240, D742:D1240)</f>
        <v>0.64648480698342015</v>
      </c>
      <c r="M742">
        <f>CORREL(C742:C1240,E742:E1240)</f>
        <v>4.8400489819371513E-2</v>
      </c>
      <c r="N742">
        <f>LEN(A742)</f>
        <v>39</v>
      </c>
      <c r="O742" t="str">
        <f>IF(ISNUMBER(SEARCH("$",A742)), "Money", IF(ISNUMBER(SEARCH("Win",A742)), "Challenge",IF(ISNUMBER(SEARCH("Challenge",A742)), "Challenge",IF(ISNUMBER(SEARCH("Last To Leave",A742)),"Challenge",IF(ISNUMBER(SEARCH("Giving Away", A742)),"Giveaway",IF(ISNUMBER(SEARCH("Stranded",A742)),"Survival", IF(ISNUMBER(SEARCH("Survive",A742)), "Survival", IF(ISNUMBER(SEARCH("Days",A742)),"Endurance","Other"))))))))</f>
        <v>Other</v>
      </c>
    </row>
    <row r="743" spans="1:15" x14ac:dyDescent="0.3">
      <c r="A743" t="s">
        <v>751</v>
      </c>
      <c r="B743" s="1">
        <v>45087</v>
      </c>
      <c r="C743" s="2">
        <v>555433781</v>
      </c>
      <c r="D743" s="3">
        <v>8457520</v>
      </c>
      <c r="E743" s="3">
        <v>168267</v>
      </c>
      <c r="F743">
        <f>YEAR(B743)</f>
        <v>2023</v>
      </c>
      <c r="G743" t="str">
        <f>TEXT(B743,"MMMM")</f>
        <v>June</v>
      </c>
      <c r="H743" t="str">
        <f>TEXT(B743, "DDDD")</f>
        <v>Saturday</v>
      </c>
      <c r="I743">
        <f>((D743+E743)/C743)*100</f>
        <v>1.5529820646612778</v>
      </c>
      <c r="J743">
        <f>(D743/C743)*1000</f>
        <v>15.226873642386543</v>
      </c>
      <c r="K743">
        <f>(E743/C743)*1000</f>
        <v>0.30294700422623377</v>
      </c>
      <c r="L743">
        <f>CORREL(C743:C1241, D743:D1241)</f>
        <v>0.64638324856122997</v>
      </c>
      <c r="M743">
        <f>CORREL(C743:C1241,E743:E1241)</f>
        <v>4.9357105275785712E-2</v>
      </c>
      <c r="N743">
        <f>LEN(A743)</f>
        <v>27</v>
      </c>
      <c r="O743" t="str">
        <f>IF(ISNUMBER(SEARCH("$",A743)), "Money", IF(ISNUMBER(SEARCH("Win",A743)), "Challenge",IF(ISNUMBER(SEARCH("Challenge",A743)), "Challenge",IF(ISNUMBER(SEARCH("Last To Leave",A743)),"Challenge",IF(ISNUMBER(SEARCH("Giving Away", A743)),"Giveaway",IF(ISNUMBER(SEARCH("Stranded",A743)),"Survival", IF(ISNUMBER(SEARCH("Survive",A743)), "Survival", IF(ISNUMBER(SEARCH("Days",A743)),"Endurance","Other"))))))))</f>
        <v>Money</v>
      </c>
    </row>
    <row r="744" spans="1:15" x14ac:dyDescent="0.3">
      <c r="A744" t="s">
        <v>752</v>
      </c>
      <c r="B744" s="1">
        <v>45113</v>
      </c>
      <c r="C744" s="2">
        <v>539238972</v>
      </c>
      <c r="D744" s="3">
        <v>26241912</v>
      </c>
      <c r="E744" s="3">
        <v>39406</v>
      </c>
      <c r="F744">
        <f>YEAR(B744)</f>
        <v>2023</v>
      </c>
      <c r="G744" t="str">
        <f>TEXT(B744,"MMMM")</f>
        <v>July</v>
      </c>
      <c r="H744" t="str">
        <f>TEXT(B744, "DDDD")</f>
        <v>Thursday</v>
      </c>
      <c r="I744">
        <f>((D744+E744)/C744)*100</f>
        <v>4.873779412219486</v>
      </c>
      <c r="J744">
        <f>(D744/C744)*1000</f>
        <v>48.664717059804794</v>
      </c>
      <c r="K744">
        <f>(E744/C744)*1000</f>
        <v>7.3077062390067754E-2</v>
      </c>
      <c r="L744">
        <f>CORREL(C744:C1242, D744:D1242)</f>
        <v>0.64657097992289359</v>
      </c>
      <c r="M744">
        <f>CORREL(C744:C1242,E744:E1242)</f>
        <v>4.6337730721102609E-2</v>
      </c>
      <c r="N744">
        <f>LEN(A744)</f>
        <v>41</v>
      </c>
      <c r="O744" t="str">
        <f>IF(ISNUMBER(SEARCH("$",A744)), "Money", IF(ISNUMBER(SEARCH("Win",A744)), "Challenge",IF(ISNUMBER(SEARCH("Challenge",A744)), "Challenge",IF(ISNUMBER(SEARCH("Last To Leave",A744)),"Challenge",IF(ISNUMBER(SEARCH("Giving Away", A744)),"Giveaway",IF(ISNUMBER(SEARCH("Stranded",A744)),"Survival", IF(ISNUMBER(SEARCH("Survive",A744)), "Survival", IF(ISNUMBER(SEARCH("Days",A744)),"Endurance","Other"))))))))</f>
        <v>Other</v>
      </c>
    </row>
    <row r="745" spans="1:15" x14ac:dyDescent="0.3">
      <c r="A745" t="s">
        <v>753</v>
      </c>
      <c r="B745" s="1">
        <v>45195</v>
      </c>
      <c r="C745" s="2">
        <v>538569877</v>
      </c>
      <c r="D745" s="3">
        <v>25215900</v>
      </c>
      <c r="E745" s="3">
        <v>63720</v>
      </c>
      <c r="F745">
        <f>YEAR(B745)</f>
        <v>2023</v>
      </c>
      <c r="G745" t="str">
        <f>TEXT(B745,"MMMM")</f>
        <v>September</v>
      </c>
      <c r="H745" t="str">
        <f>TEXT(B745, "DDDD")</f>
        <v>Tuesday</v>
      </c>
      <c r="I745">
        <f>((D745+E745)/C745)*100</f>
        <v>4.6938421697134762</v>
      </c>
      <c r="J745">
        <f>(D745/C745)*1000</f>
        <v>46.820108358938164</v>
      </c>
      <c r="K745">
        <f>(E745/C745)*1000</f>
        <v>0.1183133381965958</v>
      </c>
      <c r="L745">
        <f>CORREL(C745:C1243, D745:D1243)</f>
        <v>0.65087022948339834</v>
      </c>
      <c r="M745">
        <f>CORREL(C745:C1243,E745:E1243)</f>
        <v>4.7270950884953589E-2</v>
      </c>
      <c r="N745">
        <f>LEN(A745)</f>
        <v>43</v>
      </c>
      <c r="O745" t="str">
        <f>IF(ISNUMBER(SEARCH("$",A745)), "Money", IF(ISNUMBER(SEARCH("Win",A745)), "Challenge",IF(ISNUMBER(SEARCH("Challenge",A745)), "Challenge",IF(ISNUMBER(SEARCH("Last To Leave",A745)),"Challenge",IF(ISNUMBER(SEARCH("Giving Away", A745)),"Giveaway",IF(ISNUMBER(SEARCH("Stranded",A745)),"Survival", IF(ISNUMBER(SEARCH("Survive",A745)), "Survival", IF(ISNUMBER(SEARCH("Days",A745)),"Endurance","Other"))))))))</f>
        <v>Other</v>
      </c>
    </row>
    <row r="746" spans="1:15" x14ac:dyDescent="0.3">
      <c r="A746" t="s">
        <v>754</v>
      </c>
      <c r="B746" s="1">
        <v>45160</v>
      </c>
      <c r="C746" s="2">
        <v>538185052</v>
      </c>
      <c r="D746" s="3">
        <v>13889755</v>
      </c>
      <c r="E746" s="3">
        <v>29588</v>
      </c>
      <c r="F746">
        <f>YEAR(B746)</f>
        <v>2023</v>
      </c>
      <c r="G746" t="str">
        <f>TEXT(B746,"MMMM")</f>
        <v>August</v>
      </c>
      <c r="H746" t="str">
        <f>TEXT(B746, "DDDD")</f>
        <v>Tuesday</v>
      </c>
      <c r="I746">
        <f>((D746+E746)/C746)*100</f>
        <v>2.5863488679726467</v>
      </c>
      <c r="J746">
        <f>(D746/C746)*1000</f>
        <v>25.80851130737091</v>
      </c>
      <c r="K746">
        <f>(E746/C746)*1000</f>
        <v>5.4977372355559218E-2</v>
      </c>
      <c r="L746">
        <f>CORREL(C746:C1244, D746:D1244)</f>
        <v>0.65478581322817198</v>
      </c>
      <c r="M746">
        <f>CORREL(C746:C1244,E746:E1244)</f>
        <v>4.7481509987745356E-2</v>
      </c>
      <c r="N746">
        <f>LEN(A746)</f>
        <v>24</v>
      </c>
      <c r="O746" t="str">
        <f>IF(ISNUMBER(SEARCH("$",A746)), "Money", IF(ISNUMBER(SEARCH("Win",A746)), "Challenge",IF(ISNUMBER(SEARCH("Challenge",A746)), "Challenge",IF(ISNUMBER(SEARCH("Last To Leave",A746)),"Challenge",IF(ISNUMBER(SEARCH("Giving Away", A746)),"Giveaway",IF(ISNUMBER(SEARCH("Stranded",A746)),"Survival", IF(ISNUMBER(SEARCH("Survive",A746)), "Survival", IF(ISNUMBER(SEARCH("Days",A746)),"Endurance","Other"))))))))</f>
        <v>Other</v>
      </c>
    </row>
    <row r="747" spans="1:15" x14ac:dyDescent="0.3">
      <c r="A747" t="s">
        <v>755</v>
      </c>
      <c r="B747" s="1">
        <v>45262</v>
      </c>
      <c r="C747" s="2">
        <v>527904203</v>
      </c>
      <c r="D747" s="3">
        <v>7590609</v>
      </c>
      <c r="E747" s="3">
        <v>89158</v>
      </c>
      <c r="F747">
        <f>YEAR(B747)</f>
        <v>2023</v>
      </c>
      <c r="G747" t="str">
        <f>TEXT(B747,"MMMM")</f>
        <v>December</v>
      </c>
      <c r="H747" t="str">
        <f>TEXT(B747, "DDDD")</f>
        <v>Saturday</v>
      </c>
      <c r="I747">
        <f>((D747+E747)/C747)*100</f>
        <v>1.4547652692206354</v>
      </c>
      <c r="J747">
        <f>(D747/C747)*1000</f>
        <v>14.378762201292798</v>
      </c>
      <c r="K747">
        <f>(E747/C747)*1000</f>
        <v>0.1688904909135569</v>
      </c>
      <c r="L747">
        <f>CORREL(C747:C1245, D747:D1245)</f>
        <v>0.65307189982147318</v>
      </c>
      <c r="M747">
        <f>CORREL(C747:C1245,E747:E1245)</f>
        <v>4.8727315932523045E-2</v>
      </c>
      <c r="N747">
        <f>LEN(A747)</f>
        <v>48</v>
      </c>
      <c r="O747" t="str">
        <f>IF(ISNUMBER(SEARCH("$",A747)), "Money", IF(ISNUMBER(SEARCH("Win",A747)), "Challenge",IF(ISNUMBER(SEARCH("Challenge",A747)), "Challenge",IF(ISNUMBER(SEARCH("Last To Leave",A747)),"Challenge",IF(ISNUMBER(SEARCH("Giving Away", A747)),"Giveaway",IF(ISNUMBER(SEARCH("Stranded",A747)),"Survival", IF(ISNUMBER(SEARCH("Survive",A747)), "Survival", IF(ISNUMBER(SEARCH("Days",A747)),"Endurance","Other"))))))))</f>
        <v>Money</v>
      </c>
    </row>
    <row r="748" spans="1:15" x14ac:dyDescent="0.3">
      <c r="A748" t="s">
        <v>756</v>
      </c>
      <c r="B748" s="1">
        <v>45174</v>
      </c>
      <c r="C748" s="2">
        <v>527154335</v>
      </c>
      <c r="D748" s="3">
        <v>15642985</v>
      </c>
      <c r="E748" s="3">
        <v>29577</v>
      </c>
      <c r="F748">
        <f>YEAR(B748)</f>
        <v>2023</v>
      </c>
      <c r="G748" t="str">
        <f>TEXT(B748,"MMMM")</f>
        <v>September</v>
      </c>
      <c r="H748" t="str">
        <f>TEXT(B748, "DDDD")</f>
        <v>Tuesday</v>
      </c>
      <c r="I748">
        <f>((D748+E748)/C748)*100</f>
        <v>2.9730500082105937</v>
      </c>
      <c r="J748">
        <f>(D748/C748)*1000</f>
        <v>29.67439317368034</v>
      </c>
      <c r="K748">
        <f>(E748/C748)*1000</f>
        <v>5.6106908425594182E-2</v>
      </c>
      <c r="L748">
        <f>CORREL(C748:C1246, D748:D1246)</f>
        <v>0.65350019798845005</v>
      </c>
      <c r="M748">
        <f>CORREL(C748:C1246,E748:E1246)</f>
        <v>4.8203584770274872E-2</v>
      </c>
      <c r="N748">
        <f>LEN(A748)</f>
        <v>35</v>
      </c>
      <c r="O748" t="str">
        <f>IF(ISNUMBER(SEARCH("$",A748)), "Money", IF(ISNUMBER(SEARCH("Win",A748)), "Challenge",IF(ISNUMBER(SEARCH("Challenge",A748)), "Challenge",IF(ISNUMBER(SEARCH("Last To Leave",A748)),"Challenge",IF(ISNUMBER(SEARCH("Giving Away", A748)),"Giveaway",IF(ISNUMBER(SEARCH("Stranded",A748)),"Survival", IF(ISNUMBER(SEARCH("Survive",A748)), "Survival", IF(ISNUMBER(SEARCH("Days",A748)),"Endurance","Other"))))))))</f>
        <v>Other</v>
      </c>
    </row>
    <row r="749" spans="1:15" x14ac:dyDescent="0.3">
      <c r="A749" t="s">
        <v>757</v>
      </c>
      <c r="B749" s="1">
        <v>45265</v>
      </c>
      <c r="C749" s="2">
        <v>511827924</v>
      </c>
      <c r="D749" s="3">
        <v>15852700</v>
      </c>
      <c r="E749" s="3">
        <v>31382</v>
      </c>
      <c r="F749">
        <f>YEAR(B749)</f>
        <v>2023</v>
      </c>
      <c r="G749" t="str">
        <f>TEXT(B749,"MMMM")</f>
        <v>December</v>
      </c>
      <c r="H749" t="str">
        <f>TEXT(B749, "DDDD")</f>
        <v>Tuesday</v>
      </c>
      <c r="I749">
        <f>((D749+E749)/C749)*100</f>
        <v>3.1034027756562965</v>
      </c>
      <c r="J749">
        <f>(D749/C749)*1000</f>
        <v>30.9727141811825</v>
      </c>
      <c r="K749">
        <f>(E749/C749)*1000</f>
        <v>6.1313575380463219E-2</v>
      </c>
      <c r="L749">
        <f>CORREL(C749:C1247, D749:D1247)</f>
        <v>0.65204641865500734</v>
      </c>
      <c r="M749">
        <f>CORREL(C749:C1247,E749:E1247)</f>
        <v>4.9404093397192317E-2</v>
      </c>
      <c r="N749">
        <f>LEN(A749)</f>
        <v>31</v>
      </c>
      <c r="O749" t="str">
        <f>IF(ISNUMBER(SEARCH("$",A749)), "Money", IF(ISNUMBER(SEARCH("Win",A749)), "Challenge",IF(ISNUMBER(SEARCH("Challenge",A749)), "Challenge",IF(ISNUMBER(SEARCH("Last To Leave",A749)),"Challenge",IF(ISNUMBER(SEARCH("Giving Away", A749)),"Giveaway",IF(ISNUMBER(SEARCH("Stranded",A749)),"Survival", IF(ISNUMBER(SEARCH("Survive",A749)), "Survival", IF(ISNUMBER(SEARCH("Days",A749)),"Endurance","Other"))))))))</f>
        <v>Other</v>
      </c>
    </row>
    <row r="750" spans="1:15" x14ac:dyDescent="0.3">
      <c r="A750" t="s">
        <v>758</v>
      </c>
      <c r="B750" s="1">
        <v>45080</v>
      </c>
      <c r="C750" s="2">
        <v>472227647</v>
      </c>
      <c r="D750" s="3">
        <v>16934409</v>
      </c>
      <c r="E750" s="3">
        <v>26955</v>
      </c>
      <c r="F750">
        <f>YEAR(B750)</f>
        <v>2023</v>
      </c>
      <c r="G750" t="str">
        <f>TEXT(B750,"MMMM")</f>
        <v>June</v>
      </c>
      <c r="H750" t="str">
        <f>TEXT(B750, "DDDD")</f>
        <v>Saturday</v>
      </c>
      <c r="I750">
        <f>((D750+E750)/C750)*100</f>
        <v>3.5917769973345082</v>
      </c>
      <c r="J750">
        <f>(D750/C750)*1000</f>
        <v>35.860689452602081</v>
      </c>
      <c r="K750">
        <f>(E750/C750)*1000</f>
        <v>5.7080520742996653E-2</v>
      </c>
      <c r="L750">
        <f>CORREL(C750:C1248, D750:D1248)</f>
        <v>0.65095277970416532</v>
      </c>
      <c r="M750">
        <f>CORREL(C750:C1248,E750:E1248)</f>
        <v>5.0478821572917928E-2</v>
      </c>
      <c r="N750">
        <f>LEN(A750)</f>
        <v>22</v>
      </c>
      <c r="O750" t="str">
        <f>IF(ISNUMBER(SEARCH("$",A750)), "Money", IF(ISNUMBER(SEARCH("Win",A750)), "Challenge",IF(ISNUMBER(SEARCH("Challenge",A750)), "Challenge",IF(ISNUMBER(SEARCH("Last To Leave",A750)),"Challenge",IF(ISNUMBER(SEARCH("Giving Away", A750)),"Giveaway",IF(ISNUMBER(SEARCH("Stranded",A750)),"Survival", IF(ISNUMBER(SEARCH("Survive",A750)), "Survival", IF(ISNUMBER(SEARCH("Days",A750)),"Endurance","Other"))))))))</f>
        <v>Other</v>
      </c>
    </row>
    <row r="751" spans="1:15" x14ac:dyDescent="0.3">
      <c r="A751" t="s">
        <v>759</v>
      </c>
      <c r="B751" s="1">
        <v>45073</v>
      </c>
      <c r="C751" s="2">
        <v>466906979</v>
      </c>
      <c r="D751" s="3">
        <v>6742042</v>
      </c>
      <c r="E751" s="3">
        <v>119176</v>
      </c>
      <c r="F751">
        <f>YEAR(B751)</f>
        <v>2023</v>
      </c>
      <c r="G751" t="str">
        <f>TEXT(B751,"MMMM")</f>
        <v>May</v>
      </c>
      <c r="H751" t="str">
        <f>TEXT(B751, "DDDD")</f>
        <v>Saturday</v>
      </c>
      <c r="I751">
        <f>((D751+E751)/C751)*100</f>
        <v>1.4695042714279067</v>
      </c>
      <c r="J751">
        <f>(D751/C751)*1000</f>
        <v>14.439797011472814</v>
      </c>
      <c r="K751">
        <f>(E751/C751)*1000</f>
        <v>0.25524570280625425</v>
      </c>
      <c r="L751">
        <f>CORREL(C751:C1249, D751:D1249)</f>
        <v>0.65130552094740424</v>
      </c>
      <c r="M751">
        <f>CORREL(C751:C1249,E751:E1249)</f>
        <v>5.1441868253988575E-2</v>
      </c>
      <c r="N751">
        <f>LEN(A751)</f>
        <v>31</v>
      </c>
      <c r="O751" t="str">
        <f>IF(ISNUMBER(SEARCH("$",A751)), "Money", IF(ISNUMBER(SEARCH("Win",A751)), "Challenge",IF(ISNUMBER(SEARCH("Challenge",A751)), "Challenge",IF(ISNUMBER(SEARCH("Last To Leave",A751)),"Challenge",IF(ISNUMBER(SEARCH("Giving Away", A751)),"Giveaway",IF(ISNUMBER(SEARCH("Stranded",A751)),"Survival", IF(ISNUMBER(SEARCH("Survive",A751)), "Survival", IF(ISNUMBER(SEARCH("Days",A751)),"Endurance","Other"))))))))</f>
        <v>Money</v>
      </c>
    </row>
    <row r="752" spans="1:15" x14ac:dyDescent="0.3">
      <c r="A752" t="s">
        <v>760</v>
      </c>
      <c r="B752" s="1">
        <v>45276</v>
      </c>
      <c r="C752" s="2">
        <v>458998051</v>
      </c>
      <c r="D752" s="3">
        <v>6944270</v>
      </c>
      <c r="E752" s="3">
        <v>98894</v>
      </c>
      <c r="F752">
        <f>YEAR(B752)</f>
        <v>2023</v>
      </c>
      <c r="G752" t="str">
        <f>TEXT(B752,"MMMM")</f>
        <v>December</v>
      </c>
      <c r="H752" t="str">
        <f>TEXT(B752, "DDDD")</f>
        <v>Saturday</v>
      </c>
      <c r="I752">
        <f>((D752+E752)/C752)*100</f>
        <v>1.5344649034250475</v>
      </c>
      <c r="J752">
        <f>(D752/C752)*1000</f>
        <v>15.129192781692225</v>
      </c>
      <c r="K752">
        <f>(E752/C752)*1000</f>
        <v>0.21545625255824888</v>
      </c>
      <c r="L752">
        <f>CORREL(C752:C1250, D752:D1250)</f>
        <v>0.65174782419502841</v>
      </c>
      <c r="M752">
        <f>CORREL(C752:C1250,E752:E1250)</f>
        <v>5.0422811959773682E-2</v>
      </c>
      <c r="N752">
        <f>LEN(A752)</f>
        <v>38</v>
      </c>
      <c r="O752" t="str">
        <f>IF(ISNUMBER(SEARCH("$",A752)), "Money", IF(ISNUMBER(SEARCH("Win",A752)), "Challenge",IF(ISNUMBER(SEARCH("Challenge",A752)), "Challenge",IF(ISNUMBER(SEARCH("Last To Leave",A752)),"Challenge",IF(ISNUMBER(SEARCH("Giving Away", A752)),"Giveaway",IF(ISNUMBER(SEARCH("Stranded",A752)),"Survival", IF(ISNUMBER(SEARCH("Survive",A752)), "Survival", IF(ISNUMBER(SEARCH("Days",A752)),"Endurance","Other"))))))))</f>
        <v>Money</v>
      </c>
    </row>
    <row r="753" spans="1:15" x14ac:dyDescent="0.3">
      <c r="A753" t="s">
        <v>761</v>
      </c>
      <c r="B753" s="1">
        <v>45150</v>
      </c>
      <c r="C753" s="2">
        <v>445122218</v>
      </c>
      <c r="D753" s="3">
        <v>6843185</v>
      </c>
      <c r="E753" s="3">
        <v>109234</v>
      </c>
      <c r="F753">
        <f>YEAR(B753)</f>
        <v>2023</v>
      </c>
      <c r="G753" t="str">
        <f>TEXT(B753,"MMMM")</f>
        <v>August</v>
      </c>
      <c r="H753" t="str">
        <f>TEXT(B753, "DDDD")</f>
        <v>Saturday</v>
      </c>
      <c r="I753">
        <f>((D753+E753)/C753)*100</f>
        <v>1.561912373468628</v>
      </c>
      <c r="J753">
        <f>(D753/C753)*1000</f>
        <v>15.373721470807372</v>
      </c>
      <c r="K753">
        <f>(E753/C753)*1000</f>
        <v>0.24540226387890618</v>
      </c>
      <c r="L753">
        <f>CORREL(C753:C1251, D753:D1251)</f>
        <v>0.6520438630833113</v>
      </c>
      <c r="M753">
        <f>CORREL(C753:C1251,E753:E1251)</f>
        <v>4.9845467252107721E-2</v>
      </c>
      <c r="N753">
        <f>LEN(A753)</f>
        <v>24</v>
      </c>
      <c r="O753" t="str">
        <f>IF(ISNUMBER(SEARCH("$",A753)), "Money", IF(ISNUMBER(SEARCH("Win",A753)), "Challenge",IF(ISNUMBER(SEARCH("Challenge",A753)), "Challenge",IF(ISNUMBER(SEARCH("Last To Leave",A753)),"Challenge",IF(ISNUMBER(SEARCH("Giving Away", A753)),"Giveaway",IF(ISNUMBER(SEARCH("Stranded",A753)),"Survival", IF(ISNUMBER(SEARCH("Survive",A753)), "Survival", IF(ISNUMBER(SEARCH("Days",A753)),"Endurance","Other"))))))))</f>
        <v>Money</v>
      </c>
    </row>
    <row r="754" spans="1:15" x14ac:dyDescent="0.3">
      <c r="A754" t="s">
        <v>762</v>
      </c>
      <c r="B754" s="1">
        <v>45181</v>
      </c>
      <c r="C754" s="2">
        <v>442228882</v>
      </c>
      <c r="D754" s="3">
        <v>20385519</v>
      </c>
      <c r="E754" s="3">
        <v>50195</v>
      </c>
      <c r="F754">
        <f>YEAR(B754)</f>
        <v>2023</v>
      </c>
      <c r="G754" t="str">
        <f>TEXT(B754,"MMMM")</f>
        <v>September</v>
      </c>
      <c r="H754" t="str">
        <f>TEXT(B754, "DDDD")</f>
        <v>Tuesday</v>
      </c>
      <c r="I754">
        <f>((D754+E754)/C754)*100</f>
        <v>4.6210717643720072</v>
      </c>
      <c r="J754">
        <f>(D754/C754)*1000</f>
        <v>46.097213071669074</v>
      </c>
      <c r="K754">
        <f>(E754/C754)*1000</f>
        <v>0.11350457205099508</v>
      </c>
      <c r="L754">
        <f>CORREL(C754:C1252, D754:D1252)</f>
        <v>0.6523127452470624</v>
      </c>
      <c r="M754">
        <f>CORREL(C754:C1252,E754:E1252)</f>
        <v>4.9123831729776864E-2</v>
      </c>
      <c r="N754">
        <f>LEN(A754)</f>
        <v>22</v>
      </c>
      <c r="O754" t="str">
        <f>IF(ISNUMBER(SEARCH("$",A754)), "Money", IF(ISNUMBER(SEARCH("Win",A754)), "Challenge",IF(ISNUMBER(SEARCH("Challenge",A754)), "Challenge",IF(ISNUMBER(SEARCH("Last To Leave",A754)),"Challenge",IF(ISNUMBER(SEARCH("Giving Away", A754)),"Giveaway",IF(ISNUMBER(SEARCH("Stranded",A754)),"Survival", IF(ISNUMBER(SEARCH("Survive",A754)), "Survival", IF(ISNUMBER(SEARCH("Days",A754)),"Endurance","Other"))))))))</f>
        <v>Other</v>
      </c>
    </row>
    <row r="755" spans="1:15" x14ac:dyDescent="0.3">
      <c r="A755" t="s">
        <v>763</v>
      </c>
      <c r="B755" s="1">
        <v>45239</v>
      </c>
      <c r="C755" s="2">
        <v>435071761</v>
      </c>
      <c r="D755" s="3">
        <v>11053068</v>
      </c>
      <c r="E755" s="3">
        <v>15357</v>
      </c>
      <c r="F755">
        <f>YEAR(B755)</f>
        <v>2023</v>
      </c>
      <c r="G755" t="str">
        <f>TEXT(B755,"MMMM")</f>
        <v>November</v>
      </c>
      <c r="H755" t="str">
        <f>TEXT(B755, "DDDD")</f>
        <v>Thursday</v>
      </c>
      <c r="I755">
        <f>((D755+E755)/C755)*100</f>
        <v>2.5440458315565095</v>
      </c>
      <c r="J755">
        <f>(D755/C755)*1000</f>
        <v>25.405160690261393</v>
      </c>
      <c r="K755">
        <f>(E755/C755)*1000</f>
        <v>3.5297625303702486E-2</v>
      </c>
      <c r="L755">
        <f>CORREL(C755:C1253, D755:D1253)</f>
        <v>0.65646016333497603</v>
      </c>
      <c r="M755">
        <f>CORREL(C755:C1253,E755:E1253)</f>
        <v>4.948234152330603E-2</v>
      </c>
      <c r="N755">
        <f>LEN(A755)</f>
        <v>45</v>
      </c>
      <c r="O755" t="str">
        <f>IF(ISNUMBER(SEARCH("$",A755)), "Money", IF(ISNUMBER(SEARCH("Win",A755)), "Challenge",IF(ISNUMBER(SEARCH("Challenge",A755)), "Challenge",IF(ISNUMBER(SEARCH("Last To Leave",A755)),"Challenge",IF(ISNUMBER(SEARCH("Giving Away", A755)),"Giveaway",IF(ISNUMBER(SEARCH("Stranded",A755)),"Survival", IF(ISNUMBER(SEARCH("Survive",A755)), "Survival", IF(ISNUMBER(SEARCH("Days",A755)),"Endurance","Other"))))))))</f>
        <v>Other</v>
      </c>
    </row>
    <row r="756" spans="1:15" x14ac:dyDescent="0.3">
      <c r="A756" t="s">
        <v>764</v>
      </c>
      <c r="B756" s="1">
        <v>45143</v>
      </c>
      <c r="C756" s="2">
        <v>431041411</v>
      </c>
      <c r="D756" s="3">
        <v>8395881</v>
      </c>
      <c r="E756" s="3">
        <v>129678</v>
      </c>
      <c r="F756">
        <f>YEAR(B756)</f>
        <v>2023</v>
      </c>
      <c r="G756" t="str">
        <f>TEXT(B756,"MMMM")</f>
        <v>August</v>
      </c>
      <c r="H756" t="str">
        <f>TEXT(B756, "DDDD")</f>
        <v>Saturday</v>
      </c>
      <c r="I756">
        <f>((D756+E756)/C756)*100</f>
        <v>1.9778978962186073</v>
      </c>
      <c r="J756">
        <f>(D756/C756)*1000</f>
        <v>19.478130837874417</v>
      </c>
      <c r="K756">
        <f>(E756/C756)*1000</f>
        <v>0.30084812431165692</v>
      </c>
      <c r="L756">
        <f>CORREL(C756:C1254, D756:D1254)</f>
        <v>0.6558967745864811</v>
      </c>
      <c r="M756">
        <f>CORREL(C756:C1254,E756:E1254)</f>
        <v>5.0445473586467213E-2</v>
      </c>
      <c r="N756">
        <f>LEN(A756)</f>
        <v>22</v>
      </c>
      <c r="O756" t="str">
        <f>IF(ISNUMBER(SEARCH("$",A756)), "Money", IF(ISNUMBER(SEARCH("Win",A756)), "Challenge",IF(ISNUMBER(SEARCH("Challenge",A756)), "Challenge",IF(ISNUMBER(SEARCH("Last To Leave",A756)),"Challenge",IF(ISNUMBER(SEARCH("Giving Away", A756)),"Giveaway",IF(ISNUMBER(SEARCH("Stranded",A756)),"Survival", IF(ISNUMBER(SEARCH("Survive",A756)), "Survival", IF(ISNUMBER(SEARCH("Days",A756)),"Endurance","Other"))))))))</f>
        <v>Survival</v>
      </c>
    </row>
    <row r="757" spans="1:15" x14ac:dyDescent="0.3">
      <c r="A757" t="s">
        <v>765</v>
      </c>
      <c r="B757" s="1">
        <v>45213</v>
      </c>
      <c r="C757" s="2">
        <v>430236651</v>
      </c>
      <c r="D757" s="3">
        <v>6515260</v>
      </c>
      <c r="E757" s="3">
        <v>136272</v>
      </c>
      <c r="F757">
        <f>YEAR(B757)</f>
        <v>2023</v>
      </c>
      <c r="G757" t="str">
        <f>TEXT(B757,"MMMM")</f>
        <v>October</v>
      </c>
      <c r="H757" t="str">
        <f>TEXT(B757, "DDDD")</f>
        <v>Saturday</v>
      </c>
      <c r="I757">
        <f>((D757+E757)/C757)*100</f>
        <v>1.5460170546929997</v>
      </c>
      <c r="J757">
        <f>(D757/C757)*1000</f>
        <v>15.143433235770516</v>
      </c>
      <c r="K757">
        <f>(E757/C757)*1000</f>
        <v>0.31673731115948095</v>
      </c>
      <c r="L757">
        <f>CORREL(C757:C1255, D757:D1255)</f>
        <v>0.65558588726666001</v>
      </c>
      <c r="M757">
        <f>CORREL(C757:C1255,E757:E1255)</f>
        <v>4.9451403591134778E-2</v>
      </c>
      <c r="N757">
        <f>LEN(A757)</f>
        <v>25</v>
      </c>
      <c r="O757" t="str">
        <f>IF(ISNUMBER(SEARCH("$",A757)), "Money", IF(ISNUMBER(SEARCH("Win",A757)), "Challenge",IF(ISNUMBER(SEARCH("Challenge",A757)), "Challenge",IF(ISNUMBER(SEARCH("Last To Leave",A757)),"Challenge",IF(ISNUMBER(SEARCH("Giving Away", A757)),"Giveaway",IF(ISNUMBER(SEARCH("Stranded",A757)),"Survival", IF(ISNUMBER(SEARCH("Survive",A757)), "Survival", IF(ISNUMBER(SEARCH("Days",A757)),"Endurance","Other"))))))))</f>
        <v>Money</v>
      </c>
    </row>
    <row r="758" spans="1:15" x14ac:dyDescent="0.3">
      <c r="A758" t="s">
        <v>766</v>
      </c>
      <c r="B758" s="1">
        <v>45169</v>
      </c>
      <c r="C758" s="2">
        <v>422830495</v>
      </c>
      <c r="D758" s="3">
        <v>14303407</v>
      </c>
      <c r="E758" s="3">
        <v>33946</v>
      </c>
      <c r="F758">
        <f>YEAR(B758)</f>
        <v>2023</v>
      </c>
      <c r="G758" t="str">
        <f>TEXT(B758,"MMMM")</f>
        <v>August</v>
      </c>
      <c r="H758" t="str">
        <f>TEXT(B758, "DDDD")</f>
        <v>Thursday</v>
      </c>
      <c r="I758">
        <f>((D758+E758)/C758)*100</f>
        <v>3.390803920138258</v>
      </c>
      <c r="J758">
        <f>(D758/C758)*1000</f>
        <v>33.827756439374127</v>
      </c>
      <c r="K758">
        <f>(E758/C758)*1000</f>
        <v>8.0282762008449748E-2</v>
      </c>
      <c r="L758">
        <f>CORREL(C758:C1256, D758:D1256)</f>
        <v>0.65589005389271238</v>
      </c>
      <c r="M758">
        <f>CORREL(C758:C1256,E758:E1256)</f>
        <v>4.834573803733324E-2</v>
      </c>
      <c r="N758">
        <f>LEN(A758)</f>
        <v>34</v>
      </c>
      <c r="O758" t="str">
        <f>IF(ISNUMBER(SEARCH("$",A758)), "Money", IF(ISNUMBER(SEARCH("Win",A758)), "Challenge",IF(ISNUMBER(SEARCH("Challenge",A758)), "Challenge",IF(ISNUMBER(SEARCH("Last To Leave",A758)),"Challenge",IF(ISNUMBER(SEARCH("Giving Away", A758)),"Giveaway",IF(ISNUMBER(SEARCH("Stranded",A758)),"Survival", IF(ISNUMBER(SEARCH("Survive",A758)), "Survival", IF(ISNUMBER(SEARCH("Days",A758)),"Endurance","Other"))))))))</f>
        <v>Money</v>
      </c>
    </row>
    <row r="759" spans="1:15" x14ac:dyDescent="0.3">
      <c r="A759" t="s">
        <v>767</v>
      </c>
      <c r="B759" s="1">
        <v>45283</v>
      </c>
      <c r="C759" s="2">
        <v>401580019</v>
      </c>
      <c r="D759" s="3">
        <v>6748579</v>
      </c>
      <c r="E759" s="3">
        <v>112568</v>
      </c>
      <c r="F759">
        <f>YEAR(B759)</f>
        <v>2023</v>
      </c>
      <c r="G759" t="str">
        <f>TEXT(B759,"MMMM")</f>
        <v>December</v>
      </c>
      <c r="H759" t="str">
        <f>TEXT(B759, "DDDD")</f>
        <v>Saturday</v>
      </c>
      <c r="I759">
        <f>((D759+E759)/C759)*100</f>
        <v>1.7085379439657828</v>
      </c>
      <c r="J759">
        <f>(D759/C759)*1000</f>
        <v>16.805066688340389</v>
      </c>
      <c r="K759">
        <f>(E759/C759)*1000</f>
        <v>0.28031275131744038</v>
      </c>
      <c r="L759">
        <f>CORREL(C759:C1257, D759:D1257)</f>
        <v>0.65632531993347143</v>
      </c>
      <c r="M759">
        <f>CORREL(C759:C1257,E759:E1257)</f>
        <v>4.8917548721995753E-2</v>
      </c>
      <c r="N759">
        <f>LEN(A759)</f>
        <v>19</v>
      </c>
      <c r="O759" t="str">
        <f>IF(ISNUMBER(SEARCH("$",A759)), "Money", IF(ISNUMBER(SEARCH("Win",A759)), "Challenge",IF(ISNUMBER(SEARCH("Challenge",A759)), "Challenge",IF(ISNUMBER(SEARCH("Last To Leave",A759)),"Challenge",IF(ISNUMBER(SEARCH("Giving Away", A759)),"Giveaway",IF(ISNUMBER(SEARCH("Stranded",A759)),"Survival", IF(ISNUMBER(SEARCH("Survive",A759)), "Survival", IF(ISNUMBER(SEARCH("Days",A759)),"Endurance","Other"))))))))</f>
        <v>Other</v>
      </c>
    </row>
    <row r="760" spans="1:15" x14ac:dyDescent="0.3">
      <c r="A760" t="s">
        <v>768</v>
      </c>
      <c r="B760" s="1">
        <v>45216</v>
      </c>
      <c r="C760" s="2">
        <v>387921769</v>
      </c>
      <c r="D760" s="3">
        <v>12905894</v>
      </c>
      <c r="E760" s="3">
        <v>24038</v>
      </c>
      <c r="F760">
        <f>YEAR(B760)</f>
        <v>2023</v>
      </c>
      <c r="G760" t="str">
        <f>TEXT(B760,"MMMM")</f>
        <v>October</v>
      </c>
      <c r="H760" t="str">
        <f>TEXT(B760, "DDDD")</f>
        <v>Tuesday</v>
      </c>
      <c r="I760">
        <f>((D760+E760)/C760)*100</f>
        <v>3.3331287474098934</v>
      </c>
      <c r="J760">
        <f>(D760/C760)*1000</f>
        <v>33.269321371856293</v>
      </c>
      <c r="K760">
        <f>(E760/C760)*1000</f>
        <v>6.1966102242640576E-2</v>
      </c>
      <c r="L760">
        <f>CORREL(C760:C1258, D760:D1258)</f>
        <v>0.65640797970515607</v>
      </c>
      <c r="M760">
        <f>CORREL(C760:C1258,E760:E1258)</f>
        <v>4.8350612551840706E-2</v>
      </c>
      <c r="N760">
        <f>LEN(A760)</f>
        <v>21</v>
      </c>
      <c r="O760" t="str">
        <f>IF(ISNUMBER(SEARCH("$",A760)), "Money", IF(ISNUMBER(SEARCH("Win",A760)), "Challenge",IF(ISNUMBER(SEARCH("Challenge",A760)), "Challenge",IF(ISNUMBER(SEARCH("Last To Leave",A760)),"Challenge",IF(ISNUMBER(SEARCH("Giving Away", A760)),"Giveaway",IF(ISNUMBER(SEARCH("Stranded",A760)),"Survival", IF(ISNUMBER(SEARCH("Survive",A760)), "Survival", IF(ISNUMBER(SEARCH("Days",A760)),"Endurance","Other"))))))))</f>
        <v>Money</v>
      </c>
    </row>
    <row r="761" spans="1:15" x14ac:dyDescent="0.3">
      <c r="A761" t="s">
        <v>769</v>
      </c>
      <c r="B761" s="1">
        <v>45240</v>
      </c>
      <c r="C761" s="2">
        <v>371302133</v>
      </c>
      <c r="D761" s="3">
        <v>13869865</v>
      </c>
      <c r="E761" s="3">
        <v>37583</v>
      </c>
      <c r="F761">
        <f>YEAR(B761)</f>
        <v>2023</v>
      </c>
      <c r="G761" t="str">
        <f>TEXT(B761,"MMMM")</f>
        <v>November</v>
      </c>
      <c r="H761" t="str">
        <f>TEXT(B761, "DDDD")</f>
        <v>Friday</v>
      </c>
      <c r="I761">
        <f>((D761+E761)/C761)*100</f>
        <v>3.7455879629972393</v>
      </c>
      <c r="J761">
        <f>(D761/C761)*1000</f>
        <v>37.354660173740506</v>
      </c>
      <c r="K761">
        <f>(E761/C761)*1000</f>
        <v>0.10121945623188758</v>
      </c>
      <c r="L761">
        <f>CORREL(C761:C1259, D761:D1259)</f>
        <v>0.65699115296641819</v>
      </c>
      <c r="M761">
        <f>CORREL(C761:C1259,E761:E1259)</f>
        <v>4.8873745087017792E-2</v>
      </c>
      <c r="N761">
        <f>LEN(A761)</f>
        <v>32</v>
      </c>
      <c r="O761" t="str">
        <f>IF(ISNUMBER(SEARCH("$",A761)), "Money", IF(ISNUMBER(SEARCH("Win",A761)), "Challenge",IF(ISNUMBER(SEARCH("Challenge",A761)), "Challenge",IF(ISNUMBER(SEARCH("Last To Leave",A761)),"Challenge",IF(ISNUMBER(SEARCH("Giving Away", A761)),"Giveaway",IF(ISNUMBER(SEARCH("Stranded",A761)),"Survival", IF(ISNUMBER(SEARCH("Survive",A761)), "Survival", IF(ISNUMBER(SEARCH("Days",A761)),"Endurance","Other"))))))))</f>
        <v>Other</v>
      </c>
    </row>
    <row r="762" spans="1:15" x14ac:dyDescent="0.3">
      <c r="A762" t="s">
        <v>770</v>
      </c>
      <c r="B762" s="1">
        <v>45206</v>
      </c>
      <c r="C762" s="2">
        <v>351886259</v>
      </c>
      <c r="D762" s="3">
        <v>6751592</v>
      </c>
      <c r="E762" s="3">
        <v>149864</v>
      </c>
      <c r="F762">
        <f>YEAR(B762)</f>
        <v>2023</v>
      </c>
      <c r="G762" t="str">
        <f>TEXT(B762,"MMMM")</f>
        <v>October</v>
      </c>
      <c r="H762" t="str">
        <f>TEXT(B762, "DDDD")</f>
        <v>Saturday</v>
      </c>
      <c r="I762">
        <f>((D762+E762)/C762)*100</f>
        <v>1.9612746515344892</v>
      </c>
      <c r="J762">
        <f>(D762/C762)*1000</f>
        <v>19.186858899199017</v>
      </c>
      <c r="K762">
        <f>(E762/C762)*1000</f>
        <v>0.42588761614587517</v>
      </c>
      <c r="L762">
        <f>CORREL(C762:C1260, D762:D1260)</f>
        <v>0.65847251881664226</v>
      </c>
      <c r="M762">
        <f>CORREL(C762:C1260,E762:E1260)</f>
        <v>4.9167456806417348E-2</v>
      </c>
      <c r="N762">
        <f>LEN(A762)</f>
        <v>28</v>
      </c>
      <c r="O762" t="str">
        <f>IF(ISNUMBER(SEARCH("$",A762)), "Money", IF(ISNUMBER(SEARCH("Win",A762)), "Challenge",IF(ISNUMBER(SEARCH("Challenge",A762)), "Challenge",IF(ISNUMBER(SEARCH("Last To Leave",A762)),"Challenge",IF(ISNUMBER(SEARCH("Giving Away", A762)),"Giveaway",IF(ISNUMBER(SEARCH("Stranded",A762)),"Survival", IF(ISNUMBER(SEARCH("Survive",A762)), "Survival", IF(ISNUMBER(SEARCH("Days",A762)),"Endurance","Other"))))))))</f>
        <v>Other</v>
      </c>
    </row>
    <row r="763" spans="1:15" x14ac:dyDescent="0.3">
      <c r="A763" t="s">
        <v>771</v>
      </c>
      <c r="B763" s="1">
        <v>45003</v>
      </c>
      <c r="C763" s="2">
        <v>337551519</v>
      </c>
      <c r="D763" s="3">
        <v>6493231</v>
      </c>
      <c r="E763" s="3">
        <v>104917</v>
      </c>
      <c r="F763">
        <f>YEAR(B763)</f>
        <v>2023</v>
      </c>
      <c r="G763" t="str">
        <f>TEXT(B763,"MMMM")</f>
        <v>March</v>
      </c>
      <c r="H763" t="str">
        <f>TEXT(B763, "DDDD")</f>
        <v>Saturday</v>
      </c>
      <c r="I763">
        <f>((D763+E763)/C763)*100</f>
        <v>1.9547084307447598</v>
      </c>
      <c r="J763">
        <f>(D763/C763)*1000</f>
        <v>19.23626656824495</v>
      </c>
      <c r="K763">
        <f>(E763/C763)*1000</f>
        <v>0.31081773920264893</v>
      </c>
      <c r="L763">
        <f>CORREL(C763:C1261, D763:D1261)</f>
        <v>0.65845002250628637</v>
      </c>
      <c r="M763">
        <f>CORREL(C763:C1261,E763:E1261)</f>
        <v>4.8657427779707413E-2</v>
      </c>
      <c r="N763">
        <f>LEN(A763)</f>
        <v>40</v>
      </c>
      <c r="O763" t="str">
        <f>IF(ISNUMBER(SEARCH("$",A763)), "Money", IF(ISNUMBER(SEARCH("Win",A763)), "Challenge",IF(ISNUMBER(SEARCH("Challenge",A763)), "Challenge",IF(ISNUMBER(SEARCH("Last To Leave",A763)),"Challenge",IF(ISNUMBER(SEARCH("Giving Away", A763)),"Giveaway",IF(ISNUMBER(SEARCH("Stranded",A763)),"Survival", IF(ISNUMBER(SEARCH("Survive",A763)), "Survival", IF(ISNUMBER(SEARCH("Days",A763)),"Endurance","Other"))))))))</f>
        <v>Other</v>
      </c>
    </row>
    <row r="764" spans="1:15" x14ac:dyDescent="0.3">
      <c r="A764" t="s">
        <v>772</v>
      </c>
      <c r="B764" s="1">
        <v>45066</v>
      </c>
      <c r="C764" s="2">
        <v>324430397</v>
      </c>
      <c r="D764" s="3">
        <v>13397253</v>
      </c>
      <c r="E764" s="3">
        <v>24594</v>
      </c>
      <c r="F764">
        <f>YEAR(B764)</f>
        <v>2023</v>
      </c>
      <c r="G764" t="str">
        <f>TEXT(B764,"MMMM")</f>
        <v>May</v>
      </c>
      <c r="H764" t="str">
        <f>TEXT(B764, "DDDD")</f>
        <v>Saturday</v>
      </c>
      <c r="I764">
        <f>((D764+E764)/C764)*100</f>
        <v>4.1370497721888864</v>
      </c>
      <c r="J764">
        <f>(D764/C764)*1000</f>
        <v>41.294691015034573</v>
      </c>
      <c r="K764">
        <f>(E764/C764)*1000</f>
        <v>7.5806706854290223E-2</v>
      </c>
      <c r="L764">
        <f>CORREL(C764:C1262, D764:D1262)</f>
        <v>0.65844679101659465</v>
      </c>
      <c r="M764">
        <f>CORREL(C764:C1262,E764:E1262)</f>
        <v>4.8486524776315272E-2</v>
      </c>
      <c r="N764">
        <f>LEN(A764)</f>
        <v>31</v>
      </c>
      <c r="O764" t="str">
        <f>IF(ISNUMBER(SEARCH("$",A764)), "Money", IF(ISNUMBER(SEARCH("Win",A764)), "Challenge",IF(ISNUMBER(SEARCH("Challenge",A764)), "Challenge",IF(ISNUMBER(SEARCH("Last To Leave",A764)),"Challenge",IF(ISNUMBER(SEARCH("Giving Away", A764)),"Giveaway",IF(ISNUMBER(SEARCH("Stranded",A764)),"Survival", IF(ISNUMBER(SEARCH("Survive",A764)), "Survival", IF(ISNUMBER(SEARCH("Days",A764)),"Endurance","Other"))))))))</f>
        <v>Other</v>
      </c>
    </row>
    <row r="765" spans="1:15" x14ac:dyDescent="0.3">
      <c r="A765" t="s">
        <v>773</v>
      </c>
      <c r="B765" s="1">
        <v>45255</v>
      </c>
      <c r="C765" s="2">
        <v>319781391</v>
      </c>
      <c r="D765" s="3">
        <v>4929110</v>
      </c>
      <c r="E765" s="3">
        <v>63025</v>
      </c>
      <c r="F765">
        <f>YEAR(B765)</f>
        <v>2023</v>
      </c>
      <c r="G765" t="str">
        <f>TEXT(B765,"MMMM")</f>
        <v>November</v>
      </c>
      <c r="H765" t="str">
        <f>TEXT(B765, "DDDD")</f>
        <v>Saturday</v>
      </c>
      <c r="I765">
        <f>((D765+E765)/C765)*100</f>
        <v>1.5611086637621137</v>
      </c>
      <c r="J765">
        <f>(D765/C765)*1000</f>
        <v>15.41399887149781</v>
      </c>
      <c r="K765">
        <f>(E765/C765)*1000</f>
        <v>0.19708776612332643</v>
      </c>
      <c r="L765">
        <f>CORREL(C765:C1263, D765:D1263)</f>
        <v>0.66082595145556977</v>
      </c>
      <c r="M765">
        <f>CORREL(C765:C1263,E765:E1263)</f>
        <v>4.862874996290046E-2</v>
      </c>
      <c r="N765">
        <f>LEN(A765)</f>
        <v>22</v>
      </c>
      <c r="O765" t="str">
        <f>IF(ISNUMBER(SEARCH("$",A765)), "Money", IF(ISNUMBER(SEARCH("Win",A765)), "Challenge",IF(ISNUMBER(SEARCH("Challenge",A765)), "Challenge",IF(ISNUMBER(SEARCH("Last To Leave",A765)),"Challenge",IF(ISNUMBER(SEARCH("Giving Away", A765)),"Giveaway",IF(ISNUMBER(SEARCH("Stranded",A765)),"Survival", IF(ISNUMBER(SEARCH("Survive",A765)), "Survival", IF(ISNUMBER(SEARCH("Days",A765)),"Endurance","Other"))))))))</f>
        <v>Money</v>
      </c>
    </row>
    <row r="766" spans="1:15" x14ac:dyDescent="0.3">
      <c r="A766" t="s">
        <v>774</v>
      </c>
      <c r="B766" s="1">
        <v>45248</v>
      </c>
      <c r="C766" s="2">
        <v>316045759</v>
      </c>
      <c r="D766" s="3">
        <v>8307146</v>
      </c>
      <c r="E766" s="3">
        <v>126897</v>
      </c>
      <c r="F766">
        <f>YEAR(B766)</f>
        <v>2023</v>
      </c>
      <c r="G766" t="str">
        <f>TEXT(B766,"MMMM")</f>
        <v>November</v>
      </c>
      <c r="H766" t="str">
        <f>TEXT(B766, "DDDD")</f>
        <v>Saturday</v>
      </c>
      <c r="I766">
        <f>((D766+E766)/C766)*100</f>
        <v>2.6686145154062957</v>
      </c>
      <c r="J766">
        <f>(D766/C766)*1000</f>
        <v>26.284630511368452</v>
      </c>
      <c r="K766">
        <f>(E766/C766)*1000</f>
        <v>0.40151464269450932</v>
      </c>
      <c r="L766">
        <f>CORREL(C766:C1264, D766:D1264)</f>
        <v>0.66099997516293429</v>
      </c>
      <c r="M766">
        <f>CORREL(C766:C1264,E766:E1264)</f>
        <v>4.8640243316374433E-2</v>
      </c>
      <c r="N766">
        <f>LEN(A766)</f>
        <v>27</v>
      </c>
      <c r="O766" t="str">
        <f>IF(ISNUMBER(SEARCH("$",A766)), "Money", IF(ISNUMBER(SEARCH("Win",A766)), "Challenge",IF(ISNUMBER(SEARCH("Challenge",A766)), "Challenge",IF(ISNUMBER(SEARCH("Last To Leave",A766)),"Challenge",IF(ISNUMBER(SEARCH("Giving Away", A766)),"Giveaway",IF(ISNUMBER(SEARCH("Stranded",A766)),"Survival", IF(ISNUMBER(SEARCH("Survive",A766)), "Survival", IF(ISNUMBER(SEARCH("Days",A766)),"Endurance","Other"))))))))</f>
        <v>Endurance</v>
      </c>
    </row>
    <row r="767" spans="1:15" x14ac:dyDescent="0.3">
      <c r="A767" t="s">
        <v>775</v>
      </c>
      <c r="B767" s="1">
        <v>45227</v>
      </c>
      <c r="C767" s="2">
        <v>314301634</v>
      </c>
      <c r="D767" s="3">
        <v>4874061</v>
      </c>
      <c r="E767" s="3">
        <v>83636</v>
      </c>
      <c r="F767">
        <f>YEAR(B767)</f>
        <v>2023</v>
      </c>
      <c r="G767" t="str">
        <f>TEXT(B767,"MMMM")</f>
        <v>October</v>
      </c>
      <c r="H767" t="str">
        <f>TEXT(B767, "DDDD")</f>
        <v>Saturday</v>
      </c>
      <c r="I767">
        <f>((D767+E767)/C767)*100</f>
        <v>1.5773691459714141</v>
      </c>
      <c r="J767">
        <f>(D767/C767)*1000</f>
        <v>15.507590393246254</v>
      </c>
      <c r="K767">
        <f>(E767/C767)*1000</f>
        <v>0.26610106646788861</v>
      </c>
      <c r="L767">
        <f>CORREL(C767:C1265, D767:D1265)</f>
        <v>0.66115731324135474</v>
      </c>
      <c r="M767">
        <f>CORREL(C767:C1265,E767:E1265)</f>
        <v>4.8543479225514642E-2</v>
      </c>
      <c r="N767">
        <f>LEN(A767)</f>
        <v>54</v>
      </c>
      <c r="O767" t="str">
        <f>IF(ISNUMBER(SEARCH("$",A767)), "Money", IF(ISNUMBER(SEARCH("Win",A767)), "Challenge",IF(ISNUMBER(SEARCH("Challenge",A767)), "Challenge",IF(ISNUMBER(SEARCH("Last To Leave",A767)),"Challenge",IF(ISNUMBER(SEARCH("Giving Away", A767)),"Giveaway",IF(ISNUMBER(SEARCH("Stranded",A767)),"Survival", IF(ISNUMBER(SEARCH("Survive",A767)), "Survival", IF(ISNUMBER(SEARCH("Days",A767)),"Endurance","Other"))))))))</f>
        <v>Money</v>
      </c>
    </row>
    <row r="768" spans="1:15" x14ac:dyDescent="0.3">
      <c r="A768" t="s">
        <v>776</v>
      </c>
      <c r="B768" s="1">
        <v>45115</v>
      </c>
      <c r="C768" s="2">
        <v>303111032</v>
      </c>
      <c r="D768" s="3">
        <v>6650467</v>
      </c>
      <c r="E768" s="3">
        <v>129399</v>
      </c>
      <c r="F768">
        <f>YEAR(B768)</f>
        <v>2023</v>
      </c>
      <c r="G768" t="str">
        <f>TEXT(B768,"MMMM")</f>
        <v>July</v>
      </c>
      <c r="H768" t="str">
        <f>TEXT(B768, "DDDD")</f>
        <v>Saturday</v>
      </c>
      <c r="I768">
        <f>((D768+E768)/C768)*100</f>
        <v>2.236759894638213</v>
      </c>
      <c r="J768">
        <f>(D768/C768)*1000</f>
        <v>21.940695975724172</v>
      </c>
      <c r="K768">
        <f>(E768/C768)*1000</f>
        <v>0.42690297065796012</v>
      </c>
      <c r="L768">
        <f>CORREL(C768:C1266, D768:D1266)</f>
        <v>0.6613128877204415</v>
      </c>
      <c r="M768">
        <f>CORREL(C768:C1266,E768:E1266)</f>
        <v>4.851661232599546E-2</v>
      </c>
      <c r="N768">
        <f>LEN(A768)</f>
        <v>18</v>
      </c>
      <c r="O768" t="str">
        <f>IF(ISNUMBER(SEARCH("$",A768)), "Money", IF(ISNUMBER(SEARCH("Win",A768)), "Challenge",IF(ISNUMBER(SEARCH("Challenge",A768)), "Challenge",IF(ISNUMBER(SEARCH("Last To Leave",A768)),"Challenge",IF(ISNUMBER(SEARCH("Giving Away", A768)),"Giveaway",IF(ISNUMBER(SEARCH("Stranded",A768)),"Survival", IF(ISNUMBER(SEARCH("Survive",A768)), "Survival", IF(ISNUMBER(SEARCH("Days",A768)),"Endurance","Other"))))))))</f>
        <v>Other</v>
      </c>
    </row>
    <row r="769" spans="1:15" x14ac:dyDescent="0.3">
      <c r="A769" t="s">
        <v>777</v>
      </c>
      <c r="B769" s="1">
        <v>45290</v>
      </c>
      <c r="C769" s="2">
        <v>294054003</v>
      </c>
      <c r="D769" s="3">
        <v>5560199</v>
      </c>
      <c r="E769" s="3">
        <v>86214</v>
      </c>
      <c r="F769">
        <f>YEAR(B769)</f>
        <v>2023</v>
      </c>
      <c r="G769" t="str">
        <f>TEXT(B769,"MMMM")</f>
        <v>December</v>
      </c>
      <c r="H769" t="str">
        <f>TEXT(B769, "DDDD")</f>
        <v>Saturday</v>
      </c>
      <c r="I769">
        <f>((D769+E769)/C769)*100</f>
        <v>1.9201959308134298</v>
      </c>
      <c r="J769">
        <f>(D769/C769)*1000</f>
        <v>18.908768264583017</v>
      </c>
      <c r="K769">
        <f>(E769/C769)*1000</f>
        <v>0.29319104355127584</v>
      </c>
      <c r="L769">
        <f>CORREL(C769:C1267, D769:D1267)</f>
        <v>0.66132466014687008</v>
      </c>
      <c r="M769">
        <f>CORREL(C769:C1267,E769:E1267)</f>
        <v>4.8523791516195652E-2</v>
      </c>
      <c r="N769">
        <f>LEN(A769)</f>
        <v>38</v>
      </c>
      <c r="O769" t="str">
        <f>IF(ISNUMBER(SEARCH("$",A769)), "Money", IF(ISNUMBER(SEARCH("Win",A769)), "Challenge",IF(ISNUMBER(SEARCH("Challenge",A769)), "Challenge",IF(ISNUMBER(SEARCH("Last To Leave",A769)),"Challenge",IF(ISNUMBER(SEARCH("Giving Away", A769)),"Giveaway",IF(ISNUMBER(SEARCH("Stranded",A769)),"Survival", IF(ISNUMBER(SEARCH("Survive",A769)), "Survival", IF(ISNUMBER(SEARCH("Days",A769)),"Endurance","Other"))))))))</f>
        <v>Endurance</v>
      </c>
    </row>
    <row r="770" spans="1:15" x14ac:dyDescent="0.3">
      <c r="A770" t="s">
        <v>778</v>
      </c>
      <c r="B770" s="1">
        <v>45218</v>
      </c>
      <c r="C770" s="2">
        <v>286275332</v>
      </c>
      <c r="D770" s="3">
        <v>11416973</v>
      </c>
      <c r="E770" s="3">
        <v>29003</v>
      </c>
      <c r="F770">
        <f>YEAR(B770)</f>
        <v>2023</v>
      </c>
      <c r="G770" t="str">
        <f>TEXT(B770,"MMMM")</f>
        <v>October</v>
      </c>
      <c r="H770" t="str">
        <f>TEXT(B770, "DDDD")</f>
        <v>Thursday</v>
      </c>
      <c r="I770">
        <f>((D770+E770)/C770)*100</f>
        <v>3.9982404072454276</v>
      </c>
      <c r="J770">
        <f>(D770/C770)*1000</f>
        <v>39.88109251411155</v>
      </c>
      <c r="K770">
        <f>(E770/C770)*1000</f>
        <v>0.10131155834272162</v>
      </c>
      <c r="L770">
        <f>CORREL(C770:C1268, D770:D1268)</f>
        <v>0.66132953572229636</v>
      </c>
      <c r="M770">
        <f>CORREL(C770:C1268,E770:E1268)</f>
        <v>4.854525380252963E-2</v>
      </c>
      <c r="N770">
        <f>LEN(A770)</f>
        <v>31</v>
      </c>
      <c r="O770" t="str">
        <f>IF(ISNUMBER(SEARCH("$",A770)), "Money", IF(ISNUMBER(SEARCH("Win",A770)), "Challenge",IF(ISNUMBER(SEARCH("Challenge",A770)), "Challenge",IF(ISNUMBER(SEARCH("Last To Leave",A770)),"Challenge",IF(ISNUMBER(SEARCH("Giving Away", A770)),"Giveaway",IF(ISNUMBER(SEARCH("Stranded",A770)),"Survival", IF(ISNUMBER(SEARCH("Survive",A770)), "Survival", IF(ISNUMBER(SEARCH("Days",A770)),"Endurance","Other"))))))))</f>
        <v>Other</v>
      </c>
    </row>
    <row r="771" spans="1:15" x14ac:dyDescent="0.3">
      <c r="A771" t="s">
        <v>779</v>
      </c>
      <c r="B771" s="1">
        <v>45171</v>
      </c>
      <c r="C771" s="2">
        <v>280028059</v>
      </c>
      <c r="D771" s="3">
        <v>5838742</v>
      </c>
      <c r="E771" s="3">
        <v>144140</v>
      </c>
      <c r="F771">
        <f>YEAR(B771)</f>
        <v>2023</v>
      </c>
      <c r="G771" t="str">
        <f>TEXT(B771,"MMMM")</f>
        <v>September</v>
      </c>
      <c r="H771" t="str">
        <f>TEXT(B771, "DDDD")</f>
        <v>Saturday</v>
      </c>
      <c r="I771">
        <f>((D771+E771)/C771)*100</f>
        <v>2.1365294682844622</v>
      </c>
      <c r="J771">
        <f>(D771/C771)*1000</f>
        <v>20.850560550433983</v>
      </c>
      <c r="K771">
        <f>(E771/C771)*1000</f>
        <v>0.51473413241063826</v>
      </c>
      <c r="L771">
        <f>CORREL(C771:C1269, D771:D1269)</f>
        <v>0.66323728267170701</v>
      </c>
      <c r="M771">
        <f>CORREL(C771:C1269,E771:E1269)</f>
        <v>4.8476468228902836E-2</v>
      </c>
      <c r="N771">
        <f>LEN(A771)</f>
        <v>35</v>
      </c>
      <c r="O771" t="str">
        <f>IF(ISNUMBER(SEARCH("$",A771)), "Money", IF(ISNUMBER(SEARCH("Win",A771)), "Challenge",IF(ISNUMBER(SEARCH("Challenge",A771)), "Challenge",IF(ISNUMBER(SEARCH("Last To Leave",A771)),"Challenge",IF(ISNUMBER(SEARCH("Giving Away", A771)),"Giveaway",IF(ISNUMBER(SEARCH("Stranded",A771)),"Survival", IF(ISNUMBER(SEARCH("Survive",A771)), "Survival", IF(ISNUMBER(SEARCH("Days",A771)),"Endurance","Other"))))))))</f>
        <v>Other</v>
      </c>
    </row>
    <row r="772" spans="1:15" x14ac:dyDescent="0.3">
      <c r="A772" t="s">
        <v>780</v>
      </c>
      <c r="B772" s="1">
        <v>45157</v>
      </c>
      <c r="C772" s="2">
        <v>271012467</v>
      </c>
      <c r="D772" s="3">
        <v>6554255</v>
      </c>
      <c r="E772" s="3">
        <v>381323</v>
      </c>
      <c r="F772">
        <f>YEAR(B772)</f>
        <v>2023</v>
      </c>
      <c r="G772" t="str">
        <f>TEXT(B772,"MMMM")</f>
        <v>August</v>
      </c>
      <c r="H772" t="str">
        <f>TEXT(B772, "DDDD")</f>
        <v>Saturday</v>
      </c>
      <c r="I772">
        <f>((D772+E772)/C772)*100</f>
        <v>2.5591361448327765</v>
      </c>
      <c r="J772">
        <f>(D772/C772)*1000</f>
        <v>24.184330235996118</v>
      </c>
      <c r="K772">
        <f>(E772/C772)*1000</f>
        <v>1.4070312123316453</v>
      </c>
      <c r="L772">
        <f>CORREL(C772:C1270, D772:D1270)</f>
        <v>0.66323171170520834</v>
      </c>
      <c r="M772">
        <f>CORREL(C772:C1270,E772:E1270)</f>
        <v>4.8735418541470045E-2</v>
      </c>
      <c r="N772">
        <f>LEN(A772)</f>
        <v>43</v>
      </c>
      <c r="O772" t="str">
        <f>IF(ISNUMBER(SEARCH("$",A772)), "Money", IF(ISNUMBER(SEARCH("Win",A772)), "Challenge",IF(ISNUMBER(SEARCH("Challenge",A772)), "Challenge",IF(ISNUMBER(SEARCH("Last To Leave",A772)),"Challenge",IF(ISNUMBER(SEARCH("Giving Away", A772)),"Giveaway",IF(ISNUMBER(SEARCH("Stranded",A772)),"Survival", IF(ISNUMBER(SEARCH("Survive",A772)), "Survival", IF(ISNUMBER(SEARCH("Days",A772)),"Endurance","Other"))))))))</f>
        <v>Money</v>
      </c>
    </row>
    <row r="773" spans="1:15" x14ac:dyDescent="0.3">
      <c r="A773" t="s">
        <v>781</v>
      </c>
      <c r="B773" s="1">
        <v>45234</v>
      </c>
      <c r="C773" s="2">
        <v>267106963</v>
      </c>
      <c r="D773" s="3">
        <v>10438121</v>
      </c>
      <c r="E773" s="3">
        <v>214794</v>
      </c>
      <c r="F773">
        <f>YEAR(B773)</f>
        <v>2023</v>
      </c>
      <c r="G773" t="str">
        <f>TEXT(B773,"MMMM")</f>
        <v>November</v>
      </c>
      <c r="H773" t="str">
        <f>TEXT(B773, "DDDD")</f>
        <v>Saturday</v>
      </c>
      <c r="I773">
        <f>((D773+E773)/C773)*100</f>
        <v>3.9882580672372812</v>
      </c>
      <c r="J773">
        <f>(D773/C773)*1000</f>
        <v>39.078430913087054</v>
      </c>
      <c r="K773">
        <f>(E773/C773)*1000</f>
        <v>0.80414975928575849</v>
      </c>
      <c r="L773">
        <f>CORREL(C773:C1271, D773:D1271)</f>
        <v>0.66331696471445223</v>
      </c>
      <c r="M773">
        <f>CORREL(C773:C1271,E773:E1271)</f>
        <v>5.0625854322998244E-2</v>
      </c>
      <c r="N773">
        <f>LEN(A773)</f>
        <v>27</v>
      </c>
      <c r="O773" t="str">
        <f>IF(ISNUMBER(SEARCH("$",A773)), "Money", IF(ISNUMBER(SEARCH("Win",A773)), "Challenge",IF(ISNUMBER(SEARCH("Challenge",A773)), "Challenge",IF(ISNUMBER(SEARCH("Last To Leave",A773)),"Challenge",IF(ISNUMBER(SEARCH("Giving Away", A773)),"Giveaway",IF(ISNUMBER(SEARCH("Stranded",A773)),"Survival", IF(ISNUMBER(SEARCH("Survive",A773)), "Survival", IF(ISNUMBER(SEARCH("Days",A773)),"Endurance","Other"))))))))</f>
        <v>Other</v>
      </c>
    </row>
    <row r="774" spans="1:15" x14ac:dyDescent="0.3">
      <c r="A774" t="s">
        <v>782</v>
      </c>
      <c r="B774" s="1">
        <v>45052</v>
      </c>
      <c r="C774" s="2">
        <v>220057069</v>
      </c>
      <c r="D774" s="3">
        <v>5541847</v>
      </c>
      <c r="E774" s="3">
        <v>153718</v>
      </c>
      <c r="F774">
        <f>YEAR(B774)</f>
        <v>2023</v>
      </c>
      <c r="G774" t="str">
        <f>TEXT(B774,"MMMM")</f>
        <v>May</v>
      </c>
      <c r="H774" t="str">
        <f>TEXT(B774, "DDDD")</f>
        <v>Saturday</v>
      </c>
      <c r="I774">
        <f>((D774+E774)/C774)*100</f>
        <v>2.5882217853224248</v>
      </c>
      <c r="J774">
        <f>(D774/C774)*1000</f>
        <v>25.183680875073364</v>
      </c>
      <c r="K774">
        <f>(E774/C774)*1000</f>
        <v>0.69853697815088145</v>
      </c>
      <c r="L774">
        <f>CORREL(C774:C1272, D774:D1272)</f>
        <v>0.66499013767312687</v>
      </c>
      <c r="M774">
        <f>CORREL(C774:C1272,E774:E1272)</f>
        <v>5.147582540575002E-2</v>
      </c>
      <c r="N774">
        <f>LEN(A774)</f>
        <v>41</v>
      </c>
      <c r="O774" t="str">
        <f>IF(ISNUMBER(SEARCH("$",A774)), "Money", IF(ISNUMBER(SEARCH("Win",A774)), "Challenge",IF(ISNUMBER(SEARCH("Challenge",A774)), "Challenge",IF(ISNUMBER(SEARCH("Last To Leave",A774)),"Challenge",IF(ISNUMBER(SEARCH("Giving Away", A774)),"Giveaway",IF(ISNUMBER(SEARCH("Stranded",A774)),"Survival", IF(ISNUMBER(SEARCH("Survive",A774)), "Survival", IF(ISNUMBER(SEARCH("Days",A774)),"Endurance","Other"))))))))</f>
        <v>Other</v>
      </c>
    </row>
    <row r="775" spans="1:15" x14ac:dyDescent="0.3">
      <c r="A775" t="s">
        <v>783</v>
      </c>
      <c r="B775" s="1">
        <v>44954</v>
      </c>
      <c r="C775" s="2">
        <v>217481323</v>
      </c>
      <c r="D775" s="3">
        <v>10381263</v>
      </c>
      <c r="E775" s="3">
        <v>378164</v>
      </c>
      <c r="F775">
        <f>YEAR(B775)</f>
        <v>2023</v>
      </c>
      <c r="G775" t="str">
        <f>TEXT(B775,"MMMM")</f>
        <v>January</v>
      </c>
      <c r="H775" t="str">
        <f>TEXT(B775, "DDDD")</f>
        <v>Saturday</v>
      </c>
      <c r="I775">
        <f>((D775+E775)/C775)*100</f>
        <v>4.9472878183659015</v>
      </c>
      <c r="J775">
        <f>(D775/C775)*1000</f>
        <v>47.734043810281584</v>
      </c>
      <c r="K775">
        <f>(E775/C775)*1000</f>
        <v>1.7388343733774325</v>
      </c>
      <c r="L775">
        <f>CORREL(C775:C1273, D775:D1273)</f>
        <v>0.66501573208531095</v>
      </c>
      <c r="M775">
        <f>CORREL(C775:C1273,E775:E1273)</f>
        <v>5.2544889749032757E-2</v>
      </c>
      <c r="N775">
        <f>LEN(A775)</f>
        <v>41</v>
      </c>
      <c r="O775" t="str">
        <f>IF(ISNUMBER(SEARCH("$",A775)), "Money", IF(ISNUMBER(SEARCH("Win",A775)), "Challenge",IF(ISNUMBER(SEARCH("Challenge",A775)), "Challenge",IF(ISNUMBER(SEARCH("Last To Leave",A775)),"Challenge",IF(ISNUMBER(SEARCH("Giving Away", A775)),"Giveaway",IF(ISNUMBER(SEARCH("Stranded",A775)),"Survival", IF(ISNUMBER(SEARCH("Survive",A775)), "Survival", IF(ISNUMBER(SEARCH("Days",A775)),"Endurance","Other"))))))))</f>
        <v>Other</v>
      </c>
    </row>
    <row r="776" spans="1:15" x14ac:dyDescent="0.3">
      <c r="A776" t="s">
        <v>784</v>
      </c>
      <c r="B776" s="1">
        <v>45163</v>
      </c>
      <c r="C776" s="2">
        <v>140725409</v>
      </c>
      <c r="D776" s="3">
        <v>5192169</v>
      </c>
      <c r="E776" s="3">
        <v>9158</v>
      </c>
      <c r="F776">
        <f>YEAR(B776)</f>
        <v>2023</v>
      </c>
      <c r="G776" t="str">
        <f>TEXT(B776,"MMMM")</f>
        <v>August</v>
      </c>
      <c r="H776" t="str">
        <f>TEXT(B776, "DDDD")</f>
        <v>Friday</v>
      </c>
      <c r="I776">
        <f>((D776+E776)/C776)*100</f>
        <v>3.6960823471474153</v>
      </c>
      <c r="J776">
        <f>(D776/C776)*1000</f>
        <v>36.895746382232936</v>
      </c>
      <c r="K776">
        <f>(E776/C776)*1000</f>
        <v>6.5077089241218689E-2</v>
      </c>
      <c r="L776">
        <f>CORREL(C776:C1274, D776:D1274)</f>
        <v>0.66763218038816685</v>
      </c>
      <c r="M776">
        <f>CORREL(C776:C1274,E776:E1274)</f>
        <v>5.6903013724144635E-2</v>
      </c>
      <c r="N776">
        <f>LEN(A776)</f>
        <v>38</v>
      </c>
      <c r="O776" t="str">
        <f>IF(ISNUMBER(SEARCH("$",A776)), "Money", IF(ISNUMBER(SEARCH("Win",A776)), "Challenge",IF(ISNUMBER(SEARCH("Challenge",A776)), "Challenge",IF(ISNUMBER(SEARCH("Last To Leave",A776)),"Challenge",IF(ISNUMBER(SEARCH("Giving Away", A776)),"Giveaway",IF(ISNUMBER(SEARCH("Stranded",A776)),"Survival", IF(ISNUMBER(SEARCH("Survive",A776)), "Survival", IF(ISNUMBER(SEARCH("Days",A776)),"Endurance","Other"))))))))</f>
        <v>Challenge</v>
      </c>
    </row>
    <row r="777" spans="1:15" x14ac:dyDescent="0.3">
      <c r="A777" t="s">
        <v>785</v>
      </c>
      <c r="B777" s="1">
        <v>45604</v>
      </c>
      <c r="C777" s="2">
        <v>816189699</v>
      </c>
      <c r="D777" s="3">
        <v>14239088</v>
      </c>
      <c r="E777" s="3">
        <v>22167</v>
      </c>
      <c r="F777">
        <f>YEAR(B777)</f>
        <v>2024</v>
      </c>
      <c r="G777" t="str">
        <f>TEXT(B777,"MMMM")</f>
        <v>November</v>
      </c>
      <c r="H777" t="str">
        <f>TEXT(B777, "DDDD")</f>
        <v>Friday</v>
      </c>
      <c r="I777">
        <f>((D777+E777)/C777)*100</f>
        <v>1.7472966171311604</v>
      </c>
      <c r="J777">
        <f>(D777/C777)*1000</f>
        <v>17.4458070439333</v>
      </c>
      <c r="K777">
        <f>(E777/C777)*1000</f>
        <v>2.7159127378303265E-2</v>
      </c>
      <c r="L777">
        <f>CORREL(C777:C1275, D777:D1275)</f>
        <v>0.6678377401372334</v>
      </c>
      <c r="M777">
        <f>CORREL(C777:C1275,E777:E1275)</f>
        <v>5.5777584169441279E-2</v>
      </c>
      <c r="N777">
        <f>LEN(A777)</f>
        <v>36</v>
      </c>
      <c r="O777" t="str">
        <f>IF(ISNUMBER(SEARCH("$",A777)), "Money", IF(ISNUMBER(SEARCH("Win",A777)), "Challenge",IF(ISNUMBER(SEARCH("Challenge",A777)), "Challenge",IF(ISNUMBER(SEARCH("Last To Leave",A777)),"Challenge",IF(ISNUMBER(SEARCH("Giving Away", A777)),"Giveaway",IF(ISNUMBER(SEARCH("Stranded",A777)),"Survival", IF(ISNUMBER(SEARCH("Survive",A777)), "Survival", IF(ISNUMBER(SEARCH("Days",A777)),"Endurance","Other"))))))))</f>
        <v>Other</v>
      </c>
    </row>
    <row r="778" spans="1:15" x14ac:dyDescent="0.3">
      <c r="A778" t="s">
        <v>786</v>
      </c>
      <c r="B778" s="1">
        <v>45346</v>
      </c>
      <c r="C778" s="2">
        <v>784124610</v>
      </c>
      <c r="D778" s="3">
        <v>13512035</v>
      </c>
      <c r="E778" s="3">
        <v>13536</v>
      </c>
      <c r="F778">
        <f>YEAR(B778)</f>
        <v>2024</v>
      </c>
      <c r="G778" t="str">
        <f>TEXT(B778,"MMMM")</f>
        <v>February</v>
      </c>
      <c r="H778" t="str">
        <f>TEXT(B778, "DDDD")</f>
        <v>Saturday</v>
      </c>
      <c r="I778">
        <f>((D778+E778)/C778)*100</f>
        <v>1.7249262205913929</v>
      </c>
      <c r="J778">
        <f>(D778/C778)*1000</f>
        <v>17.231999643526045</v>
      </c>
      <c r="K778">
        <f>(E778/C778)*1000</f>
        <v>1.7262562387883731E-2</v>
      </c>
      <c r="L778">
        <f>CORREL(C778:C1276, D778:D1276)</f>
        <v>0.66301696019901113</v>
      </c>
      <c r="M778">
        <f>CORREL(C778:C1276,E778:E1276)</f>
        <v>5.9313962258853138E-2</v>
      </c>
      <c r="N778">
        <f>LEN(A778)</f>
        <v>42</v>
      </c>
      <c r="O778" t="str">
        <f>IF(ISNUMBER(SEARCH("$",A778)), "Money", IF(ISNUMBER(SEARCH("Win",A778)), "Challenge",IF(ISNUMBER(SEARCH("Challenge",A778)), "Challenge",IF(ISNUMBER(SEARCH("Last To Leave",A778)),"Challenge",IF(ISNUMBER(SEARCH("Giving Away", A778)),"Giveaway",IF(ISNUMBER(SEARCH("Stranded",A778)),"Survival", IF(ISNUMBER(SEARCH("Survive",A778)), "Survival", IF(ISNUMBER(SEARCH("Days",A778)),"Endurance","Other"))))))))</f>
        <v>Other</v>
      </c>
    </row>
    <row r="779" spans="1:15" x14ac:dyDescent="0.3">
      <c r="A779" t="s">
        <v>787</v>
      </c>
      <c r="B779" s="1">
        <v>45540</v>
      </c>
      <c r="C779" s="2">
        <v>772670894</v>
      </c>
      <c r="D779" s="3">
        <v>18116647</v>
      </c>
      <c r="E779" s="3">
        <v>15995</v>
      </c>
      <c r="F779">
        <f>YEAR(B779)</f>
        <v>2024</v>
      </c>
      <c r="G779" t="str">
        <f>TEXT(B779,"MMMM")</f>
        <v>September</v>
      </c>
      <c r="H779" t="str">
        <f>TEXT(B779, "DDDD")</f>
        <v>Thursday</v>
      </c>
      <c r="I779">
        <f>((D779+E779)/C779)*100</f>
        <v>2.3467484204212825</v>
      </c>
      <c r="J779">
        <f>(D779/C779)*1000</f>
        <v>23.446783282094227</v>
      </c>
      <c r="K779">
        <f>(E779/C779)*1000</f>
        <v>2.0700922118596071E-2</v>
      </c>
      <c r="L779">
        <f>CORREL(C779:C1277, D779:D1277)</f>
        <v>0.65882349100114579</v>
      </c>
      <c r="M779">
        <f>CORREL(C779:C1277,E779:E1277)</f>
        <v>6.3300027527430386E-2</v>
      </c>
      <c r="N779">
        <f>LEN(A779)</f>
        <v>34</v>
      </c>
      <c r="O779" t="str">
        <f>IF(ISNUMBER(SEARCH("$",A779)), "Money", IF(ISNUMBER(SEARCH("Win",A779)), "Challenge",IF(ISNUMBER(SEARCH("Challenge",A779)), "Challenge",IF(ISNUMBER(SEARCH("Last To Leave",A779)),"Challenge",IF(ISNUMBER(SEARCH("Giving Away", A779)),"Giveaway",IF(ISNUMBER(SEARCH("Stranded",A779)),"Survival", IF(ISNUMBER(SEARCH("Survive",A779)), "Survival", IF(ISNUMBER(SEARCH("Days",A779)),"Endurance","Other"))))))))</f>
        <v>Other</v>
      </c>
    </row>
    <row r="780" spans="1:15" x14ac:dyDescent="0.3">
      <c r="A780" t="s">
        <v>788</v>
      </c>
      <c r="B780" s="1">
        <v>45636</v>
      </c>
      <c r="C780" s="2">
        <v>770102891</v>
      </c>
      <c r="D780" s="3">
        <v>19342713</v>
      </c>
      <c r="E780" s="3">
        <v>17491</v>
      </c>
      <c r="F780">
        <f>YEAR(B780)</f>
        <v>2024</v>
      </c>
      <c r="G780" t="str">
        <f>TEXT(B780,"MMMM")</f>
        <v>December</v>
      </c>
      <c r="H780" t="str">
        <f>TEXT(B780, "DDDD")</f>
        <v>Tuesday</v>
      </c>
      <c r="I780">
        <f>((D780+E780)/C780)*100</f>
        <v>2.5139762785282156</v>
      </c>
      <c r="J780">
        <f>(D780/C780)*1000</f>
        <v>25.117050235823619</v>
      </c>
      <c r="K780">
        <f>(E780/C780)*1000</f>
        <v>2.2712549458537224E-2</v>
      </c>
      <c r="L780">
        <f>CORREL(C780:C1278, D780:D1278)</f>
        <v>0.65133323559717848</v>
      </c>
      <c r="M780">
        <f>CORREL(C780:C1278,E780:E1278)</f>
        <v>6.7128681245092164E-2</v>
      </c>
      <c r="N780">
        <f>LEN(A780)</f>
        <v>38</v>
      </c>
      <c r="O780" t="str">
        <f>IF(ISNUMBER(SEARCH("$",A780)), "Money", IF(ISNUMBER(SEARCH("Win",A780)), "Challenge",IF(ISNUMBER(SEARCH("Challenge",A780)), "Challenge",IF(ISNUMBER(SEARCH("Last To Leave",A780)),"Challenge",IF(ISNUMBER(SEARCH("Giving Away", A780)),"Giveaway",IF(ISNUMBER(SEARCH("Stranded",A780)),"Survival", IF(ISNUMBER(SEARCH("Survive",A780)), "Survival", IF(ISNUMBER(SEARCH("Days",A780)),"Endurance","Other"))))))))</f>
        <v>Other</v>
      </c>
    </row>
    <row r="781" spans="1:15" x14ac:dyDescent="0.3">
      <c r="A781" t="s">
        <v>789</v>
      </c>
      <c r="B781" s="1">
        <v>45648</v>
      </c>
      <c r="C781" s="2">
        <v>747520413</v>
      </c>
      <c r="D781" s="3">
        <v>14167719</v>
      </c>
      <c r="E781" s="3">
        <v>11672</v>
      </c>
      <c r="F781">
        <f>YEAR(B781)</f>
        <v>2024</v>
      </c>
      <c r="G781" t="str">
        <f>TEXT(B781,"MMMM")</f>
        <v>December</v>
      </c>
      <c r="H781" t="str">
        <f>TEXT(B781, "DDDD")</f>
        <v>Sunday</v>
      </c>
      <c r="I781">
        <f>((D781+E781)/C781)*100</f>
        <v>1.8968566949354999</v>
      </c>
      <c r="J781">
        <f>(D781/C781)*1000</f>
        <v>18.952952660036591</v>
      </c>
      <c r="K781">
        <f>(E781/C781)*1000</f>
        <v>1.5614289318410893E-2</v>
      </c>
      <c r="L781">
        <f>CORREL(C781:C1279, D781:D1279)</f>
        <v>0.6430521474271631</v>
      </c>
      <c r="M781">
        <f>CORREL(C781:C1279,E781:E1279)</f>
        <v>7.0947144039946619E-2</v>
      </c>
      <c r="N781">
        <f>LEN(A781)</f>
        <v>33</v>
      </c>
      <c r="O781" t="str">
        <f>IF(ISNUMBER(SEARCH("$",A781)), "Money", IF(ISNUMBER(SEARCH("Win",A781)), "Challenge",IF(ISNUMBER(SEARCH("Challenge",A781)), "Challenge",IF(ISNUMBER(SEARCH("Last To Leave",A781)),"Challenge",IF(ISNUMBER(SEARCH("Giving Away", A781)),"Giveaway",IF(ISNUMBER(SEARCH("Stranded",A781)),"Survival", IF(ISNUMBER(SEARCH("Survive",A781)), "Survival", IF(ISNUMBER(SEARCH("Days",A781)),"Endurance","Other"))))))))</f>
        <v>Money</v>
      </c>
    </row>
    <row r="782" spans="1:15" x14ac:dyDescent="0.3">
      <c r="A782" t="s">
        <v>790</v>
      </c>
      <c r="B782" s="1">
        <v>45608</v>
      </c>
      <c r="C782" s="2">
        <v>734694473</v>
      </c>
      <c r="D782" s="3">
        <v>13659548</v>
      </c>
      <c r="E782" s="3">
        <v>9967</v>
      </c>
      <c r="F782">
        <f>YEAR(B782)</f>
        <v>2024</v>
      </c>
      <c r="G782" t="str">
        <f>TEXT(B782,"MMMM")</f>
        <v>November</v>
      </c>
      <c r="H782" t="str">
        <f>TEXT(B782, "DDDD")</f>
        <v>Tuesday</v>
      </c>
      <c r="I782">
        <f>((D782+E782)/C782)*100</f>
        <v>1.8605713670585895</v>
      </c>
      <c r="J782">
        <f>(D782/C782)*1000</f>
        <v>18.592147487136465</v>
      </c>
      <c r="K782">
        <f>(E782/C782)*1000</f>
        <v>1.3566183449429597E-2</v>
      </c>
      <c r="L782">
        <f>CORREL(C782:C1280, D782:D1280)</f>
        <v>0.63765366901252707</v>
      </c>
      <c r="M782">
        <f>CORREL(C782:C1280,E782:E1280)</f>
        <v>7.5057005842355154E-2</v>
      </c>
      <c r="N782">
        <f>LEN(A782)</f>
        <v>20</v>
      </c>
      <c r="O782" t="str">
        <f>IF(ISNUMBER(SEARCH("$",A782)), "Money", IF(ISNUMBER(SEARCH("Win",A782)), "Challenge",IF(ISNUMBER(SEARCH("Challenge",A782)), "Challenge",IF(ISNUMBER(SEARCH("Last To Leave",A782)),"Challenge",IF(ISNUMBER(SEARCH("Giving Away", A782)),"Giveaway",IF(ISNUMBER(SEARCH("Stranded",A782)),"Survival", IF(ISNUMBER(SEARCH("Survive",A782)), "Survival", IF(ISNUMBER(SEARCH("Days",A782)),"Endurance","Other"))))))))</f>
        <v>Other</v>
      </c>
    </row>
    <row r="783" spans="1:15" x14ac:dyDescent="0.3">
      <c r="A783" t="s">
        <v>791</v>
      </c>
      <c r="B783" s="1">
        <v>45407</v>
      </c>
      <c r="C783" s="2">
        <v>731923375</v>
      </c>
      <c r="D783" s="3">
        <v>26575642</v>
      </c>
      <c r="E783" s="3">
        <v>44356</v>
      </c>
      <c r="F783">
        <f>YEAR(B783)</f>
        <v>2024</v>
      </c>
      <c r="G783" t="str">
        <f>TEXT(B783,"MMMM")</f>
        <v>April</v>
      </c>
      <c r="H783" t="str">
        <f>TEXT(B783, "DDDD")</f>
        <v>Thursday</v>
      </c>
      <c r="I783">
        <f>((D783+E783)/C783)*100</f>
        <v>3.6369924652290275</v>
      </c>
      <c r="J783">
        <f>(D783/C783)*1000</f>
        <v>36.309322680123451</v>
      </c>
      <c r="K783">
        <f>(E783/C783)*1000</f>
        <v>6.060197216682689E-2</v>
      </c>
      <c r="L783">
        <f>CORREL(C783:C1281, D783:D1281)</f>
        <v>0.63258577557179541</v>
      </c>
      <c r="M783">
        <f>CORREL(C783:C1281,E783:E1281)</f>
        <v>7.9264806657875664E-2</v>
      </c>
      <c r="N783">
        <f>LEN(A783)</f>
        <v>28</v>
      </c>
      <c r="O783" t="str">
        <f>IF(ISNUMBER(SEARCH("$",A783)), "Money", IF(ISNUMBER(SEARCH("Win",A783)), "Challenge",IF(ISNUMBER(SEARCH("Challenge",A783)), "Challenge",IF(ISNUMBER(SEARCH("Last To Leave",A783)),"Challenge",IF(ISNUMBER(SEARCH("Giving Away", A783)),"Giveaway",IF(ISNUMBER(SEARCH("Stranded",A783)),"Survival", IF(ISNUMBER(SEARCH("Survive",A783)), "Survival", IF(ISNUMBER(SEARCH("Days",A783)),"Endurance","Other"))))))))</f>
        <v>Other</v>
      </c>
    </row>
    <row r="784" spans="1:15" x14ac:dyDescent="0.3">
      <c r="A784" t="s">
        <v>792</v>
      </c>
      <c r="B784" s="1">
        <v>45492</v>
      </c>
      <c r="C784" s="2">
        <v>691776126</v>
      </c>
      <c r="D784" s="3">
        <v>17596005</v>
      </c>
      <c r="E784" s="3">
        <v>30213</v>
      </c>
      <c r="F784">
        <f>YEAR(B784)</f>
        <v>2024</v>
      </c>
      <c r="G784" t="str">
        <f>TEXT(B784,"MMMM")</f>
        <v>July</v>
      </c>
      <c r="H784" t="str">
        <f>TEXT(B784, "DDDD")</f>
        <v>Friday</v>
      </c>
      <c r="I784">
        <f>((D784+E784)/C784)*100</f>
        <v>2.5479656405488615</v>
      </c>
      <c r="J784">
        <f>(D784/C784)*1000</f>
        <v>25.4359818713952</v>
      </c>
      <c r="K784">
        <f>(E784/C784)*1000</f>
        <v>4.3674534093418545E-2</v>
      </c>
      <c r="L784">
        <f>CORREL(C784:C1282, D784:D1282)</f>
        <v>0.62652233077338448</v>
      </c>
      <c r="M784">
        <f>CORREL(C784:C1282,E784:E1282)</f>
        <v>8.1270539682609319E-2</v>
      </c>
      <c r="N784">
        <f>LEN(A784)</f>
        <v>32</v>
      </c>
      <c r="O784" t="str">
        <f>IF(ISNUMBER(SEARCH("$",A784)), "Money", IF(ISNUMBER(SEARCH("Win",A784)), "Challenge",IF(ISNUMBER(SEARCH("Challenge",A784)), "Challenge",IF(ISNUMBER(SEARCH("Last To Leave",A784)),"Challenge",IF(ISNUMBER(SEARCH("Giving Away", A784)),"Giveaway",IF(ISNUMBER(SEARCH("Stranded",A784)),"Survival", IF(ISNUMBER(SEARCH("Survive",A784)), "Survival", IF(ISNUMBER(SEARCH("Days",A784)),"Endurance","Other"))))))))</f>
        <v>Money</v>
      </c>
    </row>
    <row r="785" spans="1:15" x14ac:dyDescent="0.3">
      <c r="A785" t="s">
        <v>793</v>
      </c>
      <c r="B785" s="1">
        <v>45653</v>
      </c>
      <c r="C785" s="2">
        <v>650067550</v>
      </c>
      <c r="D785" s="3">
        <v>12873323</v>
      </c>
      <c r="E785" s="3">
        <v>33682</v>
      </c>
      <c r="F785">
        <f>YEAR(B785)</f>
        <v>2024</v>
      </c>
      <c r="G785" t="str">
        <f>TEXT(B785,"MMMM")</f>
        <v>December</v>
      </c>
      <c r="H785" t="str">
        <f>TEXT(B785, "DDDD")</f>
        <v>Friday</v>
      </c>
      <c r="I785">
        <f>((D785+E785)/C785)*100</f>
        <v>1.9854867390319668</v>
      </c>
      <c r="J785">
        <f>(D785/C785)*1000</f>
        <v>19.803054313355588</v>
      </c>
      <c r="K785">
        <f>(E785/C785)*1000</f>
        <v>5.1813076964078573E-2</v>
      </c>
      <c r="L785">
        <f>CORREL(C785:C1283, D785:D1283)</f>
        <v>0.61933623861949727</v>
      </c>
      <c r="M785">
        <f>CORREL(C785:C1283,E785:E1283)</f>
        <v>8.3955914293609379E-2</v>
      </c>
      <c r="N785">
        <f>LEN(A785)</f>
        <v>32</v>
      </c>
      <c r="O785" t="str">
        <f>IF(ISNUMBER(SEARCH("$",A785)), "Money", IF(ISNUMBER(SEARCH("Win",A785)), "Challenge",IF(ISNUMBER(SEARCH("Challenge",A785)), "Challenge",IF(ISNUMBER(SEARCH("Last To Leave",A785)),"Challenge",IF(ISNUMBER(SEARCH("Giving Away", A785)),"Giveaway",IF(ISNUMBER(SEARCH("Stranded",A785)),"Survival", IF(ISNUMBER(SEARCH("Survive",A785)), "Survival", IF(ISNUMBER(SEARCH("Days",A785)),"Endurance","Other"))))))))</f>
        <v>Other</v>
      </c>
    </row>
    <row r="786" spans="1:15" x14ac:dyDescent="0.3">
      <c r="A786" t="s">
        <v>794</v>
      </c>
      <c r="B786" s="1">
        <v>45582</v>
      </c>
      <c r="C786" s="2">
        <v>631406756</v>
      </c>
      <c r="D786" s="3">
        <v>14097247</v>
      </c>
      <c r="E786" s="3">
        <v>22617</v>
      </c>
      <c r="F786">
        <f>YEAR(B786)</f>
        <v>2024</v>
      </c>
      <c r="G786" t="str">
        <f>TEXT(B786,"MMMM")</f>
        <v>October</v>
      </c>
      <c r="H786" t="str">
        <f>TEXT(B786, "DDDD")</f>
        <v>Thursday</v>
      </c>
      <c r="I786">
        <f>((D786+E786)/C786)*100</f>
        <v>2.2362548176472155</v>
      </c>
      <c r="J786">
        <f>(D786/C786)*1000</f>
        <v>22.326728160634378</v>
      </c>
      <c r="K786">
        <f>(E786/C786)*1000</f>
        <v>3.5820015837777955E-2</v>
      </c>
      <c r="L786">
        <f>CORREL(C786:C1284, D786:D1284)</f>
        <v>0.61477400143628902</v>
      </c>
      <c r="M786">
        <f>CORREL(C786:C1284,E786:E1284)</f>
        <v>8.6175323581482721E-2</v>
      </c>
      <c r="N786">
        <f>LEN(A786)</f>
        <v>19</v>
      </c>
      <c r="O786" t="str">
        <f>IF(ISNUMBER(SEARCH("$",A786)), "Money", IF(ISNUMBER(SEARCH("Win",A786)), "Challenge",IF(ISNUMBER(SEARCH("Challenge",A786)), "Challenge",IF(ISNUMBER(SEARCH("Last To Leave",A786)),"Challenge",IF(ISNUMBER(SEARCH("Giving Away", A786)),"Giveaway",IF(ISNUMBER(SEARCH("Stranded",A786)),"Survival", IF(ISNUMBER(SEARCH("Survive",A786)), "Survival", IF(ISNUMBER(SEARCH("Days",A786)),"Endurance","Other"))))))))</f>
        <v>Other</v>
      </c>
    </row>
    <row r="787" spans="1:15" x14ac:dyDescent="0.3">
      <c r="A787" t="s">
        <v>733</v>
      </c>
      <c r="B787" s="1">
        <v>45391</v>
      </c>
      <c r="C787" s="2">
        <v>622697624</v>
      </c>
      <c r="D787" s="3">
        <v>19929284</v>
      </c>
      <c r="E787" s="3">
        <v>26190</v>
      </c>
      <c r="F787">
        <f>YEAR(B787)</f>
        <v>2024</v>
      </c>
      <c r="G787" t="str">
        <f>TEXT(B787,"MMMM")</f>
        <v>April</v>
      </c>
      <c r="H787" t="str">
        <f>TEXT(B787, "DDDD")</f>
        <v>Tuesday</v>
      </c>
      <c r="I787">
        <f>((D787+E787)/C787)*100</f>
        <v>3.2046812499159305</v>
      </c>
      <c r="J787">
        <f>(D787/C787)*1000</f>
        <v>32.004753562380699</v>
      </c>
      <c r="K787">
        <f>(E787/C787)*1000</f>
        <v>4.2058936778599301E-2</v>
      </c>
      <c r="L787">
        <f>CORREL(C787:C1285, D787:D1285)</f>
        <v>0.60966229540159322</v>
      </c>
      <c r="M787">
        <f>CORREL(C787:C1285,E787:E1285)</f>
        <v>8.8899600527130446E-2</v>
      </c>
      <c r="N787">
        <f>LEN(A787)</f>
        <v>23</v>
      </c>
      <c r="O787" t="str">
        <f>IF(ISNUMBER(SEARCH("$",A787)), "Money", IF(ISNUMBER(SEARCH("Win",A787)), "Challenge",IF(ISNUMBER(SEARCH("Challenge",A787)), "Challenge",IF(ISNUMBER(SEARCH("Last To Leave",A787)),"Challenge",IF(ISNUMBER(SEARCH("Giving Away", A787)),"Giveaway",IF(ISNUMBER(SEARCH("Stranded",A787)),"Survival", IF(ISNUMBER(SEARCH("Survive",A787)), "Survival", IF(ISNUMBER(SEARCH("Days",A787)),"Endurance","Other"))))))))</f>
        <v>Other</v>
      </c>
    </row>
    <row r="788" spans="1:15" x14ac:dyDescent="0.3">
      <c r="A788" t="s">
        <v>795</v>
      </c>
      <c r="B788" s="1">
        <v>45614</v>
      </c>
      <c r="C788" s="2">
        <v>582483781</v>
      </c>
      <c r="D788" s="3">
        <v>11215697</v>
      </c>
      <c r="E788" s="3">
        <v>15353</v>
      </c>
      <c r="F788">
        <f>YEAR(B788)</f>
        <v>2024</v>
      </c>
      <c r="G788" t="str">
        <f>TEXT(B788,"MMMM")</f>
        <v>November</v>
      </c>
      <c r="H788" t="str">
        <f>TEXT(B788, "DDDD")</f>
        <v>Monday</v>
      </c>
      <c r="I788">
        <f>((D788+E788)/C788)*100</f>
        <v>1.9281309396664559</v>
      </c>
      <c r="J788">
        <f>(D788/C788)*1000</f>
        <v>19.254951581218361</v>
      </c>
      <c r="K788">
        <f>(E788/C788)*1000</f>
        <v>2.635781544619523E-2</v>
      </c>
      <c r="L788">
        <f>CORREL(C788:C1286, D788:D1286)</f>
        <v>0.60459873882124937</v>
      </c>
      <c r="M788">
        <f>CORREL(C788:C1286,E788:E1286)</f>
        <v>9.1414617885862234E-2</v>
      </c>
      <c r="N788">
        <f>LEN(A788)</f>
        <v>38</v>
      </c>
      <c r="O788" t="str">
        <f>IF(ISNUMBER(SEARCH("$",A788)), "Money", IF(ISNUMBER(SEARCH("Win",A788)), "Challenge",IF(ISNUMBER(SEARCH("Challenge",A788)), "Challenge",IF(ISNUMBER(SEARCH("Last To Leave",A788)),"Challenge",IF(ISNUMBER(SEARCH("Giving Away", A788)),"Giveaway",IF(ISNUMBER(SEARCH("Stranded",A788)),"Survival", IF(ISNUMBER(SEARCH("Survive",A788)), "Survival", IF(ISNUMBER(SEARCH("Days",A788)),"Endurance","Other"))))))))</f>
        <v>Other</v>
      </c>
    </row>
    <row r="789" spans="1:15" x14ac:dyDescent="0.3">
      <c r="A789" t="s">
        <v>796</v>
      </c>
      <c r="B789" s="1">
        <v>45426</v>
      </c>
      <c r="C789" s="2">
        <v>553404359</v>
      </c>
      <c r="D789" s="3">
        <v>12961525</v>
      </c>
      <c r="E789" s="3">
        <v>52785</v>
      </c>
      <c r="F789">
        <f>YEAR(B789)</f>
        <v>2024</v>
      </c>
      <c r="G789" t="str">
        <f>TEXT(B789,"MMMM")</f>
        <v>May</v>
      </c>
      <c r="H789" t="str">
        <f>TEXT(B789, "DDDD")</f>
        <v>Tuesday</v>
      </c>
      <c r="I789">
        <f>((D789+E789)/C789)*100</f>
        <v>2.3516818739044303</v>
      </c>
      <c r="J789">
        <f>(D789/C789)*1000</f>
        <v>23.4214364039731</v>
      </c>
      <c r="K789">
        <f>(E789/C789)*1000</f>
        <v>9.5382335071198823E-2</v>
      </c>
      <c r="L789">
        <f>CORREL(C789:C1287, D789:D1287)</f>
        <v>0.60133231198875481</v>
      </c>
      <c r="M789">
        <f>CORREL(C789:C1287,E789:E1287)</f>
        <v>9.4144721560554784E-2</v>
      </c>
      <c r="N789">
        <f>LEN(A789)</f>
        <v>42</v>
      </c>
      <c r="O789" t="str">
        <f>IF(ISNUMBER(SEARCH("$",A789)), "Money", IF(ISNUMBER(SEARCH("Win",A789)), "Challenge",IF(ISNUMBER(SEARCH("Challenge",A789)), "Challenge",IF(ISNUMBER(SEARCH("Last To Leave",A789)),"Challenge",IF(ISNUMBER(SEARCH("Giving Away", A789)),"Giveaway",IF(ISNUMBER(SEARCH("Stranded",A789)),"Survival", IF(ISNUMBER(SEARCH("Survive",A789)), "Survival", IF(ISNUMBER(SEARCH("Days",A789)),"Endurance","Other"))))))))</f>
        <v>Other</v>
      </c>
    </row>
    <row r="790" spans="1:15" x14ac:dyDescent="0.3">
      <c r="A790" t="s">
        <v>797</v>
      </c>
      <c r="B790" s="1">
        <v>45483</v>
      </c>
      <c r="C790" s="2">
        <v>548557553</v>
      </c>
      <c r="D790" s="3">
        <v>20410996</v>
      </c>
      <c r="E790" s="3">
        <v>51434</v>
      </c>
      <c r="F790">
        <f>YEAR(B790)</f>
        <v>2024</v>
      </c>
      <c r="G790" t="str">
        <f>TEXT(B790,"MMMM")</f>
        <v>July</v>
      </c>
      <c r="H790" t="str">
        <f>TEXT(B790, "DDDD")</f>
        <v>Wednesday</v>
      </c>
      <c r="I790">
        <f>((D790+E790)/C790)*100</f>
        <v>3.7302248210954811</v>
      </c>
      <c r="J790">
        <f>(D790/C790)*1000</f>
        <v>37.208485943497713</v>
      </c>
      <c r="K790">
        <f>(E790/C790)*1000</f>
        <v>9.3762267457103088E-2</v>
      </c>
      <c r="L790">
        <f>CORREL(C790:C1288, D790:D1288)</f>
        <v>0.59765276091418762</v>
      </c>
      <c r="M790">
        <f>CORREL(C790:C1288,E790:E1288)</f>
        <v>9.5013517573546577E-2</v>
      </c>
      <c r="N790">
        <f>LEN(A790)</f>
        <v>38</v>
      </c>
      <c r="O790" t="str">
        <f>IF(ISNUMBER(SEARCH("$",A790)), "Money", IF(ISNUMBER(SEARCH("Win",A790)), "Challenge",IF(ISNUMBER(SEARCH("Challenge",A790)), "Challenge",IF(ISNUMBER(SEARCH("Last To Leave",A790)),"Challenge",IF(ISNUMBER(SEARCH("Giving Away", A790)),"Giveaway",IF(ISNUMBER(SEARCH("Stranded",A790)),"Survival", IF(ISNUMBER(SEARCH("Survive",A790)), "Survival", IF(ISNUMBER(SEARCH("Days",A790)),"Endurance","Other"))))))))</f>
        <v>Other</v>
      </c>
    </row>
    <row r="791" spans="1:15" x14ac:dyDescent="0.3">
      <c r="A791" t="s">
        <v>798</v>
      </c>
      <c r="B791" s="1">
        <v>45412</v>
      </c>
      <c r="C791" s="2">
        <v>531706665</v>
      </c>
      <c r="D791" s="3">
        <v>14065500</v>
      </c>
      <c r="E791" s="3">
        <v>38283</v>
      </c>
      <c r="F791">
        <f>YEAR(B791)</f>
        <v>2024</v>
      </c>
      <c r="G791" t="str">
        <f>TEXT(B791,"MMMM")</f>
        <v>April</v>
      </c>
      <c r="H791" t="str">
        <f>TEXT(B791, "DDDD")</f>
        <v>Tuesday</v>
      </c>
      <c r="I791">
        <f>((D791+E791)/C791)*100</f>
        <v>2.6525495970602511</v>
      </c>
      <c r="J791">
        <f>(D791/C791)*1000</f>
        <v>26.453495744688475</v>
      </c>
      <c r="K791">
        <f>(E791/C791)*1000</f>
        <v>7.2000225914038526E-2</v>
      </c>
      <c r="L791">
        <f>CORREL(C791:C1289, D791:D1289)</f>
        <v>0.59651872172145937</v>
      </c>
      <c r="M791">
        <f>CORREL(C791:C1289,E791:E1289)</f>
        <v>9.5934266656639788E-2</v>
      </c>
      <c r="N791">
        <f>LEN(A791)</f>
        <v>35</v>
      </c>
      <c r="O791" t="str">
        <f>IF(ISNUMBER(SEARCH("$",A791)), "Money", IF(ISNUMBER(SEARCH("Win",A791)), "Challenge",IF(ISNUMBER(SEARCH("Challenge",A791)), "Challenge",IF(ISNUMBER(SEARCH("Last To Leave",A791)),"Challenge",IF(ISNUMBER(SEARCH("Giving Away", A791)),"Giveaway",IF(ISNUMBER(SEARCH("Stranded",A791)),"Survival", IF(ISNUMBER(SEARCH("Survive",A791)), "Survival", IF(ISNUMBER(SEARCH("Days",A791)),"Endurance","Other"))))))))</f>
        <v>Challenge</v>
      </c>
    </row>
    <row r="792" spans="1:15" x14ac:dyDescent="0.3">
      <c r="A792" t="s">
        <v>799</v>
      </c>
      <c r="B792" s="1">
        <v>45381</v>
      </c>
      <c r="C792" s="2">
        <v>498944989</v>
      </c>
      <c r="D792" s="3">
        <v>7725619</v>
      </c>
      <c r="E792" s="3">
        <v>152291</v>
      </c>
      <c r="F792">
        <f>YEAR(B792)</f>
        <v>2024</v>
      </c>
      <c r="G792" t="str">
        <f>TEXT(B792,"MMMM")</f>
        <v>March</v>
      </c>
      <c r="H792" t="str">
        <f>TEXT(B792, "DDDD")</f>
        <v>Saturday</v>
      </c>
      <c r="I792">
        <f>((D792+E792)/C792)*100</f>
        <v>1.5789135423103728</v>
      </c>
      <c r="J792">
        <f>(D792/C792)*1000</f>
        <v>15.483909389457761</v>
      </c>
      <c r="K792">
        <f>(E792/C792)*1000</f>
        <v>0.30522603364596568</v>
      </c>
      <c r="L792">
        <f>CORREL(C792:C1290, D792:D1290)</f>
        <v>0.59306272907109148</v>
      </c>
      <c r="M792">
        <f>CORREL(C792:C1290,E792:E1290)</f>
        <v>9.7322590835443423E-2</v>
      </c>
      <c r="N792">
        <f>LEN(A792)</f>
        <v>28</v>
      </c>
      <c r="O792" t="str">
        <f>IF(ISNUMBER(SEARCH("$",A792)), "Money", IF(ISNUMBER(SEARCH("Win",A792)), "Challenge",IF(ISNUMBER(SEARCH("Challenge",A792)), "Challenge",IF(ISNUMBER(SEARCH("Last To Leave",A792)),"Challenge",IF(ISNUMBER(SEARCH("Giving Away", A792)),"Giveaway",IF(ISNUMBER(SEARCH("Stranded",A792)),"Survival", IF(ISNUMBER(SEARCH("Survive",A792)), "Survival", IF(ISNUMBER(SEARCH("Days",A792)),"Endurance","Other"))))))))</f>
        <v>Survival</v>
      </c>
    </row>
    <row r="793" spans="1:15" x14ac:dyDescent="0.3">
      <c r="A793" t="s">
        <v>800</v>
      </c>
      <c r="B793" s="1">
        <v>45349</v>
      </c>
      <c r="C793" s="2">
        <v>494324020</v>
      </c>
      <c r="D793" s="3">
        <v>15192554</v>
      </c>
      <c r="E793" s="3">
        <v>30585</v>
      </c>
      <c r="F793">
        <f>YEAR(B793)</f>
        <v>2024</v>
      </c>
      <c r="G793" t="str">
        <f>TEXT(B793,"MMMM")</f>
        <v>February</v>
      </c>
      <c r="H793" t="str">
        <f>TEXT(B793, "DDDD")</f>
        <v>Tuesday</v>
      </c>
      <c r="I793">
        <f>((D793+E793)/C793)*100</f>
        <v>3.0795871501449597</v>
      </c>
      <c r="J793">
        <f>(D793/C793)*1000</f>
        <v>30.733999128749598</v>
      </c>
      <c r="K793">
        <f>(E793/C793)*1000</f>
        <v>6.1872372699995438E-2</v>
      </c>
      <c r="L793">
        <f>CORREL(C793:C1291, D793:D1291)</f>
        <v>0.59223297422246646</v>
      </c>
      <c r="M793">
        <f>CORREL(C793:C1291,E793:E1291)</f>
        <v>9.4618153601177132E-2</v>
      </c>
      <c r="N793">
        <f>LEN(A793)</f>
        <v>41</v>
      </c>
      <c r="O793" t="str">
        <f>IF(ISNUMBER(SEARCH("$",A793)), "Money", IF(ISNUMBER(SEARCH("Win",A793)), "Challenge",IF(ISNUMBER(SEARCH("Challenge",A793)), "Challenge",IF(ISNUMBER(SEARCH("Last To Leave",A793)),"Challenge",IF(ISNUMBER(SEARCH("Giving Away", A793)),"Giveaway",IF(ISNUMBER(SEARCH("Stranded",A793)),"Survival", IF(ISNUMBER(SEARCH("Survive",A793)), "Survival", IF(ISNUMBER(SEARCH("Days",A793)),"Endurance","Other"))))))))</f>
        <v>Other</v>
      </c>
    </row>
    <row r="794" spans="1:15" x14ac:dyDescent="0.3">
      <c r="A794" t="s">
        <v>801</v>
      </c>
      <c r="B794" s="1">
        <v>45339</v>
      </c>
      <c r="C794" s="2">
        <v>477519959</v>
      </c>
      <c r="D794" s="3">
        <v>16515463</v>
      </c>
      <c r="E794" s="3">
        <v>37766</v>
      </c>
      <c r="F794">
        <f>YEAR(B794)</f>
        <v>2024</v>
      </c>
      <c r="G794" t="str">
        <f>TEXT(B794,"MMMM")</f>
        <v>February</v>
      </c>
      <c r="H794" t="str">
        <f>TEXT(B794, "DDDD")</f>
        <v>Saturday</v>
      </c>
      <c r="I794">
        <f>((D794+E794)/C794)*100</f>
        <v>3.466499920687085</v>
      </c>
      <c r="J794">
        <f>(D794/C794)*1000</f>
        <v>34.585911413181371</v>
      </c>
      <c r="K794">
        <f>(E794/C794)*1000</f>
        <v>7.908779368947802E-2</v>
      </c>
      <c r="L794">
        <f>CORREL(C794:C1292, D794:D1292)</f>
        <v>0.59016103327656</v>
      </c>
      <c r="M794">
        <f>CORREL(C794:C1292,E794:E1292)</f>
        <v>9.60465653263885E-2</v>
      </c>
      <c r="N794">
        <f>LEN(A794)</f>
        <v>27</v>
      </c>
      <c r="O794" t="str">
        <f>IF(ISNUMBER(SEARCH("$",A794)), "Money", IF(ISNUMBER(SEARCH("Win",A794)), "Challenge",IF(ISNUMBER(SEARCH("Challenge",A794)), "Challenge",IF(ISNUMBER(SEARCH("Last To Leave",A794)),"Challenge",IF(ISNUMBER(SEARCH("Giving Away", A794)),"Giveaway",IF(ISNUMBER(SEARCH("Stranded",A794)),"Survival", IF(ISNUMBER(SEARCH("Survive",A794)), "Survival", IF(ISNUMBER(SEARCH("Days",A794)),"Endurance","Other"))))))))</f>
        <v>Money</v>
      </c>
    </row>
    <row r="795" spans="1:15" x14ac:dyDescent="0.3">
      <c r="A795" t="s">
        <v>802</v>
      </c>
      <c r="B795" s="1">
        <v>45486</v>
      </c>
      <c r="C795" s="2">
        <v>472174213</v>
      </c>
      <c r="D795" s="3">
        <v>9756553</v>
      </c>
      <c r="E795" s="3">
        <v>350709</v>
      </c>
      <c r="F795">
        <f>YEAR(B795)</f>
        <v>2024</v>
      </c>
      <c r="G795" t="str">
        <f>TEXT(B795,"MMMM")</f>
        <v>July</v>
      </c>
      <c r="H795" t="str">
        <f>TEXT(B795, "DDDD")</f>
        <v>Saturday</v>
      </c>
      <c r="I795">
        <f>((D795+E795)/C795)*100</f>
        <v>2.1405789900686512</v>
      </c>
      <c r="J795">
        <f>(D795/C795)*1000</f>
        <v>20.663036505129941</v>
      </c>
      <c r="K795">
        <f>(E795/C795)*1000</f>
        <v>0.74275339555656761</v>
      </c>
      <c r="L795">
        <f>CORREL(C795:C1293, D795:D1293)</f>
        <v>0.58960869901967961</v>
      </c>
      <c r="M795">
        <f>CORREL(C795:C1293,E795:E1293)</f>
        <v>9.7135804653066274E-2</v>
      </c>
      <c r="N795">
        <f>LEN(A795)</f>
        <v>33</v>
      </c>
      <c r="O795" t="str">
        <f>IF(ISNUMBER(SEARCH("$",A795)), "Money", IF(ISNUMBER(SEARCH("Win",A795)), "Challenge",IF(ISNUMBER(SEARCH("Challenge",A795)), "Challenge",IF(ISNUMBER(SEARCH("Last To Leave",A795)),"Challenge",IF(ISNUMBER(SEARCH("Giving Away", A795)),"Giveaway",IF(ISNUMBER(SEARCH("Stranded",A795)),"Survival", IF(ISNUMBER(SEARCH("Survive",A795)), "Survival", IF(ISNUMBER(SEARCH("Days",A795)),"Endurance","Other"))))))))</f>
        <v>Money</v>
      </c>
    </row>
    <row r="796" spans="1:15" x14ac:dyDescent="0.3">
      <c r="A796" t="s">
        <v>803</v>
      </c>
      <c r="B796" s="1">
        <v>45519</v>
      </c>
      <c r="C796" s="2">
        <v>464460790</v>
      </c>
      <c r="D796" s="3">
        <v>12466964</v>
      </c>
      <c r="E796" s="3">
        <v>33605</v>
      </c>
      <c r="F796">
        <f>YEAR(B796)</f>
        <v>2024</v>
      </c>
      <c r="G796" t="str">
        <f>TEXT(B796,"MMMM")</f>
        <v>August</v>
      </c>
      <c r="H796" t="str">
        <f>TEXT(B796, "DDDD")</f>
        <v>Thursday</v>
      </c>
      <c r="I796">
        <f>((D796+E796)/C796)*100</f>
        <v>2.6914153506908516</v>
      </c>
      <c r="J796">
        <f>(D796/C796)*1000</f>
        <v>26.84180079011621</v>
      </c>
      <c r="K796">
        <f>(E796/C796)*1000</f>
        <v>7.235271679230447E-2</v>
      </c>
      <c r="L796">
        <f>CORREL(C796:C1294, D796:D1294)</f>
        <v>0.58767032533403529</v>
      </c>
      <c r="M796">
        <f>CORREL(C796:C1294,E796:E1294)</f>
        <v>8.9241044102145381E-2</v>
      </c>
      <c r="N796">
        <f>LEN(A796)</f>
        <v>41</v>
      </c>
      <c r="O796" t="str">
        <f>IF(ISNUMBER(SEARCH("$",A796)), "Money", IF(ISNUMBER(SEARCH("Win",A796)), "Challenge",IF(ISNUMBER(SEARCH("Challenge",A796)), "Challenge",IF(ISNUMBER(SEARCH("Last To Leave",A796)),"Challenge",IF(ISNUMBER(SEARCH("Giving Away", A796)),"Giveaway",IF(ISNUMBER(SEARCH("Stranded",A796)),"Survival", IF(ISNUMBER(SEARCH("Survive",A796)), "Survival", IF(ISNUMBER(SEARCH("Days",A796)),"Endurance","Other"))))))))</f>
        <v>Other</v>
      </c>
    </row>
    <row r="797" spans="1:15" x14ac:dyDescent="0.3">
      <c r="A797" t="s">
        <v>804</v>
      </c>
      <c r="B797" s="1">
        <v>45584</v>
      </c>
      <c r="C797" s="2">
        <v>442862242</v>
      </c>
      <c r="D797" s="3">
        <v>17882490</v>
      </c>
      <c r="E797" s="3">
        <v>33852</v>
      </c>
      <c r="F797">
        <f>YEAR(B797)</f>
        <v>2024</v>
      </c>
      <c r="G797" t="str">
        <f>TEXT(B797,"MMMM")</f>
        <v>October</v>
      </c>
      <c r="H797" t="str">
        <f>TEXT(B797, "DDDD")</f>
        <v>Saturday</v>
      </c>
      <c r="I797">
        <f>((D797+E797)/C797)*100</f>
        <v>4.0455790313232436</v>
      </c>
      <c r="J797">
        <f>(D797/C797)*1000</f>
        <v>40.379351193367263</v>
      </c>
      <c r="K797">
        <f>(E797/C797)*1000</f>
        <v>7.6439119865179206E-2</v>
      </c>
      <c r="L797">
        <f>CORREL(C797:C1295, D797:D1295)</f>
        <v>0.58566399373542677</v>
      </c>
      <c r="M797">
        <f>CORREL(C797:C1295,E797:E1295)</f>
        <v>9.03513089199421E-2</v>
      </c>
      <c r="N797">
        <f>LEN(A797)</f>
        <v>22</v>
      </c>
      <c r="O797" t="str">
        <f>IF(ISNUMBER(SEARCH("$",A797)), "Money", IF(ISNUMBER(SEARCH("Win",A797)), "Challenge",IF(ISNUMBER(SEARCH("Challenge",A797)), "Challenge",IF(ISNUMBER(SEARCH("Last To Leave",A797)),"Challenge",IF(ISNUMBER(SEARCH("Giving Away", A797)),"Giveaway",IF(ISNUMBER(SEARCH("Stranded",A797)),"Survival", IF(ISNUMBER(SEARCH("Survive",A797)), "Survival", IF(ISNUMBER(SEARCH("Days",A797)),"Endurance","Other"))))))))</f>
        <v>Other</v>
      </c>
    </row>
    <row r="798" spans="1:15" x14ac:dyDescent="0.3">
      <c r="A798" t="s">
        <v>805</v>
      </c>
      <c r="B798" s="1">
        <v>45458</v>
      </c>
      <c r="C798" s="2">
        <v>435083886</v>
      </c>
      <c r="D798" s="3">
        <v>6876080</v>
      </c>
      <c r="E798" s="3">
        <v>139132</v>
      </c>
      <c r="F798">
        <f>YEAR(B798)</f>
        <v>2024</v>
      </c>
      <c r="G798" t="str">
        <f>TEXT(B798,"MMMM")</f>
        <v>June</v>
      </c>
      <c r="H798" t="str">
        <f>TEXT(B798, "DDDD")</f>
        <v>Saturday</v>
      </c>
      <c r="I798">
        <f>((D798+E798)/C798)*100</f>
        <v>1.6123814799245402</v>
      </c>
      <c r="J798">
        <f>(D798/C798)*1000</f>
        <v>15.804032788288556</v>
      </c>
      <c r="K798">
        <f>(E798/C798)*1000</f>
        <v>0.31978201095684794</v>
      </c>
      <c r="L798">
        <f>CORREL(C798:C1296, D798:D1296)</f>
        <v>0.58850509182527344</v>
      </c>
      <c r="M798">
        <f>CORREL(C798:C1296,E798:E1296)</f>
        <v>9.1329930897305581E-2</v>
      </c>
      <c r="N798">
        <f>LEN(A798)</f>
        <v>36</v>
      </c>
      <c r="O798" t="str">
        <f>IF(ISNUMBER(SEARCH("$",A798)), "Money", IF(ISNUMBER(SEARCH("Win",A798)), "Challenge",IF(ISNUMBER(SEARCH("Challenge",A798)), "Challenge",IF(ISNUMBER(SEARCH("Last To Leave",A798)),"Challenge",IF(ISNUMBER(SEARCH("Giving Away", A798)),"Giveaway",IF(ISNUMBER(SEARCH("Stranded",A798)),"Survival", IF(ISNUMBER(SEARCH("Survive",A798)), "Survival", IF(ISNUMBER(SEARCH("Days",A798)),"Endurance","Other"))))))))</f>
        <v>Other</v>
      </c>
    </row>
    <row r="799" spans="1:15" x14ac:dyDescent="0.3">
      <c r="A799" t="s">
        <v>806</v>
      </c>
      <c r="B799" s="1">
        <v>45614</v>
      </c>
      <c r="C799" s="2">
        <v>421407377</v>
      </c>
      <c r="D799" s="3">
        <v>6566336</v>
      </c>
      <c r="E799" s="3">
        <v>2740</v>
      </c>
      <c r="F799">
        <f>YEAR(B799)</f>
        <v>2024</v>
      </c>
      <c r="G799" t="str">
        <f>TEXT(B799,"MMMM")</f>
        <v>November</v>
      </c>
      <c r="H799" t="str">
        <f>TEXT(B799, "DDDD")</f>
        <v>Monday</v>
      </c>
      <c r="I799">
        <f>((D799+E799)/C799)*100</f>
        <v>1.5588421936904062</v>
      </c>
      <c r="J799">
        <f>(D799/C799)*1000</f>
        <v>15.581919914990001</v>
      </c>
      <c r="K799">
        <f>(E799/C799)*1000</f>
        <v>6.5020219140587091E-3</v>
      </c>
      <c r="L799">
        <f>CORREL(C799:C1297, D799:D1297)</f>
        <v>0.58795947476587862</v>
      </c>
      <c r="M799">
        <f>CORREL(C799:C1297,E799:E1297)</f>
        <v>8.9530150646908072E-2</v>
      </c>
      <c r="N799">
        <f>LEN(A799)</f>
        <v>34</v>
      </c>
      <c r="O799" t="str">
        <f>IF(ISNUMBER(SEARCH("$",A799)), "Money", IF(ISNUMBER(SEARCH("Win",A799)), "Challenge",IF(ISNUMBER(SEARCH("Challenge",A799)), "Challenge",IF(ISNUMBER(SEARCH("Last To Leave",A799)),"Challenge",IF(ISNUMBER(SEARCH("Giving Away", A799)),"Giveaway",IF(ISNUMBER(SEARCH("Stranded",A799)),"Survival", IF(ISNUMBER(SEARCH("Survive",A799)), "Survival", IF(ISNUMBER(SEARCH("Days",A799)),"Endurance","Other"))))))))</f>
        <v>Other</v>
      </c>
    </row>
    <row r="800" spans="1:15" x14ac:dyDescent="0.3">
      <c r="A800" t="s">
        <v>807</v>
      </c>
      <c r="B800" s="1">
        <v>45576</v>
      </c>
      <c r="C800" s="2">
        <v>421092888</v>
      </c>
      <c r="D800" s="3">
        <v>10440135</v>
      </c>
      <c r="E800" s="3">
        <v>8114</v>
      </c>
      <c r="F800">
        <f>YEAR(B800)</f>
        <v>2024</v>
      </c>
      <c r="G800" t="str">
        <f>TEXT(B800,"MMMM")</f>
        <v>October</v>
      </c>
      <c r="H800" t="str">
        <f>TEXT(B800, "DDDD")</f>
        <v>Friday</v>
      </c>
      <c r="I800">
        <f>((D800+E800)/C800)*100</f>
        <v>2.4812219103543729</v>
      </c>
      <c r="J800">
        <f>(D800/C800)*1000</f>
        <v>24.79295019582473</v>
      </c>
      <c r="K800">
        <f>(E800/C800)*1000</f>
        <v>1.9268907719001895E-2</v>
      </c>
      <c r="L800">
        <f>CORREL(C800:C1298, D800:D1298)</f>
        <v>0.58758407745275765</v>
      </c>
      <c r="M800">
        <f>CORREL(C800:C1298,E800:E1298)</f>
        <v>9.1177901943405013E-2</v>
      </c>
      <c r="N800">
        <f>LEN(A800)</f>
        <v>38</v>
      </c>
      <c r="O800" t="str">
        <f>IF(ISNUMBER(SEARCH("$",A800)), "Money", IF(ISNUMBER(SEARCH("Win",A800)), "Challenge",IF(ISNUMBER(SEARCH("Challenge",A800)), "Challenge",IF(ISNUMBER(SEARCH("Last To Leave",A800)),"Challenge",IF(ISNUMBER(SEARCH("Giving Away", A800)),"Giveaway",IF(ISNUMBER(SEARCH("Stranded",A800)),"Survival", IF(ISNUMBER(SEARCH("Survive",A800)), "Survival", IF(ISNUMBER(SEARCH("Days",A800)),"Endurance","Other"))))))))</f>
        <v>Other</v>
      </c>
    </row>
    <row r="801" spans="1:15" x14ac:dyDescent="0.3">
      <c r="A801" t="s">
        <v>808</v>
      </c>
      <c r="B801" s="1">
        <v>45627</v>
      </c>
      <c r="C801" s="2">
        <v>412413088</v>
      </c>
      <c r="D801" s="3">
        <v>9750373</v>
      </c>
      <c r="E801" s="3">
        <v>38883</v>
      </c>
      <c r="F801">
        <f>YEAR(B801)</f>
        <v>2024</v>
      </c>
      <c r="G801" t="str">
        <f>TEXT(B801,"MMMM")</f>
        <v>December</v>
      </c>
      <c r="H801" t="str">
        <f>TEXT(B801, "DDDD")</f>
        <v>Sunday</v>
      </c>
      <c r="I801">
        <f>((D801+E801)/C801)*100</f>
        <v>2.3736530883326381</v>
      </c>
      <c r="J801">
        <f>(D801/C801)*1000</f>
        <v>23.642249200393952</v>
      </c>
      <c r="K801">
        <f>(E801/C801)*1000</f>
        <v>9.4281682932429139E-2</v>
      </c>
      <c r="L801">
        <f>CORREL(C801:C1299, D801:D1299)</f>
        <v>0.58627012668129652</v>
      </c>
      <c r="M801">
        <f>CORREL(C801:C1299,E801:E1299)</f>
        <v>9.2705196312980145E-2</v>
      </c>
      <c r="N801">
        <f>LEN(A801)</f>
        <v>30</v>
      </c>
      <c r="O801" t="str">
        <f>IF(ISNUMBER(SEARCH("$",A801)), "Money", IF(ISNUMBER(SEARCH("Win",A801)), "Challenge",IF(ISNUMBER(SEARCH("Challenge",A801)), "Challenge",IF(ISNUMBER(SEARCH("Last To Leave",A801)),"Challenge",IF(ISNUMBER(SEARCH("Giving Away", A801)),"Giveaway",IF(ISNUMBER(SEARCH("Stranded",A801)),"Survival", IF(ISNUMBER(SEARCH("Survive",A801)), "Survival", IF(ISNUMBER(SEARCH("Days",A801)),"Endurance","Other"))))))))</f>
        <v>Other</v>
      </c>
    </row>
    <row r="802" spans="1:15" x14ac:dyDescent="0.3">
      <c r="A802" t="s">
        <v>809</v>
      </c>
      <c r="B802" s="1">
        <v>45570</v>
      </c>
      <c r="C802" s="2">
        <v>407288459</v>
      </c>
      <c r="D802" s="3">
        <v>11173042</v>
      </c>
      <c r="E802" s="3">
        <v>14434</v>
      </c>
      <c r="F802">
        <f>YEAR(B802)</f>
        <v>2024</v>
      </c>
      <c r="G802" t="str">
        <f>TEXT(B802,"MMMM")</f>
        <v>October</v>
      </c>
      <c r="H802" t="str">
        <f>TEXT(B802, "DDDD")</f>
        <v>Saturday</v>
      </c>
      <c r="I802">
        <f>((D802+E802)/C802)*100</f>
        <v>2.7468188093196129</v>
      </c>
      <c r="J802">
        <f>(D802/C802)*1000</f>
        <v>27.432748837108591</v>
      </c>
      <c r="K802">
        <f>(E802/C802)*1000</f>
        <v>3.5439256087538687E-2</v>
      </c>
      <c r="L802">
        <f>CORREL(C802:C1300, D802:D1300)</f>
        <v>0.58505478856921356</v>
      </c>
      <c r="M802">
        <f>CORREL(C802:C1300,E802:E1300)</f>
        <v>9.341135285289448E-2</v>
      </c>
      <c r="N802">
        <f>LEN(A802)</f>
        <v>34</v>
      </c>
      <c r="O802" t="str">
        <f>IF(ISNUMBER(SEARCH("$",A802)), "Money", IF(ISNUMBER(SEARCH("Win",A802)), "Challenge",IF(ISNUMBER(SEARCH("Challenge",A802)), "Challenge",IF(ISNUMBER(SEARCH("Last To Leave",A802)),"Challenge",IF(ISNUMBER(SEARCH("Giving Away", A802)),"Giveaway",IF(ISNUMBER(SEARCH("Stranded",A802)),"Survival", IF(ISNUMBER(SEARCH("Survive",A802)), "Survival", IF(ISNUMBER(SEARCH("Days",A802)),"Endurance","Other"))))))))</f>
        <v>Money</v>
      </c>
    </row>
    <row r="803" spans="1:15" x14ac:dyDescent="0.3">
      <c r="A803" t="s">
        <v>810</v>
      </c>
      <c r="B803" s="1">
        <v>45318</v>
      </c>
      <c r="C803" s="2">
        <v>399154956</v>
      </c>
      <c r="D803" s="3">
        <v>6030192</v>
      </c>
      <c r="E803" s="3">
        <v>103841</v>
      </c>
      <c r="F803">
        <f>YEAR(B803)</f>
        <v>2024</v>
      </c>
      <c r="G803" t="str">
        <f>TEXT(B803,"MMMM")</f>
        <v>January</v>
      </c>
      <c r="H803" t="str">
        <f>TEXT(B803, "DDDD")</f>
        <v>Saturday</v>
      </c>
      <c r="I803">
        <f>((D803+E803)/C803)*100</f>
        <v>1.5367548135867315</v>
      </c>
      <c r="J803">
        <f>(D803/C803)*1000</f>
        <v>15.107396035939486</v>
      </c>
      <c r="K803">
        <f>(E803/C803)*1000</f>
        <v>0.26015209992782851</v>
      </c>
      <c r="L803">
        <f>CORREL(C803:C1301, D803:D1301)</f>
        <v>0.58417571428042225</v>
      </c>
      <c r="M803">
        <f>CORREL(C803:C1301,E803:E1301)</f>
        <v>9.46779749152276E-2</v>
      </c>
      <c r="N803">
        <f>LEN(A803)</f>
        <v>34</v>
      </c>
      <c r="O803" t="str">
        <f>IF(ISNUMBER(SEARCH("$",A803)), "Money", IF(ISNUMBER(SEARCH("Win",A803)), "Challenge",IF(ISNUMBER(SEARCH("Challenge",A803)), "Challenge",IF(ISNUMBER(SEARCH("Last To Leave",A803)),"Challenge",IF(ISNUMBER(SEARCH("Giving Away", A803)),"Giveaway",IF(ISNUMBER(SEARCH("Stranded",A803)),"Survival", IF(ISNUMBER(SEARCH("Survive",A803)), "Survival", IF(ISNUMBER(SEARCH("Days",A803)),"Endurance","Other"))))))))</f>
        <v>Money</v>
      </c>
    </row>
    <row r="804" spans="1:15" x14ac:dyDescent="0.3">
      <c r="A804" t="s">
        <v>811</v>
      </c>
      <c r="B804" s="1">
        <v>45440</v>
      </c>
      <c r="C804" s="2">
        <v>393938176</v>
      </c>
      <c r="D804" s="3">
        <v>23245946</v>
      </c>
      <c r="E804" s="3">
        <v>828970</v>
      </c>
      <c r="F804">
        <f>YEAR(B804)</f>
        <v>2024</v>
      </c>
      <c r="G804" t="str">
        <f>TEXT(B804,"MMMM")</f>
        <v>May</v>
      </c>
      <c r="H804" t="str">
        <f>TEXT(B804, "DDDD")</f>
        <v>Tuesday</v>
      </c>
      <c r="I804">
        <f>((D804+E804)/C804)*100</f>
        <v>6.111343725163616</v>
      </c>
      <c r="J804">
        <f>(D804/C804)*1000</f>
        <v>59.009122284203301</v>
      </c>
      <c r="K804">
        <f>(E804/C804)*1000</f>
        <v>2.1043149674328596</v>
      </c>
      <c r="L804">
        <f>CORREL(C804:C1302, D804:D1302)</f>
        <v>0.58401043945553421</v>
      </c>
      <c r="M804">
        <f>CORREL(C804:C1302,E804:E1302)</f>
        <v>9.3938624794754205E-2</v>
      </c>
      <c r="N804">
        <f>LEN(A804)</f>
        <v>23</v>
      </c>
      <c r="O804" t="str">
        <f>IF(ISNUMBER(SEARCH("$",A804)), "Money", IF(ISNUMBER(SEARCH("Win",A804)), "Challenge",IF(ISNUMBER(SEARCH("Challenge",A804)), "Challenge",IF(ISNUMBER(SEARCH("Last To Leave",A804)),"Challenge",IF(ISNUMBER(SEARCH("Giving Away", A804)),"Giveaway",IF(ISNUMBER(SEARCH("Stranded",A804)),"Survival", IF(ISNUMBER(SEARCH("Survive",A804)), "Survival", IF(ISNUMBER(SEARCH("Days",A804)),"Endurance","Other"))))))))</f>
        <v>Other</v>
      </c>
    </row>
    <row r="805" spans="1:15" x14ac:dyDescent="0.3">
      <c r="A805" t="s">
        <v>812</v>
      </c>
      <c r="B805" s="1">
        <v>45332</v>
      </c>
      <c r="C805" s="2">
        <v>390692211</v>
      </c>
      <c r="D805" s="3">
        <v>6831068</v>
      </c>
      <c r="E805" s="3">
        <v>229660</v>
      </c>
      <c r="F805">
        <f>YEAR(B805)</f>
        <v>2024</v>
      </c>
      <c r="G805" t="str">
        <f>TEXT(B805,"MMMM")</f>
        <v>February</v>
      </c>
      <c r="H805" t="str">
        <f>TEXT(B805, "DDDD")</f>
        <v>Saturday</v>
      </c>
      <c r="I805">
        <f>((D805+E805)/C805)*100</f>
        <v>1.8072354147853742</v>
      </c>
      <c r="J805">
        <f>(D805/C805)*1000</f>
        <v>17.484525689712306</v>
      </c>
      <c r="K805">
        <f>(E805/C805)*1000</f>
        <v>0.58782845814143958</v>
      </c>
      <c r="L805">
        <f>CORREL(C805:C1303, D805:D1303)</f>
        <v>0.6030337132142729</v>
      </c>
      <c r="M805">
        <f>CORREL(C805:C1303,E805:E1303)</f>
        <v>8.4530966249709044E-2</v>
      </c>
      <c r="N805">
        <f>LEN(A805)</f>
        <v>38</v>
      </c>
      <c r="O805" t="str">
        <f>IF(ISNUMBER(SEARCH("$",A805)), "Money", IF(ISNUMBER(SEARCH("Win",A805)), "Challenge",IF(ISNUMBER(SEARCH("Challenge",A805)), "Challenge",IF(ISNUMBER(SEARCH("Last To Leave",A805)),"Challenge",IF(ISNUMBER(SEARCH("Giving Away", A805)),"Giveaway",IF(ISNUMBER(SEARCH("Stranded",A805)),"Survival", IF(ISNUMBER(SEARCH("Survive",A805)), "Survival", IF(ISNUMBER(SEARCH("Days",A805)),"Endurance","Other"))))))))</f>
        <v>Money</v>
      </c>
    </row>
    <row r="806" spans="1:15" x14ac:dyDescent="0.3">
      <c r="A806" t="s">
        <v>813</v>
      </c>
      <c r="B806" s="1">
        <v>45444</v>
      </c>
      <c r="C806" s="2">
        <v>387111248</v>
      </c>
      <c r="D806" s="3">
        <v>9069627</v>
      </c>
      <c r="E806" s="3">
        <v>343473</v>
      </c>
      <c r="F806">
        <f>YEAR(B806)</f>
        <v>2024</v>
      </c>
      <c r="G806" t="str">
        <f>TEXT(B806,"MMMM")</f>
        <v>June</v>
      </c>
      <c r="H806" t="str">
        <f>TEXT(B806, "DDDD")</f>
        <v>Saturday</v>
      </c>
      <c r="I806">
        <f>((D806+E806)/C806)*100</f>
        <v>2.4316265798610943</v>
      </c>
      <c r="J806">
        <f>(D806/C806)*1000</f>
        <v>23.428993724305318</v>
      </c>
      <c r="K806">
        <f>(E806/C806)*1000</f>
        <v>0.88727207430562705</v>
      </c>
      <c r="L806">
        <f>CORREL(C806:C1304, D806:D1304)</f>
        <v>0.60244556310235009</v>
      </c>
      <c r="M806">
        <f>CORREL(C806:C1304,E806:E1304)</f>
        <v>8.1181765366642136E-2</v>
      </c>
      <c r="N806">
        <f>LEN(A806)</f>
        <v>47</v>
      </c>
      <c r="O806" t="str">
        <f>IF(ISNUMBER(SEARCH("$",A806)), "Money", IF(ISNUMBER(SEARCH("Win",A806)), "Challenge",IF(ISNUMBER(SEARCH("Challenge",A806)), "Challenge",IF(ISNUMBER(SEARCH("Last To Leave",A806)),"Challenge",IF(ISNUMBER(SEARCH("Giving Away", A806)),"Giveaway",IF(ISNUMBER(SEARCH("Stranded",A806)),"Survival", IF(ISNUMBER(SEARCH("Survive",A806)), "Survival", IF(ISNUMBER(SEARCH("Days",A806)),"Endurance","Other"))))))))</f>
        <v>Money</v>
      </c>
    </row>
    <row r="807" spans="1:15" x14ac:dyDescent="0.3">
      <c r="A807" t="s">
        <v>814</v>
      </c>
      <c r="B807" s="1">
        <v>45555</v>
      </c>
      <c r="C807" s="2">
        <v>385309922</v>
      </c>
      <c r="D807" s="3">
        <v>8513082</v>
      </c>
      <c r="E807" s="3">
        <v>11669</v>
      </c>
      <c r="F807">
        <f>YEAR(B807)</f>
        <v>2024</v>
      </c>
      <c r="G807" t="str">
        <f>TEXT(B807,"MMMM")</f>
        <v>September</v>
      </c>
      <c r="H807" t="str">
        <f>TEXT(B807, "DDDD")</f>
        <v>Friday</v>
      </c>
      <c r="I807">
        <f>((D807+E807)/C807)*100</f>
        <v>2.212440041967048</v>
      </c>
      <c r="J807">
        <f>(D807/C807)*1000</f>
        <v>22.094115707718526</v>
      </c>
      <c r="K807">
        <f>(E807/C807)*1000</f>
        <v>3.0284711951954355E-2</v>
      </c>
      <c r="L807">
        <f>CORREL(C807:C1305, D807:D1305)</f>
        <v>0.60164752255744725</v>
      </c>
      <c r="M807">
        <f>CORREL(C807:C1305,E807:E1305)</f>
        <v>7.5963060661115689E-2</v>
      </c>
      <c r="N807">
        <f>LEN(A807)</f>
        <v>39</v>
      </c>
      <c r="O807" t="str">
        <f>IF(ISNUMBER(SEARCH("$",A807)), "Money", IF(ISNUMBER(SEARCH("Win",A807)), "Challenge",IF(ISNUMBER(SEARCH("Challenge",A807)), "Challenge",IF(ISNUMBER(SEARCH("Last To Leave",A807)),"Challenge",IF(ISNUMBER(SEARCH("Giving Away", A807)),"Giveaway",IF(ISNUMBER(SEARCH("Stranded",A807)),"Survival", IF(ISNUMBER(SEARCH("Survive",A807)), "Survival", IF(ISNUMBER(SEARCH("Days",A807)),"Endurance","Other"))))))))</f>
        <v>Other</v>
      </c>
    </row>
    <row r="808" spans="1:15" x14ac:dyDescent="0.3">
      <c r="A808" t="s">
        <v>815</v>
      </c>
      <c r="B808" s="1">
        <v>45626</v>
      </c>
      <c r="C808" s="2">
        <v>377030112</v>
      </c>
      <c r="D808" s="3">
        <v>8446700</v>
      </c>
      <c r="E808" s="3">
        <v>122492</v>
      </c>
      <c r="F808">
        <f>YEAR(B808)</f>
        <v>2024</v>
      </c>
      <c r="G808" t="str">
        <f>TEXT(B808,"MMMM")</f>
        <v>November</v>
      </c>
      <c r="H808" t="str">
        <f>TEXT(B808, "DDDD")</f>
        <v>Saturday</v>
      </c>
      <c r="I808">
        <f>((D808+E808)/C808)*100</f>
        <v>2.2728136897458207</v>
      </c>
      <c r="J808">
        <f>(D808/C808)*1000</f>
        <v>22.403250380171226</v>
      </c>
      <c r="K808">
        <f>(E808/C808)*1000</f>
        <v>0.32488651728697998</v>
      </c>
      <c r="L808">
        <f>CORREL(C808:C1306, D808:D1306)</f>
        <v>0.60081879606219912</v>
      </c>
      <c r="M808">
        <f>CORREL(C808:C1306,E808:E1306)</f>
        <v>7.7063236802994414E-2</v>
      </c>
      <c r="N808">
        <f>LEN(A808)</f>
        <v>28</v>
      </c>
      <c r="O808" t="str">
        <f>IF(ISNUMBER(SEARCH("$",A808)), "Money", IF(ISNUMBER(SEARCH("Win",A808)), "Challenge",IF(ISNUMBER(SEARCH("Challenge",A808)), "Challenge",IF(ISNUMBER(SEARCH("Last To Leave",A808)),"Challenge",IF(ISNUMBER(SEARCH("Giving Away", A808)),"Giveaway",IF(ISNUMBER(SEARCH("Stranded",A808)),"Survival", IF(ISNUMBER(SEARCH("Survive",A808)), "Survival", IF(ISNUMBER(SEARCH("Days",A808)),"Endurance","Other"))))))))</f>
        <v>Money</v>
      </c>
    </row>
    <row r="809" spans="1:15" x14ac:dyDescent="0.3">
      <c r="A809" t="s">
        <v>816</v>
      </c>
      <c r="B809" s="1">
        <v>45551</v>
      </c>
      <c r="C809" s="2">
        <v>363330621</v>
      </c>
      <c r="D809" s="3">
        <v>8313824</v>
      </c>
      <c r="E809" s="3">
        <v>11669</v>
      </c>
      <c r="F809">
        <f>YEAR(B809)</f>
        <v>2024</v>
      </c>
      <c r="G809" t="str">
        <f>TEXT(B809,"MMMM")</f>
        <v>September</v>
      </c>
      <c r="H809" t="str">
        <f>TEXT(B809, "DDDD")</f>
        <v>Monday</v>
      </c>
      <c r="I809">
        <f>((D809+E809)/C809)*100</f>
        <v>2.2914371976371353</v>
      </c>
      <c r="J809">
        <f>(D809/C809)*1000</f>
        <v>22.8822552228539</v>
      </c>
      <c r="K809">
        <f>(E809/C809)*1000</f>
        <v>3.2116753517452634E-2</v>
      </c>
      <c r="L809">
        <f>CORREL(C809:C1307, D809:D1307)</f>
        <v>0.6000947633173378</v>
      </c>
      <c r="M809">
        <f>CORREL(C809:C1307,E809:E1307)</f>
        <v>7.5838542245840065E-2</v>
      </c>
      <c r="N809">
        <f>LEN(A809)</f>
        <v>30</v>
      </c>
      <c r="O809" t="str">
        <f>IF(ISNUMBER(SEARCH("$",A809)), "Money", IF(ISNUMBER(SEARCH("Win",A809)), "Challenge",IF(ISNUMBER(SEARCH("Challenge",A809)), "Challenge",IF(ISNUMBER(SEARCH("Last To Leave",A809)),"Challenge",IF(ISNUMBER(SEARCH("Giving Away", A809)),"Giveaway",IF(ISNUMBER(SEARCH("Stranded",A809)),"Survival", IF(ISNUMBER(SEARCH("Survive",A809)), "Survival", IF(ISNUMBER(SEARCH("Days",A809)),"Endurance","Other"))))))))</f>
        <v>Other</v>
      </c>
    </row>
    <row r="810" spans="1:15" x14ac:dyDescent="0.3">
      <c r="A810" t="s">
        <v>817</v>
      </c>
      <c r="B810" s="1">
        <v>45507</v>
      </c>
      <c r="C810" s="2">
        <v>359777547</v>
      </c>
      <c r="D810" s="3">
        <v>6281451</v>
      </c>
      <c r="E810" s="3">
        <v>88575</v>
      </c>
      <c r="F810">
        <f>YEAR(B810)</f>
        <v>2024</v>
      </c>
      <c r="G810" t="str">
        <f>TEXT(B810,"MMMM")</f>
        <v>August</v>
      </c>
      <c r="H810" t="str">
        <f>TEXT(B810, "DDDD")</f>
        <v>Saturday</v>
      </c>
      <c r="I810">
        <f>((D810+E810)/C810)*100</f>
        <v>1.7705457311375798</v>
      </c>
      <c r="J810">
        <f>(D810/C810)*1000</f>
        <v>17.459263515407756</v>
      </c>
      <c r="K810">
        <f>(E810/C810)*1000</f>
        <v>0.2461937959680402</v>
      </c>
      <c r="L810">
        <f>CORREL(C810:C1308, D810:D1308)</f>
        <v>0.5995502936218462</v>
      </c>
      <c r="M810">
        <f>CORREL(C810:C1308,E810:E1308)</f>
        <v>7.6750733527924636E-2</v>
      </c>
      <c r="N810">
        <f>LEN(A810)</f>
        <v>48</v>
      </c>
      <c r="O810" t="str">
        <f>IF(ISNUMBER(SEARCH("$",A810)), "Money", IF(ISNUMBER(SEARCH("Win",A810)), "Challenge",IF(ISNUMBER(SEARCH("Challenge",A810)), "Challenge",IF(ISNUMBER(SEARCH("Last To Leave",A810)),"Challenge",IF(ISNUMBER(SEARCH("Giving Away", A810)),"Giveaway",IF(ISNUMBER(SEARCH("Stranded",A810)),"Survival", IF(ISNUMBER(SEARCH("Survive",A810)), "Survival", IF(ISNUMBER(SEARCH("Days",A810)),"Endurance","Other"))))))))</f>
        <v>Money</v>
      </c>
    </row>
    <row r="811" spans="1:15" x14ac:dyDescent="0.3">
      <c r="A811" t="s">
        <v>818</v>
      </c>
      <c r="B811" s="1">
        <v>45353</v>
      </c>
      <c r="C811" s="2">
        <v>355486399</v>
      </c>
      <c r="D811" s="3">
        <v>6796150</v>
      </c>
      <c r="E811" s="3">
        <v>201734</v>
      </c>
      <c r="F811">
        <f>YEAR(B811)</f>
        <v>2024</v>
      </c>
      <c r="G811" t="str">
        <f>TEXT(B811,"MMMM")</f>
        <v>March</v>
      </c>
      <c r="H811" t="str">
        <f>TEXT(B811, "DDDD")</f>
        <v>Saturday</v>
      </c>
      <c r="I811">
        <f>((D811+E811)/C811)*100</f>
        <v>1.9685377611310524</v>
      </c>
      <c r="J811">
        <f>(D811/C811)*1000</f>
        <v>19.117890358443784</v>
      </c>
      <c r="K811">
        <f>(E811/C811)*1000</f>
        <v>0.5674872528667404</v>
      </c>
      <c r="L811">
        <f>CORREL(C811:C1309, D811:D1309)</f>
        <v>0.59918804705612583</v>
      </c>
      <c r="M811">
        <f>CORREL(C811:C1309,E811:E1309)</f>
        <v>7.6258110067301821E-2</v>
      </c>
      <c r="N811">
        <f>LEN(A811)</f>
        <v>38</v>
      </c>
      <c r="O811" t="str">
        <f>IF(ISNUMBER(SEARCH("$",A811)), "Money", IF(ISNUMBER(SEARCH("Win",A811)), "Challenge",IF(ISNUMBER(SEARCH("Challenge",A811)), "Challenge",IF(ISNUMBER(SEARCH("Last To Leave",A811)),"Challenge",IF(ISNUMBER(SEARCH("Giving Away", A811)),"Giveaway",IF(ISNUMBER(SEARCH("Stranded",A811)),"Survival", IF(ISNUMBER(SEARCH("Survive",A811)), "Survival", IF(ISNUMBER(SEARCH("Days",A811)),"Endurance","Other"))))))))</f>
        <v>Survival</v>
      </c>
    </row>
    <row r="812" spans="1:15" x14ac:dyDescent="0.3">
      <c r="A812" t="s">
        <v>819</v>
      </c>
      <c r="B812" s="1">
        <v>45388</v>
      </c>
      <c r="C812" s="2">
        <v>350715704</v>
      </c>
      <c r="D812" s="3">
        <v>10809803</v>
      </c>
      <c r="E812" s="3">
        <v>60602</v>
      </c>
      <c r="F812">
        <f>YEAR(B812)</f>
        <v>2024</v>
      </c>
      <c r="G812" t="str">
        <f>TEXT(B812,"MMMM")</f>
        <v>April</v>
      </c>
      <c r="H812" t="str">
        <f>TEXT(B812, "DDDD")</f>
        <v>Saturday</v>
      </c>
      <c r="I812">
        <f>((D812+E812)/C812)*100</f>
        <v>3.0994919463315505</v>
      </c>
      <c r="J812">
        <f>(D812/C812)*1000</f>
        <v>30.822124235417757</v>
      </c>
      <c r="K812">
        <f>(E812/C812)*1000</f>
        <v>0.17279522789775048</v>
      </c>
      <c r="L812">
        <f>CORREL(C812:C1310, D812:D1310)</f>
        <v>0.59873012139334336</v>
      </c>
      <c r="M812">
        <f>CORREL(C812:C1310,E812:E1310)</f>
        <v>7.4063902236559565E-2</v>
      </c>
      <c r="N812">
        <f>LEN(A812)</f>
        <v>39</v>
      </c>
      <c r="O812" t="str">
        <f>IF(ISNUMBER(SEARCH("$",A812)), "Money", IF(ISNUMBER(SEARCH("Win",A812)), "Challenge",IF(ISNUMBER(SEARCH("Challenge",A812)), "Challenge",IF(ISNUMBER(SEARCH("Last To Leave",A812)),"Challenge",IF(ISNUMBER(SEARCH("Giving Away", A812)),"Giveaway",IF(ISNUMBER(SEARCH("Stranded",A812)),"Survival", IF(ISNUMBER(SEARCH("Survive",A812)), "Survival", IF(ISNUMBER(SEARCH("Days",A812)),"Endurance","Other"))))))))</f>
        <v>Money</v>
      </c>
    </row>
    <row r="813" spans="1:15" x14ac:dyDescent="0.3">
      <c r="A813" t="s">
        <v>820</v>
      </c>
      <c r="B813" s="1">
        <v>45402</v>
      </c>
      <c r="C813" s="2">
        <v>326556913</v>
      </c>
      <c r="D813" s="3">
        <v>6326021</v>
      </c>
      <c r="E813" s="3">
        <v>218939</v>
      </c>
      <c r="F813">
        <f>YEAR(B813)</f>
        <v>2024</v>
      </c>
      <c r="G813" t="str">
        <f>TEXT(B813,"MMMM")</f>
        <v>April</v>
      </c>
      <c r="H813" t="str">
        <f>TEXT(B813, "DDDD")</f>
        <v>Saturday</v>
      </c>
      <c r="I813">
        <f>((D813+E813)/C813)*100</f>
        <v>2.0042325669583971</v>
      </c>
      <c r="J813">
        <f>(D813/C813)*1000</f>
        <v>19.371878983924617</v>
      </c>
      <c r="K813">
        <f>(E813/C813)*1000</f>
        <v>0.67044668565935395</v>
      </c>
      <c r="L813">
        <f>CORREL(C813:C1311, D813:D1311)</f>
        <v>0.59952055301331453</v>
      </c>
      <c r="M813">
        <f>CORREL(C813:C1311,E813:E1311)</f>
        <v>7.403868883377486E-2</v>
      </c>
      <c r="N813">
        <f>LEN(A813)</f>
        <v>37</v>
      </c>
      <c r="O813" t="str">
        <f>IF(ISNUMBER(SEARCH("$",A813)), "Money", IF(ISNUMBER(SEARCH("Win",A813)), "Challenge",IF(ISNUMBER(SEARCH("Challenge",A813)), "Challenge",IF(ISNUMBER(SEARCH("Last To Leave",A813)),"Challenge",IF(ISNUMBER(SEARCH("Giving Away", A813)),"Giveaway",IF(ISNUMBER(SEARCH("Stranded",A813)),"Survival", IF(ISNUMBER(SEARCH("Survive",A813)), "Survival", IF(ISNUMBER(SEARCH("Days",A813)),"Endurance","Other"))))))))</f>
        <v>Money</v>
      </c>
    </row>
    <row r="814" spans="1:15" x14ac:dyDescent="0.3">
      <c r="A814" t="s">
        <v>821</v>
      </c>
      <c r="B814" s="1">
        <v>45442</v>
      </c>
      <c r="C814" s="2">
        <v>324443137</v>
      </c>
      <c r="D814" s="3">
        <v>11973986</v>
      </c>
      <c r="E814" s="3">
        <v>86805</v>
      </c>
      <c r="F814">
        <f>YEAR(B814)</f>
        <v>2024</v>
      </c>
      <c r="G814" t="str">
        <f>TEXT(B814,"MMMM")</f>
        <v>May</v>
      </c>
      <c r="H814" t="str">
        <f>TEXT(B814, "DDDD")</f>
        <v>Thursday</v>
      </c>
      <c r="I814">
        <f>((D814+E814)/C814)*100</f>
        <v>3.7173820693269897</v>
      </c>
      <c r="J814">
        <f>(D814/C814)*1000</f>
        <v>36.906269957561157</v>
      </c>
      <c r="K814">
        <f>(E814/C814)*1000</f>
        <v>0.26755073570873528</v>
      </c>
      <c r="L814">
        <f>CORREL(C814:C1312, D814:D1312)</f>
        <v>0.59927384724155763</v>
      </c>
      <c r="M814">
        <f>CORREL(C814:C1312,E814:E1312)</f>
        <v>7.2371146113512738E-2</v>
      </c>
      <c r="N814">
        <f>LEN(A814)</f>
        <v>34</v>
      </c>
      <c r="O814" t="str">
        <f>IF(ISNUMBER(SEARCH("$",A814)), "Money", IF(ISNUMBER(SEARCH("Win",A814)), "Challenge",IF(ISNUMBER(SEARCH("Challenge",A814)), "Challenge",IF(ISNUMBER(SEARCH("Last To Leave",A814)),"Challenge",IF(ISNUMBER(SEARCH("Giving Away", A814)),"Giveaway",IF(ISNUMBER(SEARCH("Stranded",A814)),"Survival", IF(ISNUMBER(SEARCH("Survive",A814)), "Survival", IF(ISNUMBER(SEARCH("Days",A814)),"Endurance","Other"))))))))</f>
        <v>Other</v>
      </c>
    </row>
    <row r="815" spans="1:15" x14ac:dyDescent="0.3">
      <c r="A815" t="s">
        <v>822</v>
      </c>
      <c r="B815" s="1">
        <v>45384</v>
      </c>
      <c r="C815" s="2">
        <v>316956354</v>
      </c>
      <c r="D815" s="3">
        <v>11048808</v>
      </c>
      <c r="E815" s="3">
        <v>17351</v>
      </c>
      <c r="F815">
        <f>YEAR(B815)</f>
        <v>2024</v>
      </c>
      <c r="G815" t="str">
        <f>TEXT(B815,"MMMM")</f>
        <v>April</v>
      </c>
      <c r="H815" t="str">
        <f>TEXT(B815, "DDDD")</f>
        <v>Tuesday</v>
      </c>
      <c r="I815">
        <f>((D815+E815)/C815)*100</f>
        <v>3.4913826021610537</v>
      </c>
      <c r="J815">
        <f>(D815/C815)*1000</f>
        <v>34.859083468634296</v>
      </c>
      <c r="K815">
        <f>(E815/C815)*1000</f>
        <v>5.474255297623723E-2</v>
      </c>
      <c r="L815">
        <f>CORREL(C815:C1313, D815:D1313)</f>
        <v>0.60217430130746041</v>
      </c>
      <c r="M815">
        <f>CORREL(C815:C1313,E815:E1313)</f>
        <v>7.2031178591489525E-2</v>
      </c>
      <c r="N815">
        <f>LEN(A815)</f>
        <v>29</v>
      </c>
      <c r="O815" t="str">
        <f>IF(ISNUMBER(SEARCH("$",A815)), "Money", IF(ISNUMBER(SEARCH("Win",A815)), "Challenge",IF(ISNUMBER(SEARCH("Challenge",A815)), "Challenge",IF(ISNUMBER(SEARCH("Last To Leave",A815)),"Challenge",IF(ISNUMBER(SEARCH("Giving Away", A815)),"Giveaway",IF(ISNUMBER(SEARCH("Stranded",A815)),"Survival", IF(ISNUMBER(SEARCH("Survive",A815)), "Survival", IF(ISNUMBER(SEARCH("Days",A815)),"Endurance","Other"))))))))</f>
        <v>Other</v>
      </c>
    </row>
    <row r="816" spans="1:15" x14ac:dyDescent="0.3">
      <c r="A816" t="s">
        <v>823</v>
      </c>
      <c r="B816" s="1">
        <v>45635</v>
      </c>
      <c r="C816" s="2">
        <v>313296891</v>
      </c>
      <c r="D816" s="3">
        <v>9250620</v>
      </c>
      <c r="E816" s="3">
        <v>19740</v>
      </c>
      <c r="F816">
        <f>YEAR(B816)</f>
        <v>2024</v>
      </c>
      <c r="G816" t="str">
        <f>TEXT(B816,"MMMM")</f>
        <v>December</v>
      </c>
      <c r="H816" t="str">
        <f>TEXT(B816, "DDDD")</f>
        <v>Monday</v>
      </c>
      <c r="I816">
        <f>((D816+E816)/C816)*100</f>
        <v>2.9589696758273929</v>
      </c>
      <c r="J816">
        <f>(D816/C816)*1000</f>
        <v>29.526689430186526</v>
      </c>
      <c r="K816">
        <f>(E816/C816)*1000</f>
        <v>6.300732808740192E-2</v>
      </c>
      <c r="L816">
        <f>CORREL(C816:C1314, D816:D1314)</f>
        <v>0.60445426803472158</v>
      </c>
      <c r="M816">
        <f>CORREL(C816:C1314,E816:E1314)</f>
        <v>7.2474778098371107E-2</v>
      </c>
      <c r="N816">
        <f>LEN(A816)</f>
        <v>33</v>
      </c>
      <c r="O816" t="str">
        <f>IF(ISNUMBER(SEARCH("$",A816)), "Money", IF(ISNUMBER(SEARCH("Win",A816)), "Challenge",IF(ISNUMBER(SEARCH("Challenge",A816)), "Challenge",IF(ISNUMBER(SEARCH("Last To Leave",A816)),"Challenge",IF(ISNUMBER(SEARCH("Giving Away", A816)),"Giveaway",IF(ISNUMBER(SEARCH("Stranded",A816)),"Survival", IF(ISNUMBER(SEARCH("Survive",A816)), "Survival", IF(ISNUMBER(SEARCH("Days",A816)),"Endurance","Other"))))))))</f>
        <v>Other</v>
      </c>
    </row>
    <row r="817" spans="1:15" x14ac:dyDescent="0.3">
      <c r="A817" t="s">
        <v>824</v>
      </c>
      <c r="B817" s="1">
        <v>45428</v>
      </c>
      <c r="C817" s="2">
        <v>295291401</v>
      </c>
      <c r="D817" s="3">
        <v>10835322</v>
      </c>
      <c r="E817" s="3">
        <v>35897</v>
      </c>
      <c r="F817">
        <f>YEAR(B817)</f>
        <v>2024</v>
      </c>
      <c r="G817" t="str">
        <f>TEXT(B817,"MMMM")</f>
        <v>May</v>
      </c>
      <c r="H817" t="str">
        <f>TEXT(B817, "DDDD")</f>
        <v>Thursday</v>
      </c>
      <c r="I817">
        <f>((D817+E817)/C817)*100</f>
        <v>3.6815223752485768</v>
      </c>
      <c r="J817">
        <f>(D817/C817)*1000</f>
        <v>36.693659088298347</v>
      </c>
      <c r="K817">
        <f>(E817/C817)*1000</f>
        <v>0.12156466418742752</v>
      </c>
      <c r="L817">
        <f>CORREL(C817:C1315, D817:D1315)</f>
        <v>0.60534416382961687</v>
      </c>
      <c r="M817">
        <f>CORREL(C817:C1315,E817:E1315)</f>
        <v>7.2870505114531303E-2</v>
      </c>
      <c r="N817">
        <f>LEN(A817)</f>
        <v>22</v>
      </c>
      <c r="O817" t="str">
        <f>IF(ISNUMBER(SEARCH("$",A817)), "Money", IF(ISNUMBER(SEARCH("Win",A817)), "Challenge",IF(ISNUMBER(SEARCH("Challenge",A817)), "Challenge",IF(ISNUMBER(SEARCH("Last To Leave",A817)),"Challenge",IF(ISNUMBER(SEARCH("Giving Away", A817)),"Giveaway",IF(ISNUMBER(SEARCH("Stranded",A817)),"Survival", IF(ISNUMBER(SEARCH("Survive",A817)), "Survival", IF(ISNUMBER(SEARCH("Days",A817)),"Endurance","Other"))))))))</f>
        <v>Other</v>
      </c>
    </row>
    <row r="818" spans="1:15" x14ac:dyDescent="0.3">
      <c r="A818" t="s">
        <v>825</v>
      </c>
      <c r="B818" s="1">
        <v>45484</v>
      </c>
      <c r="C818" s="2">
        <v>290429368</v>
      </c>
      <c r="D818" s="3">
        <v>11491960</v>
      </c>
      <c r="E818" s="3">
        <v>52660</v>
      </c>
      <c r="F818">
        <f>YEAR(B818)</f>
        <v>2024</v>
      </c>
      <c r="G818" t="str">
        <f>TEXT(B818,"MMMM")</f>
        <v>July</v>
      </c>
      <c r="H818" t="str">
        <f>TEXT(B818, "DDDD")</f>
        <v>Thursday</v>
      </c>
      <c r="I818">
        <f>((D818+E818)/C818)*100</f>
        <v>3.9750181186910822</v>
      </c>
      <c r="J818">
        <f>(D818/C818)*1000</f>
        <v>39.568863435325866</v>
      </c>
      <c r="K818">
        <f>(E818/C818)*1000</f>
        <v>0.1813177515849568</v>
      </c>
      <c r="L818">
        <f>CORREL(C818:C1316, D818:D1316)</f>
        <v>0.60831941358433683</v>
      </c>
      <c r="M818">
        <f>CORREL(C818:C1316,E818:E1316)</f>
        <v>7.3023169885874234E-2</v>
      </c>
      <c r="N818">
        <f>LEN(A818)</f>
        <v>20</v>
      </c>
      <c r="O818" t="str">
        <f>IF(ISNUMBER(SEARCH("$",A818)), "Money", IF(ISNUMBER(SEARCH("Win",A818)), "Challenge",IF(ISNUMBER(SEARCH("Challenge",A818)), "Challenge",IF(ISNUMBER(SEARCH("Last To Leave",A818)),"Challenge",IF(ISNUMBER(SEARCH("Giving Away", A818)),"Giveaway",IF(ISNUMBER(SEARCH("Stranded",A818)),"Survival", IF(ISNUMBER(SEARCH("Survive",A818)), "Survival", IF(ISNUMBER(SEARCH("Days",A818)),"Endurance","Other"))))))))</f>
        <v>Other</v>
      </c>
    </row>
    <row r="819" spans="1:15" x14ac:dyDescent="0.3">
      <c r="A819" t="s">
        <v>826</v>
      </c>
      <c r="B819" s="1">
        <v>45625</v>
      </c>
      <c r="C819" s="2">
        <v>290059348</v>
      </c>
      <c r="D819" s="3">
        <v>13590604</v>
      </c>
      <c r="E819" s="3">
        <v>35768</v>
      </c>
      <c r="F819">
        <f>YEAR(B819)</f>
        <v>2024</v>
      </c>
      <c r="G819" t="str">
        <f>TEXT(B819,"MMMM")</f>
        <v>November</v>
      </c>
      <c r="H819" t="str">
        <f>TEXT(B819, "DDDD")</f>
        <v>Friday</v>
      </c>
      <c r="I819">
        <f>((D819+E819)/C819)*100</f>
        <v>4.69778757139039</v>
      </c>
      <c r="J819">
        <f>(D819/C819)*1000</f>
        <v>46.854563018599904</v>
      </c>
      <c r="K819">
        <f>(E819/C819)*1000</f>
        <v>0.1233126953039969</v>
      </c>
      <c r="L819">
        <f>CORREL(C819:C1317, D819:D1317)</f>
        <v>0.61246578810923569</v>
      </c>
      <c r="M819">
        <f>CORREL(C819:C1317,E819:E1317)</f>
        <v>7.3051302409518001E-2</v>
      </c>
      <c r="N819">
        <f>LEN(A819)</f>
        <v>19</v>
      </c>
      <c r="O819" t="str">
        <f>IF(ISNUMBER(SEARCH("$",A819)), "Money", IF(ISNUMBER(SEARCH("Win",A819)), "Challenge",IF(ISNUMBER(SEARCH("Challenge",A819)), "Challenge",IF(ISNUMBER(SEARCH("Last To Leave",A819)),"Challenge",IF(ISNUMBER(SEARCH("Giving Away", A819)),"Giveaway",IF(ISNUMBER(SEARCH("Stranded",A819)),"Survival", IF(ISNUMBER(SEARCH("Survive",A819)), "Survival", IF(ISNUMBER(SEARCH("Days",A819)),"Endurance","Other"))))))))</f>
        <v>Other</v>
      </c>
    </row>
    <row r="820" spans="1:15" x14ac:dyDescent="0.3">
      <c r="A820" t="s">
        <v>827</v>
      </c>
      <c r="B820" s="1">
        <v>45421</v>
      </c>
      <c r="C820" s="2">
        <v>286845575</v>
      </c>
      <c r="D820" s="3">
        <v>10012699</v>
      </c>
      <c r="E820" s="3">
        <v>36075</v>
      </c>
      <c r="F820">
        <f>YEAR(B820)</f>
        <v>2024</v>
      </c>
      <c r="G820" t="str">
        <f>TEXT(B820,"MMMM")</f>
        <v>May</v>
      </c>
      <c r="H820" t="str">
        <f>TEXT(B820, "DDDD")</f>
        <v>Thursday</v>
      </c>
      <c r="I820">
        <f>((D820+E820)/C820)*100</f>
        <v>3.5031999360631589</v>
      </c>
      <c r="J820">
        <f>(D820/C820)*1000</f>
        <v>34.906234826875057</v>
      </c>
      <c r="K820">
        <f>(E820/C820)*1000</f>
        <v>0.12576453375653432</v>
      </c>
      <c r="L820">
        <f>CORREL(C820:C1318, D820:D1318)</f>
        <v>0.6204580769280762</v>
      </c>
      <c r="M820">
        <f>CORREL(C820:C1318,E820:E1318)</f>
        <v>7.3186741280585332E-2</v>
      </c>
      <c r="N820">
        <f>LEN(A820)</f>
        <v>27</v>
      </c>
      <c r="O820" t="str">
        <f>IF(ISNUMBER(SEARCH("$",A820)), "Money", IF(ISNUMBER(SEARCH("Win",A820)), "Challenge",IF(ISNUMBER(SEARCH("Challenge",A820)), "Challenge",IF(ISNUMBER(SEARCH("Last To Leave",A820)),"Challenge",IF(ISNUMBER(SEARCH("Giving Away", A820)),"Giveaway",IF(ISNUMBER(SEARCH("Stranded",A820)),"Survival", IF(ISNUMBER(SEARCH("Survive",A820)), "Survival", IF(ISNUMBER(SEARCH("Days",A820)),"Endurance","Other"))))))))</f>
        <v>Other</v>
      </c>
    </row>
    <row r="821" spans="1:15" x14ac:dyDescent="0.3">
      <c r="A821" t="s">
        <v>828</v>
      </c>
      <c r="B821" s="1">
        <v>45563</v>
      </c>
      <c r="C821" s="2">
        <v>286579964</v>
      </c>
      <c r="D821" s="3">
        <v>8534718</v>
      </c>
      <c r="E821" s="3">
        <v>7994</v>
      </c>
      <c r="F821">
        <f>YEAR(B821)</f>
        <v>2024</v>
      </c>
      <c r="G821" t="str">
        <f>TEXT(B821,"MMMM")</f>
        <v>September</v>
      </c>
      <c r="H821" t="str">
        <f>TEXT(B821, "DDDD")</f>
        <v>Saturday</v>
      </c>
      <c r="I821">
        <f>((D821+E821)/C821)*100</f>
        <v>2.9809173958860571</v>
      </c>
      <c r="J821">
        <f>(D821/C821)*1000</f>
        <v>29.781279475630054</v>
      </c>
      <c r="K821">
        <f>(E821/C821)*1000</f>
        <v>2.789448323051642E-2</v>
      </c>
      <c r="L821">
        <f>CORREL(C821:C1319, D821:D1319)</f>
        <v>0.62321594108481559</v>
      </c>
      <c r="M821">
        <f>CORREL(C821:C1319,E821:E1319)</f>
        <v>7.3309094880800868E-2</v>
      </c>
      <c r="N821">
        <f>LEN(A821)</f>
        <v>32</v>
      </c>
      <c r="O821" t="str">
        <f>IF(ISNUMBER(SEARCH("$",A821)), "Money", IF(ISNUMBER(SEARCH("Win",A821)), "Challenge",IF(ISNUMBER(SEARCH("Challenge",A821)), "Challenge",IF(ISNUMBER(SEARCH("Last To Leave",A821)),"Challenge",IF(ISNUMBER(SEARCH("Giving Away", A821)),"Giveaway",IF(ISNUMBER(SEARCH("Stranded",A821)),"Survival", IF(ISNUMBER(SEARCH("Survive",A821)), "Survival", IF(ISNUMBER(SEARCH("Days",A821)),"Endurance","Other"))))))))</f>
        <v>Money</v>
      </c>
    </row>
    <row r="822" spans="1:15" x14ac:dyDescent="0.3">
      <c r="A822" t="s">
        <v>829</v>
      </c>
      <c r="B822" s="1">
        <v>45598</v>
      </c>
      <c r="C822" s="2">
        <v>282132360</v>
      </c>
      <c r="D822" s="3">
        <v>5162709</v>
      </c>
      <c r="E822" s="3">
        <v>56701</v>
      </c>
      <c r="F822">
        <f>YEAR(B822)</f>
        <v>2024</v>
      </c>
      <c r="G822" t="str">
        <f>TEXT(B822,"MMMM")</f>
        <v>November</v>
      </c>
      <c r="H822" t="str">
        <f>TEXT(B822, "DDDD")</f>
        <v>Saturday</v>
      </c>
      <c r="I822">
        <f>((D822+E822)/C822)*100</f>
        <v>1.8499862972117058</v>
      </c>
      <c r="J822">
        <f>(D822/C822)*1000</f>
        <v>18.298889925281877</v>
      </c>
      <c r="K822">
        <f>(E822/C822)*1000</f>
        <v>0.20097304683518047</v>
      </c>
      <c r="L822">
        <f>CORREL(C822:C1320, D822:D1320)</f>
        <v>0.62455404205307696</v>
      </c>
      <c r="M822">
        <f>CORREL(C822:C1320,E822:E1320)</f>
        <v>7.3609292008173274E-2</v>
      </c>
      <c r="N822">
        <f>LEN(A822)</f>
        <v>27</v>
      </c>
      <c r="O822" t="str">
        <f>IF(ISNUMBER(SEARCH("$",A822)), "Money", IF(ISNUMBER(SEARCH("Win",A822)), "Challenge",IF(ISNUMBER(SEARCH("Challenge",A822)), "Challenge",IF(ISNUMBER(SEARCH("Last To Leave",A822)),"Challenge",IF(ISNUMBER(SEARCH("Giving Away", A822)),"Giveaway",IF(ISNUMBER(SEARCH("Stranded",A822)),"Survival", IF(ISNUMBER(SEARCH("Survive",A822)), "Survival", IF(ISNUMBER(SEARCH("Days",A822)),"Endurance","Other"))))))))</f>
        <v>Money</v>
      </c>
    </row>
    <row r="823" spans="1:15" x14ac:dyDescent="0.3">
      <c r="A823" t="s">
        <v>830</v>
      </c>
      <c r="B823" s="1">
        <v>45533</v>
      </c>
      <c r="C823" s="2">
        <v>274325711</v>
      </c>
      <c r="D823" s="3">
        <v>8270857</v>
      </c>
      <c r="E823" s="3">
        <v>23152</v>
      </c>
      <c r="F823">
        <f>YEAR(B823)</f>
        <v>2024</v>
      </c>
      <c r="G823" t="str">
        <f>TEXT(B823,"MMMM")</f>
        <v>August</v>
      </c>
      <c r="H823" t="str">
        <f>TEXT(B823, "DDDD")</f>
        <v>Thursday</v>
      </c>
      <c r="I823">
        <f>((D823+E823)/C823)*100</f>
        <v>3.023416569218333</v>
      </c>
      <c r="J823">
        <f>(D823/C823)*1000</f>
        <v>30.149769665592881</v>
      </c>
      <c r="K823">
        <f>(E823/C823)*1000</f>
        <v>8.4396026590449633E-2</v>
      </c>
      <c r="L823">
        <f>CORREL(C823:C1321, D823:D1321)</f>
        <v>0.62451991315593403</v>
      </c>
      <c r="M823">
        <f>CORREL(C823:C1321,E823:E1321)</f>
        <v>7.3613801980923502E-2</v>
      </c>
      <c r="N823">
        <f>LEN(A823)</f>
        <v>24</v>
      </c>
      <c r="O823" t="str">
        <f>IF(ISNUMBER(SEARCH("$",A823)), "Money", IF(ISNUMBER(SEARCH("Win",A823)), "Challenge",IF(ISNUMBER(SEARCH("Challenge",A823)), "Challenge",IF(ISNUMBER(SEARCH("Last To Leave",A823)),"Challenge",IF(ISNUMBER(SEARCH("Giving Away", A823)),"Giveaway",IF(ISNUMBER(SEARCH("Stranded",A823)),"Survival", IF(ISNUMBER(SEARCH("Survive",A823)), "Survival", IF(ISNUMBER(SEARCH("Days",A823)),"Endurance","Other"))))))))</f>
        <v>Money</v>
      </c>
    </row>
    <row r="824" spans="1:15" x14ac:dyDescent="0.3">
      <c r="A824" t="s">
        <v>831</v>
      </c>
      <c r="B824" s="1">
        <v>45367</v>
      </c>
      <c r="C824" s="2">
        <v>270549447</v>
      </c>
      <c r="D824" s="3">
        <v>5484703</v>
      </c>
      <c r="E824" s="3">
        <v>127028</v>
      </c>
      <c r="F824">
        <f>YEAR(B824)</f>
        <v>2024</v>
      </c>
      <c r="G824" t="str">
        <f>TEXT(B824,"MMMM")</f>
        <v>March</v>
      </c>
      <c r="H824" t="str">
        <f>TEXT(B824, "DDDD")</f>
        <v>Saturday</v>
      </c>
      <c r="I824">
        <f>((D824+E824)/C824)*100</f>
        <v>2.0741979191700217</v>
      </c>
      <c r="J824">
        <f>(D824/C824)*1000</f>
        <v>20.272460582778422</v>
      </c>
      <c r="K824">
        <f>(E824/C824)*1000</f>
        <v>0.46951860892179165</v>
      </c>
      <c r="L824">
        <f>CORREL(C824:C1322, D824:D1322)</f>
        <v>0.62596331409034844</v>
      </c>
      <c r="M824">
        <f>CORREL(C824:C1322,E824:E1322)</f>
        <v>7.3742889479921012E-2</v>
      </c>
      <c r="N824">
        <f>LEN(A824)</f>
        <v>34</v>
      </c>
      <c r="O824" t="str">
        <f>IF(ISNUMBER(SEARCH("$",A824)), "Money", IF(ISNUMBER(SEARCH("Win",A824)), "Challenge",IF(ISNUMBER(SEARCH("Challenge",A824)), "Challenge",IF(ISNUMBER(SEARCH("Last To Leave",A824)),"Challenge",IF(ISNUMBER(SEARCH("Giving Away", A824)),"Giveaway",IF(ISNUMBER(SEARCH("Stranded",A824)),"Survival", IF(ISNUMBER(SEARCH("Survive",A824)), "Survival", IF(ISNUMBER(SEARCH("Days",A824)),"Endurance","Other"))))))))</f>
        <v>Challenge</v>
      </c>
    </row>
    <row r="825" spans="1:15" x14ac:dyDescent="0.3">
      <c r="A825" t="s">
        <v>832</v>
      </c>
      <c r="B825" s="1">
        <v>45472</v>
      </c>
      <c r="C825" s="2">
        <v>265101789</v>
      </c>
      <c r="D825" s="3">
        <v>8002892</v>
      </c>
      <c r="E825" s="3">
        <v>293043</v>
      </c>
      <c r="F825">
        <f>YEAR(B825)</f>
        <v>2024</v>
      </c>
      <c r="G825" t="str">
        <f>TEXT(B825,"MMMM")</f>
        <v>June</v>
      </c>
      <c r="H825" t="str">
        <f>TEXT(B825, "DDDD")</f>
        <v>Saturday</v>
      </c>
      <c r="I825">
        <f>((D825+E825)/C825)*100</f>
        <v>3.1293395006097078</v>
      </c>
      <c r="J825">
        <f>(D825/C825)*1000</f>
        <v>30.187996958406039</v>
      </c>
      <c r="K825">
        <f>(E825/C825)*1000</f>
        <v>1.1053980476910323</v>
      </c>
      <c r="L825">
        <f>CORREL(C825:C1323, D825:D1323)</f>
        <v>0.62601957341299652</v>
      </c>
      <c r="M825">
        <f>CORREL(C825:C1323,E825:E1323)</f>
        <v>7.3610887799112915E-2</v>
      </c>
      <c r="N825">
        <f>LEN(A825)</f>
        <v>38</v>
      </c>
      <c r="O825" t="str">
        <f>IF(ISNUMBER(SEARCH("$",A825)), "Money", IF(ISNUMBER(SEARCH("Win",A825)), "Challenge",IF(ISNUMBER(SEARCH("Challenge",A825)), "Challenge",IF(ISNUMBER(SEARCH("Last To Leave",A825)),"Challenge",IF(ISNUMBER(SEARCH("Giving Away", A825)),"Giveaway",IF(ISNUMBER(SEARCH("Stranded",A825)),"Survival", IF(ISNUMBER(SEARCH("Survive",A825)), "Survival", IF(ISNUMBER(SEARCH("Days",A825)),"Endurance","Other"))))))))</f>
        <v>Other</v>
      </c>
    </row>
    <row r="826" spans="1:15" x14ac:dyDescent="0.3">
      <c r="A826" t="s">
        <v>833</v>
      </c>
      <c r="B826" s="1">
        <v>45351</v>
      </c>
      <c r="C826" s="2">
        <v>253878389</v>
      </c>
      <c r="D826" s="3">
        <v>14694240</v>
      </c>
      <c r="E826" s="3">
        <v>56088</v>
      </c>
      <c r="F826">
        <f>YEAR(B826)</f>
        <v>2024</v>
      </c>
      <c r="G826" t="str">
        <f>TEXT(B826,"MMMM")</f>
        <v>February</v>
      </c>
      <c r="H826" t="str">
        <f>TEXT(B826, "DDDD")</f>
        <v>Thursday</v>
      </c>
      <c r="I826">
        <f>((D826+E826)/C826)*100</f>
        <v>5.8099974787534991</v>
      </c>
      <c r="J826">
        <f>(D826/C826)*1000</f>
        <v>57.879050114816984</v>
      </c>
      <c r="K826">
        <f>(E826/C826)*1000</f>
        <v>0.22092467271800753</v>
      </c>
      <c r="L826">
        <f>CORREL(C826:C1324, D826:D1324)</f>
        <v>0.6274836933271799</v>
      </c>
      <c r="M826">
        <f>CORREL(C826:C1324,E826:E1324)</f>
        <v>7.3848954993855825E-2</v>
      </c>
      <c r="N826">
        <f>LEN(A826)</f>
        <v>39</v>
      </c>
      <c r="O826" t="str">
        <f>IF(ISNUMBER(SEARCH("$",A826)), "Money", IF(ISNUMBER(SEARCH("Win",A826)), "Challenge",IF(ISNUMBER(SEARCH("Challenge",A826)), "Challenge",IF(ISNUMBER(SEARCH("Last To Leave",A826)),"Challenge",IF(ISNUMBER(SEARCH("Giving Away", A826)),"Giveaway",IF(ISNUMBER(SEARCH("Stranded",A826)),"Survival", IF(ISNUMBER(SEARCH("Survive",A826)), "Survival", IF(ISNUMBER(SEARCH("Days",A826)),"Endurance","Other"))))))))</f>
        <v>Other</v>
      </c>
    </row>
    <row r="827" spans="1:15" x14ac:dyDescent="0.3">
      <c r="A827" t="s">
        <v>834</v>
      </c>
      <c r="B827" s="1">
        <v>45490</v>
      </c>
      <c r="C827" s="2">
        <v>240640112</v>
      </c>
      <c r="D827" s="3">
        <v>6262666</v>
      </c>
      <c r="E827" s="3">
        <v>11170</v>
      </c>
      <c r="F827">
        <f>YEAR(B827)</f>
        <v>2024</v>
      </c>
      <c r="G827" t="str">
        <f>TEXT(B827,"MMMM")</f>
        <v>July</v>
      </c>
      <c r="H827" t="str">
        <f>TEXT(B827, "DDDD")</f>
        <v>Wednesday</v>
      </c>
      <c r="I827">
        <f>((D827+E827)/C827)*100</f>
        <v>2.6071447307172133</v>
      </c>
      <c r="J827">
        <f>(D827/C827)*1000</f>
        <v>26.025029443137893</v>
      </c>
      <c r="K827">
        <f>(E827/C827)*1000</f>
        <v>4.6417864034238816E-2</v>
      </c>
      <c r="L827">
        <f>CORREL(C827:C1325, D827:D1325)</f>
        <v>0.64179067533763134</v>
      </c>
      <c r="M827">
        <f>CORREL(C827:C1325,E827:E1325)</f>
        <v>7.3849145629524729E-2</v>
      </c>
      <c r="N827">
        <f>LEN(A827)</f>
        <v>17</v>
      </c>
      <c r="O827" t="str">
        <f>IF(ISNUMBER(SEARCH("$",A827)), "Money", IF(ISNUMBER(SEARCH("Win",A827)), "Challenge",IF(ISNUMBER(SEARCH("Challenge",A827)), "Challenge",IF(ISNUMBER(SEARCH("Last To Leave",A827)),"Challenge",IF(ISNUMBER(SEARCH("Giving Away", A827)),"Giveaway",IF(ISNUMBER(SEARCH("Stranded",A827)),"Survival", IF(ISNUMBER(SEARCH("Survive",A827)), "Survival", IF(ISNUMBER(SEARCH("Days",A827)),"Endurance","Other"))))))))</f>
        <v>Other</v>
      </c>
    </row>
    <row r="828" spans="1:15" x14ac:dyDescent="0.3">
      <c r="A828" t="s">
        <v>835</v>
      </c>
      <c r="B828" s="1">
        <v>45542</v>
      </c>
      <c r="C828" s="2">
        <v>237566185</v>
      </c>
      <c r="D828" s="3">
        <v>4466437</v>
      </c>
      <c r="E828" s="3">
        <v>54987</v>
      </c>
      <c r="F828">
        <f>YEAR(B828)</f>
        <v>2024</v>
      </c>
      <c r="G828" t="str">
        <f>TEXT(B828,"MMMM")</f>
        <v>September</v>
      </c>
      <c r="H828" t="str">
        <f>TEXT(B828, "DDDD")</f>
        <v>Saturday</v>
      </c>
      <c r="I828">
        <f>((D828+E828)/C828)*100</f>
        <v>1.9032270943779308</v>
      </c>
      <c r="J828">
        <f>(D828/C828)*1000</f>
        <v>18.800811234982792</v>
      </c>
      <c r="K828">
        <f>(E828/C828)*1000</f>
        <v>0.23145970879651917</v>
      </c>
      <c r="L828">
        <f>CORREL(C828:C1326, D828:D1326)</f>
        <v>0.64253258661982804</v>
      </c>
      <c r="M828">
        <f>CORREL(C828:C1326,E828:E1326)</f>
        <v>7.3754535271228355E-2</v>
      </c>
      <c r="N828">
        <f>LEN(A828)</f>
        <v>51</v>
      </c>
      <c r="O828" t="str">
        <f>IF(ISNUMBER(SEARCH("$",A828)), "Money", IF(ISNUMBER(SEARCH("Win",A828)), "Challenge",IF(ISNUMBER(SEARCH("Challenge",A828)), "Challenge",IF(ISNUMBER(SEARCH("Last To Leave",A828)),"Challenge",IF(ISNUMBER(SEARCH("Giving Away", A828)),"Giveaway",IF(ISNUMBER(SEARCH("Stranded",A828)),"Survival", IF(ISNUMBER(SEARCH("Survive",A828)), "Survival", IF(ISNUMBER(SEARCH("Days",A828)),"Endurance","Other"))))))))</f>
        <v>Money</v>
      </c>
    </row>
    <row r="829" spans="1:15" x14ac:dyDescent="0.3">
      <c r="A829" t="s">
        <v>836</v>
      </c>
      <c r="B829" s="1">
        <v>45415</v>
      </c>
      <c r="C829" s="2">
        <v>234775722</v>
      </c>
      <c r="D829" s="3">
        <v>11902518</v>
      </c>
      <c r="E829" s="3">
        <v>30640</v>
      </c>
      <c r="F829">
        <f>YEAR(B829)</f>
        <v>2024</v>
      </c>
      <c r="G829" t="str">
        <f>TEXT(B829,"MMMM")</f>
        <v>May</v>
      </c>
      <c r="H829" t="str">
        <f>TEXT(B829, "DDDD")</f>
        <v>Friday</v>
      </c>
      <c r="I829">
        <f>((D829+E829)/C829)*100</f>
        <v>5.0827904599096492</v>
      </c>
      <c r="J829">
        <f>(D829/C829)*1000</f>
        <v>50.697397067316864</v>
      </c>
      <c r="K829">
        <f>(E829/C829)*1000</f>
        <v>0.13050753177962751</v>
      </c>
      <c r="L829">
        <f>CORREL(C829:C1327, D829:D1327)</f>
        <v>0.64257250808905197</v>
      </c>
      <c r="M829">
        <f>CORREL(C829:C1327,E829:E1327)</f>
        <v>7.3753445829473435E-2</v>
      </c>
      <c r="N829">
        <f>LEN(A829)</f>
        <v>34</v>
      </c>
      <c r="O829" t="str">
        <f>IF(ISNUMBER(SEARCH("$",A829)), "Money", IF(ISNUMBER(SEARCH("Win",A829)), "Challenge",IF(ISNUMBER(SEARCH("Challenge",A829)), "Challenge",IF(ISNUMBER(SEARCH("Last To Leave",A829)),"Challenge",IF(ISNUMBER(SEARCH("Giving Away", A829)),"Giveaway",IF(ISNUMBER(SEARCH("Stranded",A829)),"Survival", IF(ISNUMBER(SEARCH("Survive",A829)), "Survival", IF(ISNUMBER(SEARCH("Days",A829)),"Endurance","Other"))))))))</f>
        <v>Money</v>
      </c>
    </row>
    <row r="830" spans="1:15" x14ac:dyDescent="0.3">
      <c r="A830" t="s">
        <v>736</v>
      </c>
      <c r="B830" s="1">
        <v>45420</v>
      </c>
      <c r="C830" s="2">
        <v>206596077</v>
      </c>
      <c r="D830" s="3">
        <v>6473102</v>
      </c>
      <c r="E830" s="3">
        <v>12518</v>
      </c>
      <c r="F830">
        <f>YEAR(B830)</f>
        <v>2024</v>
      </c>
      <c r="G830" t="str">
        <f>TEXT(B830,"MMMM")</f>
        <v>May</v>
      </c>
      <c r="H830" t="str">
        <f>TEXT(B830, "DDDD")</f>
        <v>Wednesday</v>
      </c>
      <c r="I830">
        <f>((D830+E830)/C830)*100</f>
        <v>3.1392754858554257</v>
      </c>
      <c r="J830">
        <f>(D830/C830)*1000</f>
        <v>31.332163194947789</v>
      </c>
      <c r="K830">
        <f>(E830/C830)*1000</f>
        <v>6.0591663606468185E-2</v>
      </c>
      <c r="L830">
        <f>CORREL(C830:C1328, D830:D1328)</f>
        <v>0.65183335174419532</v>
      </c>
      <c r="M830">
        <f>CORREL(C830:C1328,E830:E1328)</f>
        <v>7.3667646060995864E-2</v>
      </c>
      <c r="N830">
        <f>LEN(A830)</f>
        <v>34</v>
      </c>
      <c r="O830" t="str">
        <f>IF(ISNUMBER(SEARCH("$",A830)), "Money", IF(ISNUMBER(SEARCH("Win",A830)), "Challenge",IF(ISNUMBER(SEARCH("Challenge",A830)), "Challenge",IF(ISNUMBER(SEARCH("Last To Leave",A830)),"Challenge",IF(ISNUMBER(SEARCH("Giving Away", A830)),"Giveaway",IF(ISNUMBER(SEARCH("Stranded",A830)),"Survival", IF(ISNUMBER(SEARCH("Survive",A830)), "Survival", IF(ISNUMBER(SEARCH("Days",A830)),"Endurance","Other"))))))))</f>
        <v>Money</v>
      </c>
    </row>
    <row r="831" spans="1:15" x14ac:dyDescent="0.3">
      <c r="A831" t="s">
        <v>837</v>
      </c>
      <c r="B831" s="1">
        <v>45563</v>
      </c>
      <c r="C831" s="2">
        <v>203770574</v>
      </c>
      <c r="D831" s="3">
        <v>3449182</v>
      </c>
      <c r="E831" s="3">
        <v>29883</v>
      </c>
      <c r="F831">
        <f>YEAR(B831)</f>
        <v>2024</v>
      </c>
      <c r="G831" t="str">
        <f>TEXT(B831,"MMMM")</f>
        <v>September</v>
      </c>
      <c r="H831" t="str">
        <f>TEXT(B831, "DDDD")</f>
        <v>Saturday</v>
      </c>
      <c r="I831">
        <f>((D831+E831)/C831)*100</f>
        <v>1.7073441624598851</v>
      </c>
      <c r="J831">
        <f>(D831/C831)*1000</f>
        <v>16.926791402177628</v>
      </c>
      <c r="K831">
        <f>(E831/C831)*1000</f>
        <v>0.14665022242122161</v>
      </c>
      <c r="L831">
        <f>CORREL(C831:C1329, D831:D1329)</f>
        <v>0.65339176291253276</v>
      </c>
      <c r="M831">
        <f>CORREL(C831:C1329,E831:E1329)</f>
        <v>7.3311354809506568E-2</v>
      </c>
      <c r="N831">
        <f>LEN(A831)</f>
        <v>38</v>
      </c>
      <c r="O831" t="str">
        <f>IF(ISNUMBER(SEARCH("$",A831)), "Money", IF(ISNUMBER(SEARCH("Win",A831)), "Challenge",IF(ISNUMBER(SEARCH("Challenge",A831)), "Challenge",IF(ISNUMBER(SEARCH("Last To Leave",A831)),"Challenge",IF(ISNUMBER(SEARCH("Giving Away", A831)),"Giveaway",IF(ISNUMBER(SEARCH("Stranded",A831)),"Survival", IF(ISNUMBER(SEARCH("Survive",A831)), "Survival", IF(ISNUMBER(SEARCH("Days",A831)),"Endurance","Other"))))))))</f>
        <v>Money</v>
      </c>
    </row>
    <row r="832" spans="1:15" x14ac:dyDescent="0.3">
      <c r="A832" t="s">
        <v>838</v>
      </c>
      <c r="B832" s="1">
        <v>45645</v>
      </c>
      <c r="C832" s="2">
        <v>202042205</v>
      </c>
      <c r="D832" s="3">
        <v>4660535</v>
      </c>
      <c r="E832" s="3">
        <v>51724</v>
      </c>
      <c r="F832">
        <f>YEAR(B832)</f>
        <v>2024</v>
      </c>
      <c r="G832" t="str">
        <f>TEXT(B832,"MMMM")</f>
        <v>December</v>
      </c>
      <c r="H832" t="str">
        <f>TEXT(B832, "DDDD")</f>
        <v>Thursday</v>
      </c>
      <c r="I832">
        <f>((D832+E832)/C832)*100</f>
        <v>2.3323141815839912</v>
      </c>
      <c r="J832">
        <f>(D832/C832)*1000</f>
        <v>23.067135898660382</v>
      </c>
      <c r="K832">
        <f>(E832/C832)*1000</f>
        <v>0.25600591717953186</v>
      </c>
      <c r="L832">
        <f>CORREL(C832:C1330, D832:D1330)</f>
        <v>0.65329993825994526</v>
      </c>
      <c r="M832">
        <f>CORREL(C832:C1330,E832:E1330)</f>
        <v>7.3079939331572016E-2</v>
      </c>
      <c r="N832">
        <f>LEN(A832)</f>
        <v>33</v>
      </c>
      <c r="O832" t="str">
        <f>IF(ISNUMBER(SEARCH("$",A832)), "Money", IF(ISNUMBER(SEARCH("Win",A832)), "Challenge",IF(ISNUMBER(SEARCH("Challenge",A832)), "Challenge",IF(ISNUMBER(SEARCH("Last To Leave",A832)),"Challenge",IF(ISNUMBER(SEARCH("Giving Away", A832)),"Giveaway",IF(ISNUMBER(SEARCH("Stranded",A832)),"Survival", IF(ISNUMBER(SEARCH("Survive",A832)), "Survival", IF(ISNUMBER(SEARCH("Days",A832)),"Endurance","Other"))))))))</f>
        <v>Money</v>
      </c>
    </row>
    <row r="833" spans="1:15" x14ac:dyDescent="0.3">
      <c r="A833" t="s">
        <v>839</v>
      </c>
      <c r="B833" s="1">
        <v>45304</v>
      </c>
      <c r="C833" s="2">
        <v>196948826</v>
      </c>
      <c r="D833" s="3">
        <v>4830286</v>
      </c>
      <c r="E833" s="3">
        <v>70584</v>
      </c>
      <c r="F833">
        <f>YEAR(B833)</f>
        <v>2024</v>
      </c>
      <c r="G833" t="str">
        <f>TEXT(B833,"MMMM")</f>
        <v>January</v>
      </c>
      <c r="H833" t="str">
        <f>TEXT(B833, "DDDD")</f>
        <v>Saturday</v>
      </c>
      <c r="I833">
        <f>((D833+E833)/C833)*100</f>
        <v>2.4883976713829208</v>
      </c>
      <c r="J833">
        <f>(D833/C833)*1000</f>
        <v>24.525589200516482</v>
      </c>
      <c r="K833">
        <f>(E833/C833)*1000</f>
        <v>0.35838751331272217</v>
      </c>
      <c r="L833">
        <f>CORREL(C833:C1331, D833:D1331)</f>
        <v>0.65359515270958812</v>
      </c>
      <c r="M833">
        <f>CORREL(C833:C1331,E833:E1331)</f>
        <v>7.3046040162191239E-2</v>
      </c>
      <c r="N833">
        <f>LEN(A833)</f>
        <v>25</v>
      </c>
      <c r="O833" t="str">
        <f>IF(ISNUMBER(SEARCH("$",A833)), "Money", IF(ISNUMBER(SEARCH("Win",A833)), "Challenge",IF(ISNUMBER(SEARCH("Challenge",A833)), "Challenge",IF(ISNUMBER(SEARCH("Last To Leave",A833)),"Challenge",IF(ISNUMBER(SEARCH("Giving Away", A833)),"Giveaway",IF(ISNUMBER(SEARCH("Stranded",A833)),"Survival", IF(ISNUMBER(SEARCH("Survive",A833)), "Survival", IF(ISNUMBER(SEARCH("Days",A833)),"Endurance","Other"))))))))</f>
        <v>Money</v>
      </c>
    </row>
    <row r="834" spans="1:15" x14ac:dyDescent="0.3">
      <c r="A834" t="s">
        <v>840</v>
      </c>
      <c r="B834" s="1">
        <v>45521</v>
      </c>
      <c r="C834" s="2">
        <v>185104411</v>
      </c>
      <c r="D834" s="3">
        <v>4692253</v>
      </c>
      <c r="E834" s="3">
        <v>94504</v>
      </c>
      <c r="F834">
        <f>YEAR(B834)</f>
        <v>2024</v>
      </c>
      <c r="G834" t="str">
        <f>TEXT(B834,"MMMM")</f>
        <v>August</v>
      </c>
      <c r="H834" t="str">
        <f>TEXT(B834, "DDDD")</f>
        <v>Saturday</v>
      </c>
      <c r="I834">
        <f>((D834+E834)/C834)*100</f>
        <v>2.5859767328829348</v>
      </c>
      <c r="J834">
        <f>(D834/C834)*1000</f>
        <v>25.349223039314822</v>
      </c>
      <c r="K834">
        <f>(E834/C834)*1000</f>
        <v>0.51054428951452702</v>
      </c>
      <c r="L834">
        <f>CORREL(C834:C1332, D834:D1332)</f>
        <v>0.65402463686228174</v>
      </c>
      <c r="M834">
        <f>CORREL(C834:C1332,E834:E1332)</f>
        <v>7.3217142853598011E-2</v>
      </c>
      <c r="N834">
        <f>LEN(A834)</f>
        <v>25</v>
      </c>
      <c r="O834" t="str">
        <f>IF(ISNUMBER(SEARCH("$",A834)), "Money", IF(ISNUMBER(SEARCH("Win",A834)), "Challenge",IF(ISNUMBER(SEARCH("Challenge",A834)), "Challenge",IF(ISNUMBER(SEARCH("Last To Leave",A834)),"Challenge",IF(ISNUMBER(SEARCH("Giving Away", A834)),"Giveaway",IF(ISNUMBER(SEARCH("Stranded",A834)),"Survival", IF(ISNUMBER(SEARCH("Survive",A834)), "Survival", IF(ISNUMBER(SEARCH("Days",A834)),"Endurance","Other"))))))))</f>
        <v>Survival</v>
      </c>
    </row>
    <row r="835" spans="1:15" x14ac:dyDescent="0.3">
      <c r="A835" t="s">
        <v>841</v>
      </c>
      <c r="B835" s="1">
        <v>45370</v>
      </c>
      <c r="C835" s="2">
        <v>184935258</v>
      </c>
      <c r="D835" s="3">
        <v>7981157</v>
      </c>
      <c r="E835" s="3">
        <v>95609</v>
      </c>
      <c r="F835">
        <f>YEAR(B835)</f>
        <v>2024</v>
      </c>
      <c r="G835" t="str">
        <f>TEXT(B835,"MMMM")</f>
        <v>March</v>
      </c>
      <c r="H835" t="str">
        <f>TEXT(B835, "DDDD")</f>
        <v>Tuesday</v>
      </c>
      <c r="I835">
        <f>((D835+E835)/C835)*100</f>
        <v>4.3673478423459953</v>
      </c>
      <c r="J835">
        <f>(D835/C835)*1000</f>
        <v>43.156492095195823</v>
      </c>
      <c r="K835">
        <f>(E835/C835)*1000</f>
        <v>0.51698632826413238</v>
      </c>
      <c r="L835">
        <f>CORREL(C835:C1333, D835:D1333)</f>
        <v>0.65447397268015128</v>
      </c>
      <c r="M835">
        <f>CORREL(C835:C1333,E835:E1333)</f>
        <v>7.3756304801349551E-2</v>
      </c>
      <c r="N835">
        <f>LEN(A835)</f>
        <v>30</v>
      </c>
      <c r="O835" t="str">
        <f>IF(ISNUMBER(SEARCH("$",A835)), "Money", IF(ISNUMBER(SEARCH("Win",A835)), "Challenge",IF(ISNUMBER(SEARCH("Challenge",A835)), "Challenge",IF(ISNUMBER(SEARCH("Last To Leave",A835)),"Challenge",IF(ISNUMBER(SEARCH("Giving Away", A835)),"Giveaway",IF(ISNUMBER(SEARCH("Stranded",A835)),"Survival", IF(ISNUMBER(SEARCH("Survive",A835)), "Survival", IF(ISNUMBER(SEARCH("Days",A835)),"Endurance","Other"))))))))</f>
        <v>Money</v>
      </c>
    </row>
    <row r="836" spans="1:15" x14ac:dyDescent="0.3">
      <c r="A836" t="s">
        <v>842</v>
      </c>
      <c r="B836" s="1">
        <v>45577</v>
      </c>
      <c r="C836" s="2">
        <v>182385748</v>
      </c>
      <c r="D836" s="3">
        <v>3789208</v>
      </c>
      <c r="E836" s="3">
        <v>35386</v>
      </c>
      <c r="F836">
        <f>YEAR(B836)</f>
        <v>2024</v>
      </c>
      <c r="G836" t="str">
        <f>TEXT(B836,"MMMM")</f>
        <v>October</v>
      </c>
      <c r="H836" t="str">
        <f>TEXT(B836, "DDDD")</f>
        <v>Saturday</v>
      </c>
      <c r="I836">
        <f>((D836+E836)/C836)*100</f>
        <v>2.096980735578089</v>
      </c>
      <c r="J836">
        <f>(D836/C836)*1000</f>
        <v>20.775790003065371</v>
      </c>
      <c r="K836">
        <f>(E836/C836)*1000</f>
        <v>0.19401735271552031</v>
      </c>
      <c r="L836">
        <f>CORREL(C836:C1334, D836:D1334)</f>
        <v>0.65858916176202409</v>
      </c>
      <c r="M836">
        <f>CORREL(C836:C1334,E836:E1334)</f>
        <v>7.4320023794908027E-2</v>
      </c>
      <c r="N836">
        <f>LEN(A836)</f>
        <v>36</v>
      </c>
      <c r="O836" t="str">
        <f>IF(ISNUMBER(SEARCH("$",A836)), "Money", IF(ISNUMBER(SEARCH("Win",A836)), "Challenge",IF(ISNUMBER(SEARCH("Challenge",A836)), "Challenge",IF(ISNUMBER(SEARCH("Last To Leave",A836)),"Challenge",IF(ISNUMBER(SEARCH("Giving Away", A836)),"Giveaway",IF(ISNUMBER(SEARCH("Stranded",A836)),"Survival", IF(ISNUMBER(SEARCH("Survive",A836)), "Survival", IF(ISNUMBER(SEARCH("Days",A836)),"Endurance","Other"))))))))</f>
        <v>Endurance</v>
      </c>
    </row>
    <row r="837" spans="1:15" x14ac:dyDescent="0.3">
      <c r="A837" t="s">
        <v>843</v>
      </c>
      <c r="B837" s="1">
        <v>45423</v>
      </c>
      <c r="C837" s="2">
        <v>178347251</v>
      </c>
      <c r="D837" s="3">
        <v>4280530</v>
      </c>
      <c r="E837" s="3">
        <v>80019</v>
      </c>
      <c r="F837">
        <f>YEAR(B837)</f>
        <v>2024</v>
      </c>
      <c r="G837" t="str">
        <f>TEXT(B837,"MMMM")</f>
        <v>May</v>
      </c>
      <c r="H837" t="str">
        <f>TEXT(B837, "DDDD")</f>
        <v>Saturday</v>
      </c>
      <c r="I837">
        <f>((D837+E837)/C837)*100</f>
        <v>2.4449768502459284</v>
      </c>
      <c r="J837">
        <f>(D837/C837)*1000</f>
        <v>24.001098845083966</v>
      </c>
      <c r="K837">
        <f>(E837/C837)*1000</f>
        <v>0.44866965737531889</v>
      </c>
      <c r="L837">
        <f>CORREL(C837:C1335, D837:D1335)</f>
        <v>0.65860927779394574</v>
      </c>
      <c r="M837">
        <f>CORREL(C837:C1335,E837:E1335)</f>
        <v>7.4066086320168159E-2</v>
      </c>
      <c r="N837">
        <f>LEN(A837)</f>
        <v>27</v>
      </c>
      <c r="O837" t="str">
        <f>IF(ISNUMBER(SEARCH("$",A837)), "Money", IF(ISNUMBER(SEARCH("Win",A837)), "Challenge",IF(ISNUMBER(SEARCH("Challenge",A837)), "Challenge",IF(ISNUMBER(SEARCH("Last To Leave",A837)),"Challenge",IF(ISNUMBER(SEARCH("Giving Away", A837)),"Giveaway",IF(ISNUMBER(SEARCH("Stranded",A837)),"Survival", IF(ISNUMBER(SEARCH("Survive",A837)), "Survival", IF(ISNUMBER(SEARCH("Days",A837)),"Endurance","Other"))))))))</f>
        <v>Other</v>
      </c>
    </row>
    <row r="838" spans="1:15" x14ac:dyDescent="0.3">
      <c r="A838" t="s">
        <v>844</v>
      </c>
      <c r="B838" s="1">
        <v>45409</v>
      </c>
      <c r="C838" s="2">
        <v>168988724</v>
      </c>
      <c r="D838" s="3">
        <v>4174832</v>
      </c>
      <c r="E838" s="3">
        <v>76733</v>
      </c>
      <c r="F838">
        <f>YEAR(B838)</f>
        <v>2024</v>
      </c>
      <c r="G838" t="str">
        <f>TEXT(B838,"MMMM")</f>
        <v>April</v>
      </c>
      <c r="H838" t="str">
        <f>TEXT(B838, "DDDD")</f>
        <v>Saturday</v>
      </c>
      <c r="I838">
        <f>((D838+E838)/C838)*100</f>
        <v>2.515886799642324</v>
      </c>
      <c r="J838">
        <f>(D838/C838)*1000</f>
        <v>24.704796279780183</v>
      </c>
      <c r="K838">
        <f>(E838/C838)*1000</f>
        <v>0.4540717166430584</v>
      </c>
      <c r="L838">
        <f>CORREL(C838:C1336, D838:D1336)</f>
        <v>0.65888783885402102</v>
      </c>
      <c r="M838">
        <f>CORREL(C838:C1336,E838:E1336)</f>
        <v>7.4451428635334341E-2</v>
      </c>
      <c r="N838">
        <f>LEN(A838)</f>
        <v>37</v>
      </c>
      <c r="O838" t="str">
        <f>IF(ISNUMBER(SEARCH("$",A838)), "Money", IF(ISNUMBER(SEARCH("Win",A838)), "Challenge",IF(ISNUMBER(SEARCH("Challenge",A838)), "Challenge",IF(ISNUMBER(SEARCH("Last To Leave",A838)),"Challenge",IF(ISNUMBER(SEARCH("Giving Away", A838)),"Giveaway",IF(ISNUMBER(SEARCH("Stranded",A838)),"Survival", IF(ISNUMBER(SEARCH("Survive",A838)), "Survival", IF(ISNUMBER(SEARCH("Days",A838)),"Endurance","Other"))))))))</f>
        <v>Other</v>
      </c>
    </row>
    <row r="839" spans="1:15" x14ac:dyDescent="0.3">
      <c r="A839" t="s">
        <v>845</v>
      </c>
      <c r="B839" s="1">
        <v>46012</v>
      </c>
      <c r="C839" s="2">
        <v>1221190093</v>
      </c>
      <c r="D839" s="3">
        <v>8501751</v>
      </c>
      <c r="E839" s="3">
        <v>193899</v>
      </c>
      <c r="F839">
        <f>YEAR(B839)</f>
        <v>2025</v>
      </c>
      <c r="G839" t="str">
        <f>TEXT(B839,"MMMM")</f>
        <v>December</v>
      </c>
      <c r="H839" t="str">
        <f>TEXT(B839, "DDDD")</f>
        <v>Sunday</v>
      </c>
      <c r="I839">
        <f>((D839+E839)/C839)*100</f>
        <v>0.71206358861281716</v>
      </c>
      <c r="J839">
        <f>(D839/C839)*1000</f>
        <v>6.9618571659997901</v>
      </c>
      <c r="K839">
        <f>(E839/C839)*1000</f>
        <v>0.15877872012838218</v>
      </c>
      <c r="L839">
        <f>CORREL(C839:C1337, D839:D1337)</f>
        <v>0.65916559756557835</v>
      </c>
      <c r="M839">
        <f>CORREL(C839:C1337,E839:E1337)</f>
        <v>7.4834177877236854E-2</v>
      </c>
      <c r="N839">
        <f>LEN(A839)</f>
        <v>49</v>
      </c>
      <c r="O839" t="str">
        <f>IF(ISNUMBER(SEARCH("$",A839)), "Money", IF(ISNUMBER(SEARCH("Win",A839)), "Challenge",IF(ISNUMBER(SEARCH("Challenge",A839)), "Challenge",IF(ISNUMBER(SEARCH("Last To Leave",A839)),"Challenge",IF(ISNUMBER(SEARCH("Giving Away", A839)),"Giveaway",IF(ISNUMBER(SEARCH("Stranded",A839)),"Survival", IF(ISNUMBER(SEARCH("Survive",A839)), "Survival", IF(ISNUMBER(SEARCH("Days",A839)),"Endurance","Other"))))))))</f>
        <v>Money</v>
      </c>
    </row>
    <row r="840" spans="1:15" x14ac:dyDescent="0.3">
      <c r="A840" t="s">
        <v>846</v>
      </c>
      <c r="B840" s="1">
        <v>45916</v>
      </c>
      <c r="C840" s="2">
        <v>1211809470</v>
      </c>
      <c r="D840" s="3">
        <v>11579479</v>
      </c>
      <c r="E840" s="3">
        <v>33965</v>
      </c>
      <c r="F840">
        <f>YEAR(B840)</f>
        <v>2025</v>
      </c>
      <c r="G840" t="str">
        <f>TEXT(B840,"MMMM")</f>
        <v>September</v>
      </c>
      <c r="H840" t="str">
        <f>TEXT(B840, "DDDD")</f>
        <v>Tuesday</v>
      </c>
      <c r="I840">
        <f>((D840+E840)/C840)*100</f>
        <v>0.9583556068430461</v>
      </c>
      <c r="J840">
        <f>(D840/C840)*1000</f>
        <v>9.5555277349004388</v>
      </c>
      <c r="K840">
        <f>(E840/C840)*1000</f>
        <v>2.8028333530022667E-2</v>
      </c>
      <c r="L840">
        <f>CORREL(C840:C1338, D840:D1338)</f>
        <v>0.66639389937904558</v>
      </c>
      <c r="M840">
        <f>CORREL(C840:C1338,E840:E1338)</f>
        <v>5.330626131126899E-2</v>
      </c>
      <c r="N840">
        <f>LEN(A840)</f>
        <v>28</v>
      </c>
      <c r="O840" t="str">
        <f>IF(ISNUMBER(SEARCH("$",A840)), "Money", IF(ISNUMBER(SEARCH("Win",A840)), "Challenge",IF(ISNUMBER(SEARCH("Challenge",A840)), "Challenge",IF(ISNUMBER(SEARCH("Last To Leave",A840)),"Challenge",IF(ISNUMBER(SEARCH("Giving Away", A840)),"Giveaway",IF(ISNUMBER(SEARCH("Stranded",A840)),"Survival", IF(ISNUMBER(SEARCH("Survive",A840)), "Survival", IF(ISNUMBER(SEARCH("Days",A840)),"Endurance","Other"))))))))</f>
        <v>Money</v>
      </c>
    </row>
    <row r="841" spans="1:15" x14ac:dyDescent="0.3">
      <c r="A841" t="s">
        <v>847</v>
      </c>
      <c r="B841" s="1">
        <v>45793</v>
      </c>
      <c r="C841" s="2">
        <v>902456203</v>
      </c>
      <c r="D841" s="3">
        <v>9544909</v>
      </c>
      <c r="E841" s="3">
        <v>32555</v>
      </c>
      <c r="F841">
        <f>YEAR(B841)</f>
        <v>2025</v>
      </c>
      <c r="G841" t="str">
        <f>TEXT(B841,"MMMM")</f>
        <v>May</v>
      </c>
      <c r="H841" t="str">
        <f>TEXT(B841, "DDDD")</f>
        <v>Friday</v>
      </c>
      <c r="I841">
        <f>((D841+E841)/C841)*100</f>
        <v>1.061266349343271</v>
      </c>
      <c r="J841">
        <f>(D841/C841)*1000</f>
        <v>10.576589720664815</v>
      </c>
      <c r="K841">
        <f>(E841/C841)*1000</f>
        <v>3.6073772767895751E-2</v>
      </c>
      <c r="L841">
        <f>CORREL(C841:C1339, D841:D1339)</f>
        <v>0.6588303896571257</v>
      </c>
      <c r="M841">
        <f>CORREL(C841:C1339,E841:E1339)</f>
        <v>6.0414581406750816E-2</v>
      </c>
      <c r="N841">
        <f>LEN(A841)</f>
        <v>25</v>
      </c>
      <c r="O841" t="str">
        <f>IF(ISNUMBER(SEARCH("$",A841)), "Money", IF(ISNUMBER(SEARCH("Win",A841)), "Challenge",IF(ISNUMBER(SEARCH("Challenge",A841)), "Challenge",IF(ISNUMBER(SEARCH("Last To Leave",A841)),"Challenge",IF(ISNUMBER(SEARCH("Giving Away", A841)),"Giveaway",IF(ISNUMBER(SEARCH("Stranded",A841)),"Survival", IF(ISNUMBER(SEARCH("Survive",A841)), "Survival", IF(ISNUMBER(SEARCH("Days",A841)),"Endurance","Other"))))))))</f>
        <v>Other</v>
      </c>
    </row>
    <row r="842" spans="1:15" x14ac:dyDescent="0.3">
      <c r="A842" t="s">
        <v>848</v>
      </c>
      <c r="B842" s="1">
        <v>45808</v>
      </c>
      <c r="C842" s="2">
        <v>899833123</v>
      </c>
      <c r="D842" s="3">
        <v>8560441</v>
      </c>
      <c r="E842" s="3">
        <v>22040</v>
      </c>
      <c r="F842">
        <f>YEAR(B842)</f>
        <v>2025</v>
      </c>
      <c r="G842" t="str">
        <f>TEXT(B842,"MMMM")</f>
        <v>May</v>
      </c>
      <c r="H842" t="str">
        <f>TEXT(B842, "DDDD")</f>
        <v>Saturday</v>
      </c>
      <c r="I842">
        <f>((D842+E842)/C842)*100</f>
        <v>0.95378584991252879</v>
      </c>
      <c r="J842">
        <f>(D842/C842)*1000</f>
        <v>9.5133650686917424</v>
      </c>
      <c r="K842">
        <f>(E842/C842)*1000</f>
        <v>2.4493430433544953E-2</v>
      </c>
      <c r="L842">
        <f>CORREL(C842:C1340, D842:D1340)</f>
        <v>0.65407936721741544</v>
      </c>
      <c r="M842">
        <f>CORREL(C842:C1340,E842:E1340)</f>
        <v>6.5221304667783087E-2</v>
      </c>
      <c r="N842">
        <f>LEN(A842)</f>
        <v>35</v>
      </c>
      <c r="O842" t="str">
        <f>IF(ISNUMBER(SEARCH("$",A842)), "Money", IF(ISNUMBER(SEARCH("Win",A842)), "Challenge",IF(ISNUMBER(SEARCH("Challenge",A842)), "Challenge",IF(ISNUMBER(SEARCH("Last To Leave",A842)),"Challenge",IF(ISNUMBER(SEARCH("Giving Away", A842)),"Giveaway",IF(ISNUMBER(SEARCH("Stranded",A842)),"Survival", IF(ISNUMBER(SEARCH("Survive",A842)), "Survival", IF(ISNUMBER(SEARCH("Days",A842)),"Endurance","Other"))))))))</f>
        <v>Other</v>
      </c>
    </row>
    <row r="843" spans="1:15" x14ac:dyDescent="0.3">
      <c r="A843" t="s">
        <v>849</v>
      </c>
      <c r="B843" s="1">
        <v>45707</v>
      </c>
      <c r="C843" s="2">
        <v>810548135</v>
      </c>
      <c r="D843" s="3">
        <v>18186040</v>
      </c>
      <c r="E843" s="3">
        <v>16704</v>
      </c>
      <c r="F843">
        <f>YEAR(B843)</f>
        <v>2025</v>
      </c>
      <c r="G843" t="str">
        <f>TEXT(B843,"MMMM")</f>
        <v>February</v>
      </c>
      <c r="H843" t="str">
        <f>TEXT(B843, "DDDD")</f>
        <v>Wednesday</v>
      </c>
      <c r="I843">
        <f>((D843+E843)/C843)*100</f>
        <v>2.245732636224004</v>
      </c>
      <c r="J843">
        <f>(D843/C843)*1000</f>
        <v>22.436718085841996</v>
      </c>
      <c r="K843">
        <f>(E843/C843)*1000</f>
        <v>2.0608276398045133E-2</v>
      </c>
      <c r="L843">
        <f>CORREL(C843:C1341, D843:D1341)</f>
        <v>0.65303812827077234</v>
      </c>
      <c r="M843">
        <f>CORREL(C843:C1341,E843:E1341)</f>
        <v>7.192210752396834E-2</v>
      </c>
      <c r="N843">
        <f>LEN(A843)</f>
        <v>31</v>
      </c>
      <c r="O843" t="str">
        <f>IF(ISNUMBER(SEARCH("$",A843)), "Money", IF(ISNUMBER(SEARCH("Win",A843)), "Challenge",IF(ISNUMBER(SEARCH("Challenge",A843)), "Challenge",IF(ISNUMBER(SEARCH("Last To Leave",A843)),"Challenge",IF(ISNUMBER(SEARCH("Giving Away", A843)),"Giveaway",IF(ISNUMBER(SEARCH("Stranded",A843)),"Survival", IF(ISNUMBER(SEARCH("Survive",A843)), "Survival", IF(ISNUMBER(SEARCH("Days",A843)),"Endurance","Other"))))))))</f>
        <v>Money</v>
      </c>
    </row>
    <row r="844" spans="1:15" x14ac:dyDescent="0.3">
      <c r="A844" t="s">
        <v>850</v>
      </c>
      <c r="B844" s="1">
        <v>45923</v>
      </c>
      <c r="C844" s="2">
        <v>800425043</v>
      </c>
      <c r="D844" s="3">
        <v>12496914</v>
      </c>
      <c r="E844" s="3">
        <v>65182</v>
      </c>
      <c r="F844">
        <f>YEAR(B844)</f>
        <v>2025</v>
      </c>
      <c r="G844" t="str">
        <f>TEXT(B844,"MMMM")</f>
        <v>September</v>
      </c>
      <c r="H844" t="str">
        <f>TEXT(B844, "DDDD")</f>
        <v>Tuesday</v>
      </c>
      <c r="I844">
        <f>((D844+E844)/C844)*100</f>
        <v>1.5694281569348649</v>
      </c>
      <c r="J844">
        <f>(D844/C844)*1000</f>
        <v>15.612847335662385</v>
      </c>
      <c r="K844">
        <f>(E844/C844)*1000</f>
        <v>8.143423368626411E-2</v>
      </c>
      <c r="L844">
        <f>CORREL(C844:C1342, D844:D1342)</f>
        <v>0.63105271834309051</v>
      </c>
      <c r="M844">
        <f>CORREL(C844:C1342,E844:E1342)</f>
        <v>7.8594615122277528E-2</v>
      </c>
      <c r="N844">
        <f>LEN(A844)</f>
        <v>33</v>
      </c>
      <c r="O844" t="str">
        <f>IF(ISNUMBER(SEARCH("$",A844)), "Money", IF(ISNUMBER(SEARCH("Win",A844)), "Challenge",IF(ISNUMBER(SEARCH("Challenge",A844)), "Challenge",IF(ISNUMBER(SEARCH("Last To Leave",A844)),"Challenge",IF(ISNUMBER(SEARCH("Giving Away", A844)),"Giveaway",IF(ISNUMBER(SEARCH("Stranded",A844)),"Survival", IF(ISNUMBER(SEARCH("Survive",A844)), "Survival", IF(ISNUMBER(SEARCH("Days",A844)),"Endurance","Other"))))))))</f>
        <v>Other</v>
      </c>
    </row>
    <row r="845" spans="1:15" x14ac:dyDescent="0.3">
      <c r="A845" t="s">
        <v>851</v>
      </c>
      <c r="B845" s="1">
        <v>45716</v>
      </c>
      <c r="C845" s="2">
        <v>680873257</v>
      </c>
      <c r="D845" s="3">
        <v>12649855</v>
      </c>
      <c r="E845" s="3">
        <v>14101</v>
      </c>
      <c r="F845">
        <f>YEAR(B845)</f>
        <v>2025</v>
      </c>
      <c r="G845" t="str">
        <f>TEXT(B845,"MMMM")</f>
        <v>February</v>
      </c>
      <c r="H845" t="str">
        <f>TEXT(B845, "DDDD")</f>
        <v>Friday</v>
      </c>
      <c r="I845">
        <f>((D845+E845)/C845)*100</f>
        <v>1.8599579099051029</v>
      </c>
      <c r="J845">
        <f>(D845/C845)*1000</f>
        <v>18.578868930374217</v>
      </c>
      <c r="K845">
        <f>(E845/C845)*1000</f>
        <v>2.0710168676811462E-2</v>
      </c>
      <c r="L845">
        <f>CORREL(C845:C1343, D845:D1343)</f>
        <v>0.61467478104094853</v>
      </c>
      <c r="M845">
        <f>CORREL(C845:C1343,E845:E1343)</f>
        <v>7.9328080520843836E-2</v>
      </c>
      <c r="N845">
        <f>LEN(A845)</f>
        <v>33</v>
      </c>
      <c r="O845" t="str">
        <f>IF(ISNUMBER(SEARCH("$",A845)), "Money", IF(ISNUMBER(SEARCH("Win",A845)), "Challenge",IF(ISNUMBER(SEARCH("Challenge",A845)), "Challenge",IF(ISNUMBER(SEARCH("Last To Leave",A845)),"Challenge",IF(ISNUMBER(SEARCH("Giving Away", A845)),"Giveaway",IF(ISNUMBER(SEARCH("Stranded",A845)),"Survival", IF(ISNUMBER(SEARCH("Survive",A845)), "Survival", IF(ISNUMBER(SEARCH("Days",A845)),"Endurance","Other"))))))))</f>
        <v>Money</v>
      </c>
    </row>
    <row r="846" spans="1:15" x14ac:dyDescent="0.3">
      <c r="A846" t="s">
        <v>852</v>
      </c>
      <c r="B846" s="1">
        <v>45898</v>
      </c>
      <c r="C846" s="2">
        <v>659158821</v>
      </c>
      <c r="D846" s="3">
        <v>23734250</v>
      </c>
      <c r="E846" s="3">
        <v>33539</v>
      </c>
      <c r="F846">
        <f>YEAR(B846)</f>
        <v>2025</v>
      </c>
      <c r="G846" t="str">
        <f>TEXT(B846,"MMMM")</f>
        <v>August</v>
      </c>
      <c r="H846" t="str">
        <f>TEXT(B846, "DDDD")</f>
        <v>Friday</v>
      </c>
      <c r="I846">
        <f>((D846+E846)/C846)*100</f>
        <v>3.6057757618933541</v>
      </c>
      <c r="J846">
        <f>(D846/C846)*1000</f>
        <v>36.006876103081076</v>
      </c>
      <c r="K846">
        <f>(E846/C846)*1000</f>
        <v>5.088151585245948E-2</v>
      </c>
      <c r="L846">
        <f>CORREL(C846:C1344, D846:D1344)</f>
        <v>0.60016322665007993</v>
      </c>
      <c r="M846">
        <f>CORREL(C846:C1344,E846:E1344)</f>
        <v>8.4973641417298837E-2</v>
      </c>
      <c r="N846">
        <f>LEN(A846)</f>
        <v>30</v>
      </c>
      <c r="O846" t="str">
        <f>IF(ISNUMBER(SEARCH("$",A846)), "Money", IF(ISNUMBER(SEARCH("Win",A846)), "Challenge",IF(ISNUMBER(SEARCH("Challenge",A846)), "Challenge",IF(ISNUMBER(SEARCH("Last To Leave",A846)),"Challenge",IF(ISNUMBER(SEARCH("Giving Away", A846)),"Giveaway",IF(ISNUMBER(SEARCH("Stranded",A846)),"Survival", IF(ISNUMBER(SEARCH("Survive",A846)), "Survival", IF(ISNUMBER(SEARCH("Days",A846)),"Endurance","Other"))))))))</f>
        <v>Other</v>
      </c>
    </row>
    <row r="847" spans="1:15" x14ac:dyDescent="0.3">
      <c r="A847" t="s">
        <v>853</v>
      </c>
      <c r="B847" s="1">
        <v>45678</v>
      </c>
      <c r="C847" s="2">
        <v>648512206</v>
      </c>
      <c r="D847" s="3">
        <v>13848986</v>
      </c>
      <c r="E847" s="3">
        <v>18353</v>
      </c>
      <c r="F847">
        <f>YEAR(B847)</f>
        <v>2025</v>
      </c>
      <c r="G847" t="str">
        <f>TEXT(B847,"MMMM")</f>
        <v>January</v>
      </c>
      <c r="H847" t="str">
        <f>TEXT(B847, "DDDD")</f>
        <v>Tuesday</v>
      </c>
      <c r="I847">
        <f>((D847+E847)/C847)*100</f>
        <v>2.1383312251797464</v>
      </c>
      <c r="J847">
        <f>(D847/C847)*1000</f>
        <v>21.355012090551153</v>
      </c>
      <c r="K847">
        <f>(E847/C847)*1000</f>
        <v>2.8300161246309682E-2</v>
      </c>
      <c r="L847">
        <f>CORREL(C847:C1345, D847:D1345)</f>
        <v>0.59600147946820226</v>
      </c>
      <c r="M847">
        <f>CORREL(C847:C1345,E847:E1345)</f>
        <v>8.8568960260548599E-2</v>
      </c>
      <c r="N847">
        <f>LEN(A847)</f>
        <v>32</v>
      </c>
      <c r="O847" t="str">
        <f>IF(ISNUMBER(SEARCH("$",A847)), "Money", IF(ISNUMBER(SEARCH("Win",A847)), "Challenge",IF(ISNUMBER(SEARCH("Challenge",A847)), "Challenge",IF(ISNUMBER(SEARCH("Last To Leave",A847)),"Challenge",IF(ISNUMBER(SEARCH("Giving Away", A847)),"Giveaway",IF(ISNUMBER(SEARCH("Stranded",A847)),"Survival", IF(ISNUMBER(SEARCH("Survive",A847)), "Survival", IF(ISNUMBER(SEARCH("Days",A847)),"Endurance","Other"))))))))</f>
        <v>Money</v>
      </c>
    </row>
    <row r="848" spans="1:15" x14ac:dyDescent="0.3">
      <c r="A848" t="s">
        <v>854</v>
      </c>
      <c r="B848" s="1">
        <v>45769</v>
      </c>
      <c r="C848" s="2">
        <v>634149354</v>
      </c>
      <c r="D848" s="3">
        <v>7004817</v>
      </c>
      <c r="E848" s="3">
        <v>6212</v>
      </c>
      <c r="F848">
        <f>YEAR(B848)</f>
        <v>2025</v>
      </c>
      <c r="G848" t="str">
        <f>TEXT(B848,"MMMM")</f>
        <v>April</v>
      </c>
      <c r="H848" t="str">
        <f>TEXT(B848, "DDDD")</f>
        <v>Tuesday</v>
      </c>
      <c r="I848">
        <f>((D848+E848)/C848)*100</f>
        <v>1.1055800902069515</v>
      </c>
      <c r="J848">
        <f>(D848/C848)*1000</f>
        <v>11.046005102450991</v>
      </c>
      <c r="K848">
        <f>(E848/C848)*1000</f>
        <v>9.7957996185233046E-3</v>
      </c>
      <c r="L848">
        <f>CORREL(C848:C1346, D848:D1346)</f>
        <v>0.57872715133879105</v>
      </c>
      <c r="M848">
        <f>CORREL(C848:C1346,E848:E1346)</f>
        <v>9.3780628001803951E-2</v>
      </c>
      <c r="N848">
        <f>LEN(A848)</f>
        <v>26</v>
      </c>
      <c r="O848" t="str">
        <f>IF(ISNUMBER(SEARCH("$",A848)), "Money", IF(ISNUMBER(SEARCH("Win",A848)), "Challenge",IF(ISNUMBER(SEARCH("Challenge",A848)), "Challenge",IF(ISNUMBER(SEARCH("Last To Leave",A848)),"Challenge",IF(ISNUMBER(SEARCH("Giving Away", A848)),"Giveaway",IF(ISNUMBER(SEARCH("Stranded",A848)),"Survival", IF(ISNUMBER(SEARCH("Survive",A848)), "Survival", IF(ISNUMBER(SEARCH("Days",A848)),"Endurance","Other"))))))))</f>
        <v>Money</v>
      </c>
    </row>
    <row r="849" spans="1:15" x14ac:dyDescent="0.3">
      <c r="A849" t="s">
        <v>855</v>
      </c>
      <c r="B849" s="1">
        <v>45739</v>
      </c>
      <c r="C849" s="2">
        <v>631272285</v>
      </c>
      <c r="D849" s="3">
        <v>13249291</v>
      </c>
      <c r="E849" s="3">
        <v>13051</v>
      </c>
      <c r="F849">
        <f>YEAR(B849)</f>
        <v>2025</v>
      </c>
      <c r="G849" t="str">
        <f>TEXT(B849,"MMMM")</f>
        <v>March</v>
      </c>
      <c r="H849" t="str">
        <f>TEXT(B849, "DDDD")</f>
        <v>Sunday</v>
      </c>
      <c r="I849">
        <f>((D849+E849)/C849)*100</f>
        <v>2.1008909016178334</v>
      </c>
      <c r="J849">
        <f>(D849/C849)*1000</f>
        <v>20.988234894551088</v>
      </c>
      <c r="K849">
        <f>(E849/C849)*1000</f>
        <v>2.0674121627246789E-2</v>
      </c>
      <c r="L849">
        <f>CORREL(C849:C1347, D849:D1347)</f>
        <v>0.57346069948392475</v>
      </c>
      <c r="M849">
        <f>CORREL(C849:C1347,E849:E1347)</f>
        <v>0.10025916614210258</v>
      </c>
      <c r="N849">
        <f>LEN(A849)</f>
        <v>26</v>
      </c>
      <c r="O849" t="str">
        <f>IF(ISNUMBER(SEARCH("$",A849)), "Money", IF(ISNUMBER(SEARCH("Win",A849)), "Challenge",IF(ISNUMBER(SEARCH("Challenge",A849)), "Challenge",IF(ISNUMBER(SEARCH("Last To Leave",A849)),"Challenge",IF(ISNUMBER(SEARCH("Giving Away", A849)),"Giveaway",IF(ISNUMBER(SEARCH("Stranded",A849)),"Survival", IF(ISNUMBER(SEARCH("Survive",A849)), "Survival", IF(ISNUMBER(SEARCH("Days",A849)),"Endurance","Other"))))))))</f>
        <v>Money</v>
      </c>
    </row>
    <row r="850" spans="1:15" x14ac:dyDescent="0.3">
      <c r="A850" t="s">
        <v>856</v>
      </c>
      <c r="B850" s="1">
        <v>45901</v>
      </c>
      <c r="C850" s="2">
        <v>612079232</v>
      </c>
      <c r="D850" s="3">
        <v>9690800</v>
      </c>
      <c r="E850" s="3">
        <v>12851</v>
      </c>
      <c r="F850">
        <f>YEAR(B850)</f>
        <v>2025</v>
      </c>
      <c r="G850" t="str">
        <f>TEXT(B850,"MMMM")</f>
        <v>September</v>
      </c>
      <c r="H850" t="str">
        <f>TEXT(B850, "DDDD")</f>
        <v>Monday</v>
      </c>
      <c r="I850">
        <f>((D850+E850)/C850)*100</f>
        <v>1.5853586419347749</v>
      </c>
      <c r="J850">
        <f>(D850/C850)*1000</f>
        <v>15.832590771516328</v>
      </c>
      <c r="K850">
        <f>(E850/C850)*1000</f>
        <v>2.0995647831423235E-2</v>
      </c>
      <c r="L850">
        <f>CORREL(C850:C1348, D850:D1348)</f>
        <v>0.55483213055753311</v>
      </c>
      <c r="M850">
        <f>CORREL(C850:C1348,E850:E1348)</f>
        <v>0.10630102654456039</v>
      </c>
      <c r="N850">
        <f>LEN(A850)</f>
        <v>18</v>
      </c>
      <c r="O850" t="str">
        <f>IF(ISNUMBER(SEARCH("$",A850)), "Money", IF(ISNUMBER(SEARCH("Win",A850)), "Challenge",IF(ISNUMBER(SEARCH("Challenge",A850)), "Challenge",IF(ISNUMBER(SEARCH("Last To Leave",A850)),"Challenge",IF(ISNUMBER(SEARCH("Giving Away", A850)),"Giveaway",IF(ISNUMBER(SEARCH("Stranded",A850)),"Survival", IF(ISNUMBER(SEARCH("Survive",A850)), "Survival", IF(ISNUMBER(SEARCH("Days",A850)),"Endurance","Other"))))))))</f>
        <v>Other</v>
      </c>
    </row>
    <row r="851" spans="1:15" x14ac:dyDescent="0.3">
      <c r="A851" t="s">
        <v>857</v>
      </c>
      <c r="B851" s="1">
        <v>45702</v>
      </c>
      <c r="C851" s="2">
        <v>599313395</v>
      </c>
      <c r="D851" s="3">
        <v>8507821</v>
      </c>
      <c r="E851" s="3">
        <v>11705</v>
      </c>
      <c r="F851">
        <f>YEAR(B851)</f>
        <v>2025</v>
      </c>
      <c r="G851" t="str">
        <f>TEXT(B851,"MMMM")</f>
        <v>February</v>
      </c>
      <c r="H851" t="str">
        <f>TEXT(B851, "DDDD")</f>
        <v>Friday</v>
      </c>
      <c r="I851">
        <f>((D851+E851)/C851)*100</f>
        <v>1.4215477363058104</v>
      </c>
      <c r="J851">
        <f>(D851/C851)*1000</f>
        <v>14.195946679950312</v>
      </c>
      <c r="K851">
        <f>(E851/C851)*1000</f>
        <v>1.9530683107792043E-2</v>
      </c>
      <c r="L851">
        <f>CORREL(C851:C1349, D851:D1349)</f>
        <v>0.54059304383870277</v>
      </c>
      <c r="M851">
        <f>CORREL(C851:C1349,E851:E1349)</f>
        <v>0.11230311564566967</v>
      </c>
      <c r="N851">
        <f>LEN(A851)</f>
        <v>28</v>
      </c>
      <c r="O851" t="str">
        <f>IF(ISNUMBER(SEARCH("$",A851)), "Money", IF(ISNUMBER(SEARCH("Win",A851)), "Challenge",IF(ISNUMBER(SEARCH("Challenge",A851)), "Challenge",IF(ISNUMBER(SEARCH("Last To Leave",A851)),"Challenge",IF(ISNUMBER(SEARCH("Giving Away", A851)),"Giveaway",IF(ISNUMBER(SEARCH("Stranded",A851)),"Survival", IF(ISNUMBER(SEARCH("Survive",A851)), "Survival", IF(ISNUMBER(SEARCH("Days",A851)),"Endurance","Other"))))))))</f>
        <v>Money</v>
      </c>
    </row>
    <row r="852" spans="1:15" x14ac:dyDescent="0.3">
      <c r="A852" t="s">
        <v>858</v>
      </c>
      <c r="B852" s="1">
        <v>45763</v>
      </c>
      <c r="C852" s="2">
        <v>569381470</v>
      </c>
      <c r="D852" s="3">
        <v>7116073</v>
      </c>
      <c r="E852" s="3">
        <v>12000</v>
      </c>
      <c r="F852">
        <f>YEAR(B852)</f>
        <v>2025</v>
      </c>
      <c r="G852" t="str">
        <f>TEXT(B852,"MMMM")</f>
        <v>April</v>
      </c>
      <c r="H852" t="str">
        <f>TEXT(B852, "DDDD")</f>
        <v>Wednesday</v>
      </c>
      <c r="I852">
        <f>((D852+E852)/C852)*100</f>
        <v>1.2518976074159911</v>
      </c>
      <c r="J852">
        <f>(D852/C852)*1000</f>
        <v>12.497900572703919</v>
      </c>
      <c r="K852">
        <f>(E852/C852)*1000</f>
        <v>2.1075501455992237E-2</v>
      </c>
      <c r="L852">
        <f>CORREL(C852:C1350, D852:D1350)</f>
        <v>0.52868812374094176</v>
      </c>
      <c r="M852">
        <f>CORREL(C852:C1350,E852:E1350)</f>
        <v>0.11846540683404994</v>
      </c>
      <c r="N852">
        <f>LEN(A852)</f>
        <v>27</v>
      </c>
      <c r="O852" t="str">
        <f>IF(ISNUMBER(SEARCH("$",A852)), "Money", IF(ISNUMBER(SEARCH("Win",A852)), "Challenge",IF(ISNUMBER(SEARCH("Challenge",A852)), "Challenge",IF(ISNUMBER(SEARCH("Last To Leave",A852)),"Challenge",IF(ISNUMBER(SEARCH("Giving Away", A852)),"Giveaway",IF(ISNUMBER(SEARCH("Stranded",A852)),"Survival", IF(ISNUMBER(SEARCH("Survive",A852)), "Survival", IF(ISNUMBER(SEARCH("Days",A852)),"Endurance","Other"))))))))</f>
        <v>Money</v>
      </c>
    </row>
    <row r="853" spans="1:15" x14ac:dyDescent="0.3">
      <c r="A853" t="s">
        <v>859</v>
      </c>
      <c r="B853" s="1">
        <v>45869</v>
      </c>
      <c r="C853" s="2">
        <v>529630320</v>
      </c>
      <c r="D853" s="3">
        <v>8545980</v>
      </c>
      <c r="E853" s="3">
        <v>13955</v>
      </c>
      <c r="F853">
        <f>YEAR(B853)</f>
        <v>2025</v>
      </c>
      <c r="G853" t="str">
        <f>TEXT(B853,"MMMM")</f>
        <v>July</v>
      </c>
      <c r="H853" t="str">
        <f>TEXT(B853, "DDDD")</f>
        <v>Thursday</v>
      </c>
      <c r="I853">
        <f>((D853+E853)/C853)*100</f>
        <v>1.6162093967732061</v>
      </c>
      <c r="J853">
        <f>(D853/C853)*1000</f>
        <v>16.135745400678722</v>
      </c>
      <c r="K853">
        <f>(E853/C853)*1000</f>
        <v>2.6348567053336373E-2</v>
      </c>
      <c r="L853">
        <f>CORREL(C853:C1351, D853:D1351)</f>
        <v>0.52080834359697303</v>
      </c>
      <c r="M853">
        <f>CORREL(C853:C1351,E853:E1351)</f>
        <v>0.1242732031504694</v>
      </c>
      <c r="N853">
        <f>LEN(A853)</f>
        <v>29</v>
      </c>
      <c r="O853" t="str">
        <f>IF(ISNUMBER(SEARCH("$",A853)), "Money", IF(ISNUMBER(SEARCH("Win",A853)), "Challenge",IF(ISNUMBER(SEARCH("Challenge",A853)), "Challenge",IF(ISNUMBER(SEARCH("Last To Leave",A853)),"Challenge",IF(ISNUMBER(SEARCH("Giving Away", A853)),"Giveaway",IF(ISNUMBER(SEARCH("Stranded",A853)),"Survival", IF(ISNUMBER(SEARCH("Survive",A853)), "Survival", IF(ISNUMBER(SEARCH("Days",A853)),"Endurance","Other"))))))))</f>
        <v>Money</v>
      </c>
    </row>
    <row r="854" spans="1:15" x14ac:dyDescent="0.3">
      <c r="A854" t="s">
        <v>860</v>
      </c>
      <c r="B854" s="1">
        <v>45833</v>
      </c>
      <c r="C854" s="2">
        <v>526764521</v>
      </c>
      <c r="D854" s="3">
        <v>4257056</v>
      </c>
      <c r="E854" s="3">
        <v>8710</v>
      </c>
      <c r="F854">
        <f>YEAR(B854)</f>
        <v>2025</v>
      </c>
      <c r="G854" t="str">
        <f>TEXT(B854,"MMMM")</f>
        <v>June</v>
      </c>
      <c r="H854" t="str">
        <f>TEXT(B854, "DDDD")</f>
        <v>Wednesday</v>
      </c>
      <c r="I854">
        <f>((D854+E854)/C854)*100</f>
        <v>0.80980510834365771</v>
      </c>
      <c r="J854">
        <f>(D854/C854)*1000</f>
        <v>8.0815161809274532</v>
      </c>
      <c r="K854">
        <f>(E854/C854)*1000</f>
        <v>1.6534902509123237E-2</v>
      </c>
      <c r="L854">
        <f>CORREL(C854:C1352, D854:D1352)</f>
        <v>0.5096984937302248</v>
      </c>
      <c r="M854">
        <f>CORREL(C854:C1352,E854:E1352)</f>
        <v>0.12933980033815604</v>
      </c>
      <c r="N854">
        <f>LEN(A854)</f>
        <v>23</v>
      </c>
      <c r="O854" t="str">
        <f>IF(ISNUMBER(SEARCH("$",A854)), "Money", IF(ISNUMBER(SEARCH("Win",A854)), "Challenge",IF(ISNUMBER(SEARCH("Challenge",A854)), "Challenge",IF(ISNUMBER(SEARCH("Last To Leave",A854)),"Challenge",IF(ISNUMBER(SEARCH("Giving Away", A854)),"Giveaway",IF(ISNUMBER(SEARCH("Stranded",A854)),"Survival", IF(ISNUMBER(SEARCH("Survive",A854)), "Survival", IF(ISNUMBER(SEARCH("Days",A854)),"Endurance","Other"))))))))</f>
        <v>Other</v>
      </c>
    </row>
    <row r="855" spans="1:15" x14ac:dyDescent="0.3">
      <c r="A855" t="s">
        <v>861</v>
      </c>
      <c r="B855" s="1">
        <v>45818</v>
      </c>
      <c r="C855" s="2">
        <v>522328986</v>
      </c>
      <c r="D855" s="3">
        <v>8234604</v>
      </c>
      <c r="E855" s="3">
        <v>26094</v>
      </c>
      <c r="F855">
        <f>YEAR(B855)</f>
        <v>2025</v>
      </c>
      <c r="G855" t="str">
        <f>TEXT(B855,"MMMM")</f>
        <v>June</v>
      </c>
      <c r="H855" t="str">
        <f>TEXT(B855, "DDDD")</f>
        <v>Tuesday</v>
      </c>
      <c r="I855">
        <f>((D855+E855)/C855)*100</f>
        <v>1.581512460807603</v>
      </c>
      <c r="J855">
        <f>(D855/C855)*1000</f>
        <v>15.765167587310575</v>
      </c>
      <c r="K855">
        <f>(E855/C855)*1000</f>
        <v>4.9957020765452977E-2</v>
      </c>
      <c r="L855">
        <f>CORREL(C855:C1353, D855:D1353)</f>
        <v>0.51140916287681182</v>
      </c>
      <c r="M855">
        <f>CORREL(C855:C1353,E855:E1353)</f>
        <v>0.13501098027815092</v>
      </c>
      <c r="N855">
        <f>LEN(A855)</f>
        <v>53</v>
      </c>
      <c r="O855" t="str">
        <f>IF(ISNUMBER(SEARCH("$",A855)), "Money", IF(ISNUMBER(SEARCH("Win",A855)), "Challenge",IF(ISNUMBER(SEARCH("Challenge",A855)), "Challenge",IF(ISNUMBER(SEARCH("Last To Leave",A855)),"Challenge",IF(ISNUMBER(SEARCH("Giving Away", A855)),"Giveaway",IF(ISNUMBER(SEARCH("Stranded",A855)),"Survival", IF(ISNUMBER(SEARCH("Survive",A855)), "Survival", IF(ISNUMBER(SEARCH("Days",A855)),"Endurance","Other"))))))))</f>
        <v>Other</v>
      </c>
    </row>
    <row r="856" spans="1:15" x14ac:dyDescent="0.3">
      <c r="A856" t="s">
        <v>862</v>
      </c>
      <c r="B856" s="1">
        <v>45884</v>
      </c>
      <c r="C856" s="2">
        <v>513025476</v>
      </c>
      <c r="D856" s="3">
        <v>5217480</v>
      </c>
      <c r="E856" s="3">
        <v>28950</v>
      </c>
      <c r="F856">
        <f>YEAR(B856)</f>
        <v>2025</v>
      </c>
      <c r="G856" t="str">
        <f>TEXT(B856,"MMMM")</f>
        <v>August</v>
      </c>
      <c r="H856" t="str">
        <f>TEXT(B856, "DDDD")</f>
        <v>Friday</v>
      </c>
      <c r="I856">
        <f>((D856+E856)/C856)*100</f>
        <v>1.0226451210387844</v>
      </c>
      <c r="J856">
        <f>(D856/C856)*1000</f>
        <v>10.170021264207159</v>
      </c>
      <c r="K856">
        <f>(E856/C856)*1000</f>
        <v>5.6429946180684407E-2</v>
      </c>
      <c r="L856">
        <f>CORREL(C856:C1354, D856:D1354)</f>
        <v>0.50035879686901352</v>
      </c>
      <c r="M856">
        <f>CORREL(C856:C1354,E856:E1354)</f>
        <v>0.13929772555570391</v>
      </c>
      <c r="N856">
        <f>LEN(A856)</f>
        <v>32</v>
      </c>
      <c r="O856" t="str">
        <f>IF(ISNUMBER(SEARCH("$",A856)), "Money", IF(ISNUMBER(SEARCH("Win",A856)), "Challenge",IF(ISNUMBER(SEARCH("Challenge",A856)), "Challenge",IF(ISNUMBER(SEARCH("Last To Leave",A856)),"Challenge",IF(ISNUMBER(SEARCH("Giving Away", A856)),"Giveaway",IF(ISNUMBER(SEARCH("Stranded",A856)),"Survival", IF(ISNUMBER(SEARCH("Survive",A856)), "Survival", IF(ISNUMBER(SEARCH("Days",A856)),"Endurance","Other"))))))))</f>
        <v>Other</v>
      </c>
    </row>
    <row r="857" spans="1:15" x14ac:dyDescent="0.3">
      <c r="A857" t="s">
        <v>863</v>
      </c>
      <c r="B857" s="1">
        <v>45776</v>
      </c>
      <c r="C857" s="2">
        <v>460500616</v>
      </c>
      <c r="D857" s="3">
        <v>10233050</v>
      </c>
      <c r="E857" s="3">
        <v>31574</v>
      </c>
      <c r="F857">
        <f>YEAR(B857)</f>
        <v>2025</v>
      </c>
      <c r="G857" t="str">
        <f>TEXT(B857,"MMMM")</f>
        <v>April</v>
      </c>
      <c r="H857" t="str">
        <f>TEXT(B857, "DDDD")</f>
        <v>Tuesday</v>
      </c>
      <c r="I857">
        <f>((D857+E857)/C857)*100</f>
        <v>2.2290141735662736</v>
      </c>
      <c r="J857">
        <f>(D857/C857)*1000</f>
        <v>22.221577223688229</v>
      </c>
      <c r="K857">
        <f>(E857/C857)*1000</f>
        <v>6.8564511974507317E-2</v>
      </c>
      <c r="L857">
        <f>CORREL(C857:C1355, D857:D1355)</f>
        <v>0.49795128548424139</v>
      </c>
      <c r="M857">
        <f>CORREL(C857:C1355,E857:E1355)</f>
        <v>0.14334590596379457</v>
      </c>
      <c r="N857">
        <f>LEN(A857)</f>
        <v>41</v>
      </c>
      <c r="O857" t="str">
        <f>IF(ISNUMBER(SEARCH("$",A857)), "Money", IF(ISNUMBER(SEARCH("Win",A857)), "Challenge",IF(ISNUMBER(SEARCH("Challenge",A857)), "Challenge",IF(ISNUMBER(SEARCH("Last To Leave",A857)),"Challenge",IF(ISNUMBER(SEARCH("Giving Away", A857)),"Giveaway",IF(ISNUMBER(SEARCH("Stranded",A857)),"Survival", IF(ISNUMBER(SEARCH("Survive",A857)), "Survival", IF(ISNUMBER(SEARCH("Days",A857)),"Endurance","Other"))))))))</f>
        <v>Other</v>
      </c>
    </row>
    <row r="858" spans="1:15" x14ac:dyDescent="0.3">
      <c r="A858" t="s">
        <v>864</v>
      </c>
      <c r="B858" s="1">
        <v>45975</v>
      </c>
      <c r="C858" s="2">
        <v>438719795</v>
      </c>
      <c r="D858" s="3">
        <v>4836816</v>
      </c>
      <c r="E858" s="3">
        <v>12110</v>
      </c>
      <c r="F858">
        <f>YEAR(B858)</f>
        <v>2025</v>
      </c>
      <c r="G858" t="str">
        <f>TEXT(B858,"MMMM")</f>
        <v>November</v>
      </c>
      <c r="H858" t="str">
        <f>TEXT(B858, "DDDD")</f>
        <v>Friday</v>
      </c>
      <c r="I858">
        <f>((D858+E858)/C858)*100</f>
        <v>1.1052444077660093</v>
      </c>
      <c r="J858">
        <f>(D858/C858)*1000</f>
        <v>11.024841037774465</v>
      </c>
      <c r="K858">
        <f>(E858/C858)*1000</f>
        <v>2.7603039885629049E-2</v>
      </c>
      <c r="L858">
        <f>CORREL(C858:C1356, D858:D1356)</f>
        <v>0.48627002619375986</v>
      </c>
      <c r="M858">
        <f>CORREL(C858:C1356,E858:E1356)</f>
        <v>0.14643949438498205</v>
      </c>
      <c r="N858">
        <f>LEN(A858)</f>
        <v>18</v>
      </c>
      <c r="O858" t="str">
        <f>IF(ISNUMBER(SEARCH("$",A858)), "Money", IF(ISNUMBER(SEARCH("Win",A858)), "Challenge",IF(ISNUMBER(SEARCH("Challenge",A858)), "Challenge",IF(ISNUMBER(SEARCH("Last To Leave",A858)),"Challenge",IF(ISNUMBER(SEARCH("Giving Away", A858)),"Giveaway",IF(ISNUMBER(SEARCH("Stranded",A858)),"Survival", IF(ISNUMBER(SEARCH("Survive",A858)), "Survival", IF(ISNUMBER(SEARCH("Days",A858)),"Endurance","Other"))))))))</f>
        <v>Other</v>
      </c>
    </row>
    <row r="859" spans="1:15" x14ac:dyDescent="0.3">
      <c r="A859" t="s">
        <v>865</v>
      </c>
      <c r="B859" s="1">
        <v>45734</v>
      </c>
      <c r="C859" s="2">
        <v>412890266</v>
      </c>
      <c r="D859" s="3">
        <v>8957930</v>
      </c>
      <c r="E859" s="3">
        <v>25775</v>
      </c>
      <c r="F859">
        <f>YEAR(B859)</f>
        <v>2025</v>
      </c>
      <c r="G859" t="str">
        <f>TEXT(B859,"MMMM")</f>
        <v>March</v>
      </c>
      <c r="H859" t="str">
        <f>TEXT(B859, "DDDD")</f>
        <v>Tuesday</v>
      </c>
      <c r="I859">
        <f>((D859+E859)/C859)*100</f>
        <v>2.1758093468834647</v>
      </c>
      <c r="J859">
        <f>(D859/C859)*1000</f>
        <v>21.695667681349502</v>
      </c>
      <c r="K859">
        <f>(E859/C859)*1000</f>
        <v>6.2425787485142603E-2</v>
      </c>
      <c r="L859">
        <f>CORREL(C859:C1357, D859:D1357)</f>
        <v>0.48429276866699678</v>
      </c>
      <c r="M859">
        <f>CORREL(C859:C1357,E859:E1357)</f>
        <v>0.1506201062458265</v>
      </c>
      <c r="N859">
        <f>LEN(A859)</f>
        <v>35</v>
      </c>
      <c r="O859" t="str">
        <f>IF(ISNUMBER(SEARCH("$",A859)), "Money", IF(ISNUMBER(SEARCH("Win",A859)), "Challenge",IF(ISNUMBER(SEARCH("Challenge",A859)), "Challenge",IF(ISNUMBER(SEARCH("Last To Leave",A859)),"Challenge",IF(ISNUMBER(SEARCH("Giving Away", A859)),"Giveaway",IF(ISNUMBER(SEARCH("Stranded",A859)),"Survival", IF(ISNUMBER(SEARCH("Survive",A859)), "Survival", IF(ISNUMBER(SEARCH("Days",A859)),"Endurance","Other"))))))))</f>
        <v>Other</v>
      </c>
    </row>
    <row r="860" spans="1:15" x14ac:dyDescent="0.3">
      <c r="A860" t="s">
        <v>866</v>
      </c>
      <c r="B860" s="1">
        <v>45712</v>
      </c>
      <c r="C860" s="2">
        <v>400158289</v>
      </c>
      <c r="D860" s="3">
        <v>7992608</v>
      </c>
      <c r="E860" s="3">
        <v>9952</v>
      </c>
      <c r="F860">
        <f>YEAR(B860)</f>
        <v>2025</v>
      </c>
      <c r="G860" t="str">
        <f>TEXT(B860,"MMMM")</f>
        <v>February</v>
      </c>
      <c r="H860" t="str">
        <f>TEXT(B860, "DDDD")</f>
        <v>Monday</v>
      </c>
      <c r="I860">
        <f>((D860+E860)/C860)*100</f>
        <v>1.9998486149064878</v>
      </c>
      <c r="J860">
        <f>(D860/C860)*1000</f>
        <v>19.973615990746104</v>
      </c>
      <c r="K860">
        <f>(E860/C860)*1000</f>
        <v>2.4870158318774701E-2</v>
      </c>
      <c r="L860">
        <f>CORREL(C860:C1358, D860:D1358)</f>
        <v>0.47567545334405575</v>
      </c>
      <c r="M860">
        <f>CORREL(C860:C1358,E860:E1358)</f>
        <v>0.15352690034762356</v>
      </c>
      <c r="N860">
        <f>LEN(A860)</f>
        <v>27</v>
      </c>
      <c r="O860" t="str">
        <f>IF(ISNUMBER(SEARCH("$",A860)), "Money", IF(ISNUMBER(SEARCH("Win",A860)), "Challenge",IF(ISNUMBER(SEARCH("Challenge",A860)), "Challenge",IF(ISNUMBER(SEARCH("Last To Leave",A860)),"Challenge",IF(ISNUMBER(SEARCH("Giving Away", A860)),"Giveaway",IF(ISNUMBER(SEARCH("Stranded",A860)),"Survival", IF(ISNUMBER(SEARCH("Survive",A860)), "Survival", IF(ISNUMBER(SEARCH("Days",A860)),"Endurance","Other"))))))))</f>
        <v>Money</v>
      </c>
    </row>
    <row r="861" spans="1:15" x14ac:dyDescent="0.3">
      <c r="A861" t="s">
        <v>867</v>
      </c>
      <c r="B861" s="1">
        <v>45867</v>
      </c>
      <c r="C861" s="2">
        <v>393764062</v>
      </c>
      <c r="D861" s="3">
        <v>5385447</v>
      </c>
      <c r="E861" s="3">
        <v>14582</v>
      </c>
      <c r="F861">
        <f>YEAR(B861)</f>
        <v>2025</v>
      </c>
      <c r="G861" t="str">
        <f>TEXT(B861,"MMMM")</f>
        <v>July</v>
      </c>
      <c r="H861" t="str">
        <f>TEXT(B861, "DDDD")</f>
        <v>Tuesday</v>
      </c>
      <c r="I861">
        <f>((D861+E861)/C861)*100</f>
        <v>1.3713869601436608</v>
      </c>
      <c r="J861">
        <f>(D861/C861)*1000</f>
        <v>13.676837273179084</v>
      </c>
      <c r="K861">
        <f>(E861/C861)*1000</f>
        <v>3.7032328257523922E-2</v>
      </c>
      <c r="L861">
        <f>CORREL(C861:C1359, D861:D1359)</f>
        <v>0.46808076757269473</v>
      </c>
      <c r="M861">
        <f>CORREL(C861:C1359,E861:E1359)</f>
        <v>0.15724677724461339</v>
      </c>
      <c r="N861">
        <f>LEN(A861)</f>
        <v>28</v>
      </c>
      <c r="O861" t="str">
        <f>IF(ISNUMBER(SEARCH("$",A861)), "Money", IF(ISNUMBER(SEARCH("Win",A861)), "Challenge",IF(ISNUMBER(SEARCH("Challenge",A861)), "Challenge",IF(ISNUMBER(SEARCH("Last To Leave",A861)),"Challenge",IF(ISNUMBER(SEARCH("Giving Away", A861)),"Giveaway",IF(ISNUMBER(SEARCH("Stranded",A861)),"Survival", IF(ISNUMBER(SEARCH("Survive",A861)), "Survival", IF(ISNUMBER(SEARCH("Days",A861)),"Endurance","Other"))))))))</f>
        <v>Other</v>
      </c>
    </row>
    <row r="862" spans="1:15" x14ac:dyDescent="0.3">
      <c r="A862" t="s">
        <v>868</v>
      </c>
      <c r="B862" s="1">
        <v>45979</v>
      </c>
      <c r="C862" s="2">
        <v>379533891</v>
      </c>
      <c r="D862" s="3">
        <v>3079228</v>
      </c>
      <c r="E862" s="3">
        <v>13172</v>
      </c>
      <c r="F862">
        <f>YEAR(B862)</f>
        <v>2025</v>
      </c>
      <c r="G862" t="str">
        <f>TEXT(B862,"MMMM")</f>
        <v>November</v>
      </c>
      <c r="H862" t="str">
        <f>TEXT(B862, "DDDD")</f>
        <v>Tuesday</v>
      </c>
      <c r="I862">
        <f>((D862+E862)/C862)*100</f>
        <v>0.81478889588808812</v>
      </c>
      <c r="J862">
        <f>(D862/C862)*1000</f>
        <v>8.1131832308488097</v>
      </c>
      <c r="K862">
        <f>(E862/C862)*1000</f>
        <v>3.4705728032071843E-2</v>
      </c>
      <c r="L862">
        <f>CORREL(C862:C1360, D862:D1360)</f>
        <v>0.46436636743445764</v>
      </c>
      <c r="M862">
        <f>CORREL(C862:C1360,E862:E1360)</f>
        <v>0.16065691688765979</v>
      </c>
      <c r="N862">
        <f>LEN(A862)</f>
        <v>24</v>
      </c>
      <c r="O862" t="str">
        <f>IF(ISNUMBER(SEARCH("$",A862)), "Money", IF(ISNUMBER(SEARCH("Win",A862)), "Challenge",IF(ISNUMBER(SEARCH("Challenge",A862)), "Challenge",IF(ISNUMBER(SEARCH("Last To Leave",A862)),"Challenge",IF(ISNUMBER(SEARCH("Giving Away", A862)),"Giveaway",IF(ISNUMBER(SEARCH("Stranded",A862)),"Survival", IF(ISNUMBER(SEARCH("Survive",A862)), "Survival", IF(ISNUMBER(SEARCH("Days",A862)),"Endurance","Other"))))))))</f>
        <v>Other</v>
      </c>
    </row>
    <row r="863" spans="1:15" x14ac:dyDescent="0.3">
      <c r="A863" t="s">
        <v>869</v>
      </c>
      <c r="B863" s="1">
        <v>45779</v>
      </c>
      <c r="C863" s="2">
        <v>352451133</v>
      </c>
      <c r="D863" s="3">
        <v>6343883</v>
      </c>
      <c r="E863" s="3">
        <v>15949</v>
      </c>
      <c r="F863">
        <f>YEAR(B863)</f>
        <v>2025</v>
      </c>
      <c r="G863" t="str">
        <f>TEXT(B863,"MMMM")</f>
        <v>May</v>
      </c>
      <c r="H863" t="str">
        <f>TEXT(B863, "DDDD")</f>
        <v>Friday</v>
      </c>
      <c r="I863">
        <f>((D863+E863)/C863)*100</f>
        <v>1.8044578111769045</v>
      </c>
      <c r="J863">
        <f>(D863/C863)*1000</f>
        <v>17.999326448469667</v>
      </c>
      <c r="K863">
        <f>(E863/C863)*1000</f>
        <v>4.5251663299377166E-2</v>
      </c>
      <c r="L863">
        <f>CORREL(C863:C1361, D863:D1361)</f>
        <v>0.46655944679927713</v>
      </c>
      <c r="M863">
        <f>CORREL(C863:C1361,E863:E1361)</f>
        <v>0.16394762017042916</v>
      </c>
      <c r="N863">
        <f>LEN(A863)</f>
        <v>25</v>
      </c>
      <c r="O863" t="str">
        <f>IF(ISNUMBER(SEARCH("$",A863)), "Money", IF(ISNUMBER(SEARCH("Win",A863)), "Challenge",IF(ISNUMBER(SEARCH("Challenge",A863)), "Challenge",IF(ISNUMBER(SEARCH("Last To Leave",A863)),"Challenge",IF(ISNUMBER(SEARCH("Giving Away", A863)),"Giveaway",IF(ISNUMBER(SEARCH("Stranded",A863)),"Survival", IF(ISNUMBER(SEARCH("Survive",A863)), "Survival", IF(ISNUMBER(SEARCH("Days",A863)),"Endurance","Other"))))))))</f>
        <v>Other</v>
      </c>
    </row>
    <row r="864" spans="1:15" x14ac:dyDescent="0.3">
      <c r="A864" t="s">
        <v>870</v>
      </c>
      <c r="B864" s="1">
        <v>45989</v>
      </c>
      <c r="C864" s="2">
        <v>347377311</v>
      </c>
      <c r="D864" s="3">
        <v>6004315</v>
      </c>
      <c r="E864" s="3">
        <v>29830</v>
      </c>
      <c r="F864">
        <f>YEAR(B864)</f>
        <v>2025</v>
      </c>
      <c r="G864" t="str">
        <f>TEXT(B864,"MMMM")</f>
        <v>November</v>
      </c>
      <c r="H864" t="str">
        <f>TEXT(B864, "DDDD")</f>
        <v>Friday</v>
      </c>
      <c r="I864">
        <f>((D864+E864)/C864)*100</f>
        <v>1.7370578932255021</v>
      </c>
      <c r="J864">
        <f>(D864/C864)*1000</f>
        <v>17.284706887491566</v>
      </c>
      <c r="K864">
        <f>(E864/C864)*1000</f>
        <v>8.5872044763453198E-2</v>
      </c>
      <c r="L864">
        <f>CORREL(C864:C1362, D864:D1362)</f>
        <v>0.46210397472877135</v>
      </c>
      <c r="M864">
        <f>CORREL(C864:C1362,E864:E1362)</f>
        <v>0.16663226646330878</v>
      </c>
      <c r="N864">
        <f>LEN(A864)</f>
        <v>40</v>
      </c>
      <c r="O864" t="str">
        <f>IF(ISNUMBER(SEARCH("$",A864)), "Money", IF(ISNUMBER(SEARCH("Win",A864)), "Challenge",IF(ISNUMBER(SEARCH("Challenge",A864)), "Challenge",IF(ISNUMBER(SEARCH("Last To Leave",A864)),"Challenge",IF(ISNUMBER(SEARCH("Giving Away", A864)),"Giveaway",IF(ISNUMBER(SEARCH("Stranded",A864)),"Survival", IF(ISNUMBER(SEARCH("Survive",A864)), "Survival", IF(ISNUMBER(SEARCH("Days",A864)),"Endurance","Other"))))))))</f>
        <v>Other</v>
      </c>
    </row>
    <row r="865" spans="1:15" x14ac:dyDescent="0.3">
      <c r="A865" t="s">
        <v>871</v>
      </c>
      <c r="B865" s="1">
        <v>45933</v>
      </c>
      <c r="C865" s="2">
        <v>345199596</v>
      </c>
      <c r="D865" s="3">
        <v>4248458</v>
      </c>
      <c r="E865" s="3">
        <v>15516</v>
      </c>
      <c r="F865">
        <f>YEAR(B865)</f>
        <v>2025</v>
      </c>
      <c r="G865" t="str">
        <f>TEXT(B865,"MMMM")</f>
        <v>October</v>
      </c>
      <c r="H865" t="str">
        <f>TEXT(B865, "DDDD")</f>
        <v>Friday</v>
      </c>
      <c r="I865">
        <f>((D865+E865)/C865)*100</f>
        <v>1.2352198697242971</v>
      </c>
      <c r="J865">
        <f>(D865/C865)*1000</f>
        <v>12.307250788323634</v>
      </c>
      <c r="K865">
        <f>(E865/C865)*1000</f>
        <v>4.4947908919337205E-2</v>
      </c>
      <c r="L865">
        <f>CORREL(C865:C1363, D865:D1363)</f>
        <v>0.45804621049827338</v>
      </c>
      <c r="M865">
        <f>CORREL(C865:C1363,E865:E1363)</f>
        <v>0.16861978512083262</v>
      </c>
      <c r="N865">
        <f>LEN(A865)</f>
        <v>29</v>
      </c>
      <c r="O865" t="str">
        <f>IF(ISNUMBER(SEARCH("$",A865)), "Money", IF(ISNUMBER(SEARCH("Win",A865)), "Challenge",IF(ISNUMBER(SEARCH("Challenge",A865)), "Challenge",IF(ISNUMBER(SEARCH("Last To Leave",A865)),"Challenge",IF(ISNUMBER(SEARCH("Giving Away", A865)),"Giveaway",IF(ISNUMBER(SEARCH("Stranded",A865)),"Survival", IF(ISNUMBER(SEARCH("Survive",A865)), "Survival", IF(ISNUMBER(SEARCH("Days",A865)),"Endurance","Other"))))))))</f>
        <v>Other</v>
      </c>
    </row>
    <row r="866" spans="1:15" x14ac:dyDescent="0.3">
      <c r="A866" t="s">
        <v>872</v>
      </c>
      <c r="B866" s="1">
        <v>45674</v>
      </c>
      <c r="C866" s="2">
        <v>296463263</v>
      </c>
      <c r="D866" s="3">
        <v>28146891</v>
      </c>
      <c r="E866" s="3">
        <v>237503</v>
      </c>
      <c r="F866">
        <f>YEAR(B866)</f>
        <v>2025</v>
      </c>
      <c r="G866" t="str">
        <f>TEXT(B866,"MMMM")</f>
        <v>January</v>
      </c>
      <c r="H866" t="str">
        <f>TEXT(B866, "DDDD")</f>
        <v>Friday</v>
      </c>
      <c r="I866">
        <f>((D866+E866)/C866)*100</f>
        <v>9.5743377148216844</v>
      </c>
      <c r="J866">
        <f>(D866/C866)*1000</f>
        <v>94.942255965117667</v>
      </c>
      <c r="K866">
        <f>(E866/C866)*1000</f>
        <v>0.80112118309916869</v>
      </c>
      <c r="L866">
        <f>CORREL(C866:C1364, D866:D1364)</f>
        <v>0.456764208835367</v>
      </c>
      <c r="M866">
        <f>CORREL(C866:C1364,E866:E1364)</f>
        <v>0.1713041324475936</v>
      </c>
      <c r="N866">
        <f>LEN(A866)</f>
        <v>23</v>
      </c>
      <c r="O866" t="str">
        <f>IF(ISNUMBER(SEARCH("$",A866)), "Money", IF(ISNUMBER(SEARCH("Win",A866)), "Challenge",IF(ISNUMBER(SEARCH("Challenge",A866)), "Challenge",IF(ISNUMBER(SEARCH("Last To Leave",A866)),"Challenge",IF(ISNUMBER(SEARCH("Giving Away", A866)),"Giveaway",IF(ISNUMBER(SEARCH("Stranded",A866)),"Survival", IF(ISNUMBER(SEARCH("Survive",A866)), "Survival", IF(ISNUMBER(SEARCH("Days",A866)),"Endurance","Other"))))))))</f>
        <v>Other</v>
      </c>
    </row>
    <row r="867" spans="1:15" x14ac:dyDescent="0.3">
      <c r="A867" t="s">
        <v>873</v>
      </c>
      <c r="B867" s="1">
        <v>45863</v>
      </c>
      <c r="C867" s="2">
        <v>275736632</v>
      </c>
      <c r="D867" s="3">
        <v>6524395</v>
      </c>
      <c r="E867" s="3">
        <v>20003</v>
      </c>
      <c r="F867">
        <f>YEAR(B867)</f>
        <v>2025</v>
      </c>
      <c r="G867" t="str">
        <f>TEXT(B867,"MMMM")</f>
        <v>July</v>
      </c>
      <c r="H867" t="str">
        <f>TEXT(B867, "DDDD")</f>
        <v>Friday</v>
      </c>
      <c r="I867">
        <f>((D867+E867)/C867)*100</f>
        <v>2.3734234920226345</v>
      </c>
      <c r="J867">
        <f>(D867/C867)*1000</f>
        <v>23.66169105887969</v>
      </c>
      <c r="K867">
        <f>(E867/C867)*1000</f>
        <v>7.2543861346649072E-2</v>
      </c>
      <c r="L867">
        <f>CORREL(C867:C1365, D867:D1365)</f>
        <v>0.73935857769130442</v>
      </c>
      <c r="M867">
        <f>CORREL(C867:C1365,E867:E1365)</f>
        <v>0.16675757315659373</v>
      </c>
      <c r="N867">
        <f>LEN(A867)</f>
        <v>32</v>
      </c>
      <c r="O867" t="str">
        <f>IF(ISNUMBER(SEARCH("$",A867)), "Money", IF(ISNUMBER(SEARCH("Win",A867)), "Challenge",IF(ISNUMBER(SEARCH("Challenge",A867)), "Challenge",IF(ISNUMBER(SEARCH("Last To Leave",A867)),"Challenge",IF(ISNUMBER(SEARCH("Giving Away", A867)),"Giveaway",IF(ISNUMBER(SEARCH("Stranded",A867)),"Survival", IF(ISNUMBER(SEARCH("Survive",A867)), "Survival", IF(ISNUMBER(SEARCH("Days",A867)),"Endurance","Other"))))))))</f>
        <v>Money</v>
      </c>
    </row>
    <row r="868" spans="1:15" x14ac:dyDescent="0.3">
      <c r="A868" t="s">
        <v>874</v>
      </c>
      <c r="B868" s="1">
        <v>45772</v>
      </c>
      <c r="C868" s="2">
        <v>269762974</v>
      </c>
      <c r="D868" s="3">
        <v>2566517</v>
      </c>
      <c r="E868" s="3">
        <v>5607</v>
      </c>
      <c r="F868">
        <f>YEAR(B868)</f>
        <v>2025</v>
      </c>
      <c r="G868" t="str">
        <f>TEXT(B868,"MMMM")</f>
        <v>April</v>
      </c>
      <c r="H868" t="str">
        <f>TEXT(B868, "DDDD")</f>
        <v>Friday</v>
      </c>
      <c r="I868">
        <f>((D868+E868)/C868)*100</f>
        <v>0.9534755499841131</v>
      </c>
      <c r="J868">
        <f>(D868/C868)*1000</f>
        <v>9.5139705866380311</v>
      </c>
      <c r="K868">
        <f>(E868/C868)*1000</f>
        <v>2.0784913203099546E-2</v>
      </c>
      <c r="L868">
        <f>CORREL(C868:C1366, D868:D1366)</f>
        <v>0.74802866734707429</v>
      </c>
      <c r="M868">
        <f>CORREL(C868:C1366,E868:E1366)</f>
        <v>0.16806580351907782</v>
      </c>
      <c r="N868">
        <f>LEN(A868)</f>
        <v>19</v>
      </c>
      <c r="O868" t="str">
        <f>IF(ISNUMBER(SEARCH("$",A868)), "Money", IF(ISNUMBER(SEARCH("Win",A868)), "Challenge",IF(ISNUMBER(SEARCH("Challenge",A868)), "Challenge",IF(ISNUMBER(SEARCH("Last To Leave",A868)),"Challenge",IF(ISNUMBER(SEARCH("Giving Away", A868)),"Giveaway",IF(ISNUMBER(SEARCH("Stranded",A868)),"Survival", IF(ISNUMBER(SEARCH("Survive",A868)), "Survival", IF(ISNUMBER(SEARCH("Days",A868)),"Endurance","Other"))))))))</f>
        <v>Other</v>
      </c>
    </row>
    <row r="869" spans="1:15" x14ac:dyDescent="0.3">
      <c r="A869" t="s">
        <v>875</v>
      </c>
      <c r="B869" s="1">
        <v>45798</v>
      </c>
      <c r="C869" s="2">
        <v>259323347</v>
      </c>
      <c r="D869" s="3">
        <v>3564972</v>
      </c>
      <c r="E869" s="3">
        <v>10859</v>
      </c>
      <c r="F869">
        <f>YEAR(B869)</f>
        <v>2025</v>
      </c>
      <c r="G869" t="str">
        <f>TEXT(B869,"MMMM")</f>
        <v>May</v>
      </c>
      <c r="H869" t="str">
        <f>TEXT(B869, "DDDD")</f>
        <v>Wednesday</v>
      </c>
      <c r="I869">
        <f>((D869+E869)/C869)*100</f>
        <v>1.3789082399896682</v>
      </c>
      <c r="J869">
        <f>(D869/C869)*1000</f>
        <v>13.74720803676809</v>
      </c>
      <c r="K869">
        <f>(E869/C869)*1000</f>
        <v>4.1874363128592509E-2</v>
      </c>
      <c r="L869">
        <f>CORREL(C869:C1367, D869:D1367)</f>
        <v>0.74959322168651588</v>
      </c>
      <c r="M869">
        <f>CORREL(C869:C1367,E869:E1367)</f>
        <v>0.16971153479318121</v>
      </c>
      <c r="N869">
        <f>LEN(A869)</f>
        <v>24</v>
      </c>
      <c r="O869" t="str">
        <f>IF(ISNUMBER(SEARCH("$",A869)), "Money", IF(ISNUMBER(SEARCH("Win",A869)), "Challenge",IF(ISNUMBER(SEARCH("Challenge",A869)), "Challenge",IF(ISNUMBER(SEARCH("Last To Leave",A869)),"Challenge",IF(ISNUMBER(SEARCH("Giving Away", A869)),"Giveaway",IF(ISNUMBER(SEARCH("Stranded",A869)),"Survival", IF(ISNUMBER(SEARCH("Survive",A869)), "Survival", IF(ISNUMBER(SEARCH("Days",A869)),"Endurance","Other"))))))))</f>
        <v>Other</v>
      </c>
    </row>
    <row r="870" spans="1:15" x14ac:dyDescent="0.3">
      <c r="A870" t="s">
        <v>876</v>
      </c>
      <c r="B870" s="1">
        <v>45829</v>
      </c>
      <c r="C870" s="2">
        <v>257737612</v>
      </c>
      <c r="D870" s="3">
        <v>6969414</v>
      </c>
      <c r="E870" s="3">
        <v>119798</v>
      </c>
      <c r="F870">
        <f>YEAR(B870)</f>
        <v>2025</v>
      </c>
      <c r="G870" t="str">
        <f>TEXT(B870,"MMMM")</f>
        <v>June</v>
      </c>
      <c r="H870" t="str">
        <f>TEXT(B870, "DDDD")</f>
        <v>Saturday</v>
      </c>
      <c r="I870">
        <f>((D870+E870)/C870)*100</f>
        <v>2.750553923809925</v>
      </c>
      <c r="J870">
        <f>(D870/C870)*1000</f>
        <v>27.040733193415328</v>
      </c>
      <c r="K870">
        <f>(E870/C870)*1000</f>
        <v>0.46480604468392456</v>
      </c>
      <c r="L870">
        <f>CORREL(C870:C1368, D870:D1368)</f>
        <v>0.74916675780332376</v>
      </c>
      <c r="M870">
        <f>CORREL(C870:C1368,E870:E1368)</f>
        <v>0.17105257499788901</v>
      </c>
      <c r="N870">
        <f>LEN(A870)</f>
        <v>27</v>
      </c>
      <c r="O870" t="str">
        <f>IF(ISNUMBER(SEARCH("$",A870)), "Money", IF(ISNUMBER(SEARCH("Win",A870)), "Challenge",IF(ISNUMBER(SEARCH("Challenge",A870)), "Challenge",IF(ISNUMBER(SEARCH("Last To Leave",A870)),"Challenge",IF(ISNUMBER(SEARCH("Giving Away", A870)),"Giveaway",IF(ISNUMBER(SEARCH("Stranded",A870)),"Survival", IF(ISNUMBER(SEARCH("Survive",A870)), "Survival", IF(ISNUMBER(SEARCH("Days",A870)),"Endurance","Other"))))))))</f>
        <v>Money</v>
      </c>
    </row>
    <row r="871" spans="1:15" x14ac:dyDescent="0.3">
      <c r="A871" t="s">
        <v>877</v>
      </c>
      <c r="B871" s="1">
        <v>45968</v>
      </c>
      <c r="C871" s="2">
        <v>254494203</v>
      </c>
      <c r="D871" s="3">
        <v>2252116</v>
      </c>
      <c r="E871" s="3">
        <v>14367</v>
      </c>
      <c r="F871">
        <f>YEAR(B871)</f>
        <v>2025</v>
      </c>
      <c r="G871" t="str">
        <f>TEXT(B871,"MMMM")</f>
        <v>November</v>
      </c>
      <c r="H871" t="str">
        <f>TEXT(B871, "DDDD")</f>
        <v>Friday</v>
      </c>
      <c r="I871">
        <f>((D871+E871)/C871)*100</f>
        <v>0.89058335053706505</v>
      </c>
      <c r="J871">
        <f>(D871/C871)*1000</f>
        <v>8.8493803530762545</v>
      </c>
      <c r="K871">
        <f>(E871/C871)*1000</f>
        <v>5.6453152294396271E-2</v>
      </c>
      <c r="L871">
        <f>CORREL(C871:C1369, D871:D1369)</f>
        <v>0.76482691842875528</v>
      </c>
      <c r="M871">
        <f>CORREL(C871:C1369,E871:E1369)</f>
        <v>0.16997365762107403</v>
      </c>
      <c r="N871">
        <f>LEN(A871)</f>
        <v>50</v>
      </c>
      <c r="O871" t="str">
        <f>IF(ISNUMBER(SEARCH("$",A871)), "Money", IF(ISNUMBER(SEARCH("Win",A871)), "Challenge",IF(ISNUMBER(SEARCH("Challenge",A871)), "Challenge",IF(ISNUMBER(SEARCH("Last To Leave",A871)),"Challenge",IF(ISNUMBER(SEARCH("Giving Away", A871)),"Giveaway",IF(ISNUMBER(SEARCH("Stranded",A871)),"Survival", IF(ISNUMBER(SEARCH("Survive",A871)), "Survival", IF(ISNUMBER(SEARCH("Days",A871)),"Endurance","Other"))))))))</f>
        <v>Other</v>
      </c>
    </row>
    <row r="872" spans="1:15" x14ac:dyDescent="0.3">
      <c r="A872" t="s">
        <v>878</v>
      </c>
      <c r="B872" s="1">
        <v>45667</v>
      </c>
      <c r="C872" s="2">
        <v>248244770</v>
      </c>
      <c r="D872" s="3">
        <v>4153406</v>
      </c>
      <c r="E872" s="3">
        <v>5866</v>
      </c>
      <c r="F872">
        <f>YEAR(B872)</f>
        <v>2025</v>
      </c>
      <c r="G872" t="str">
        <f>TEXT(B872,"MMMM")</f>
        <v>January</v>
      </c>
      <c r="H872" t="str">
        <f>TEXT(B872, "DDDD")</f>
        <v>Friday</v>
      </c>
      <c r="I872">
        <f>((D872+E872)/C872)*100</f>
        <v>1.675472155969288</v>
      </c>
      <c r="J872">
        <f>(D872/C872)*1000</f>
        <v>16.731091656029651</v>
      </c>
      <c r="K872">
        <f>(E872/C872)*1000</f>
        <v>2.3629903663227224E-2</v>
      </c>
      <c r="L872">
        <f>CORREL(C872:C1370, D872:D1370)</f>
        <v>0.76713563177959876</v>
      </c>
      <c r="M872">
        <f>CORREL(C872:C1370,E872:E1370)</f>
        <v>0.17116927608756616</v>
      </c>
      <c r="N872">
        <f>LEN(A872)</f>
        <v>28</v>
      </c>
      <c r="O872" t="str">
        <f>IF(ISNUMBER(SEARCH("$",A872)), "Money", IF(ISNUMBER(SEARCH("Win",A872)), "Challenge",IF(ISNUMBER(SEARCH("Challenge",A872)), "Challenge",IF(ISNUMBER(SEARCH("Last To Leave",A872)),"Challenge",IF(ISNUMBER(SEARCH("Giving Away", A872)),"Giveaway",IF(ISNUMBER(SEARCH("Stranded",A872)),"Survival", IF(ISNUMBER(SEARCH("Survive",A872)), "Survival", IF(ISNUMBER(SEARCH("Days",A872)),"Endurance","Other"))))))))</f>
        <v>Other</v>
      </c>
    </row>
    <row r="873" spans="1:15" x14ac:dyDescent="0.3">
      <c r="A873" t="s">
        <v>879</v>
      </c>
      <c r="B873" s="1">
        <v>46010</v>
      </c>
      <c r="C873" s="2">
        <v>245032170</v>
      </c>
      <c r="D873" s="3">
        <v>4495285</v>
      </c>
      <c r="E873" s="3">
        <v>15625</v>
      </c>
      <c r="F873">
        <f>YEAR(B873)</f>
        <v>2025</v>
      </c>
      <c r="G873" t="str">
        <f>TEXT(B873,"MMMM")</f>
        <v>December</v>
      </c>
      <c r="H873" t="str">
        <f>TEXT(B873, "DDDD")</f>
        <v>Friday</v>
      </c>
      <c r="I873">
        <f>((D873+E873)/C873)*100</f>
        <v>1.8409460276175165</v>
      </c>
      <c r="J873">
        <f>(D873/C873)*1000</f>
        <v>18.345693138986608</v>
      </c>
      <c r="K873">
        <f>(E873/C873)*1000</f>
        <v>6.3767137188557727E-2</v>
      </c>
      <c r="L873">
        <f>CORREL(C873:C1371, D873:D1371)</f>
        <v>0.76743028139744329</v>
      </c>
      <c r="M873">
        <f>CORREL(C873:C1371,E873:E1371)</f>
        <v>0.1724804097392777</v>
      </c>
      <c r="N873">
        <f>LEN(A873)</f>
        <v>36</v>
      </c>
      <c r="O873" t="str">
        <f>IF(ISNUMBER(SEARCH("$",A873)), "Money", IF(ISNUMBER(SEARCH("Win",A873)), "Challenge",IF(ISNUMBER(SEARCH("Challenge",A873)), "Challenge",IF(ISNUMBER(SEARCH("Last To Leave",A873)),"Challenge",IF(ISNUMBER(SEARCH("Giving Away", A873)),"Giveaway",IF(ISNUMBER(SEARCH("Stranded",A873)),"Survival", IF(ISNUMBER(SEARCH("Survive",A873)), "Survival", IF(ISNUMBER(SEARCH("Days",A873)),"Endurance","Other"))))))))</f>
        <v>Money</v>
      </c>
    </row>
    <row r="874" spans="1:15" x14ac:dyDescent="0.3">
      <c r="A874" t="s">
        <v>880</v>
      </c>
      <c r="B874" s="1">
        <v>45696</v>
      </c>
      <c r="C874" s="2">
        <v>239704746</v>
      </c>
      <c r="D874" s="3">
        <v>5401960</v>
      </c>
      <c r="E874" s="3">
        <v>101127</v>
      </c>
      <c r="F874">
        <f>YEAR(B874)</f>
        <v>2025</v>
      </c>
      <c r="G874" t="str">
        <f>TEXT(B874,"MMMM")</f>
        <v>February</v>
      </c>
      <c r="H874" t="str">
        <f>TEXT(B874, "DDDD")</f>
        <v>Saturday</v>
      </c>
      <c r="I874">
        <f>((D874+E874)/C874)*100</f>
        <v>2.2957772392207874</v>
      </c>
      <c r="J874">
        <f>(D874/C874)*1000</f>
        <v>22.535890883028241</v>
      </c>
      <c r="K874">
        <f>(E874/C874)*1000</f>
        <v>0.42188150917963052</v>
      </c>
      <c r="L874">
        <f>CORREL(C874:C1372, D874:D1372)</f>
        <v>0.76874553481811159</v>
      </c>
      <c r="M874">
        <f>CORREL(C874:C1372,E874:E1372)</f>
        <v>0.17353795978253039</v>
      </c>
      <c r="N874">
        <f>LEN(A874)</f>
        <v>38</v>
      </c>
      <c r="O874" t="str">
        <f>IF(ISNUMBER(SEARCH("$",A874)), "Money", IF(ISNUMBER(SEARCH("Win",A874)), "Challenge",IF(ISNUMBER(SEARCH("Challenge",A874)), "Challenge",IF(ISNUMBER(SEARCH("Last To Leave",A874)),"Challenge",IF(ISNUMBER(SEARCH("Giving Away", A874)),"Giveaway",IF(ISNUMBER(SEARCH("Stranded",A874)),"Survival", IF(ISNUMBER(SEARCH("Survive",A874)), "Survival", IF(ISNUMBER(SEARCH("Days",A874)),"Endurance","Other"))))))))</f>
        <v>Other</v>
      </c>
    </row>
    <row r="875" spans="1:15" x14ac:dyDescent="0.3">
      <c r="A875" t="s">
        <v>881</v>
      </c>
      <c r="B875" s="1">
        <v>45913</v>
      </c>
      <c r="C875" s="2">
        <v>239048736</v>
      </c>
      <c r="D875" s="3">
        <v>4201535</v>
      </c>
      <c r="E875" s="3">
        <v>70156</v>
      </c>
      <c r="F875">
        <f>YEAR(B875)</f>
        <v>2025</v>
      </c>
      <c r="G875" t="str">
        <f>TEXT(B875,"MMMM")</f>
        <v>September</v>
      </c>
      <c r="H875" t="str">
        <f>TEXT(B875, "DDDD")</f>
        <v>Saturday</v>
      </c>
      <c r="I875">
        <f>((D875+E875)/C875)*100</f>
        <v>1.786954020957467</v>
      </c>
      <c r="J875">
        <f>(D875/C875)*1000</f>
        <v>17.576060305962045</v>
      </c>
      <c r="K875">
        <f>(E875/C875)*1000</f>
        <v>0.29347990361262566</v>
      </c>
      <c r="L875">
        <f>CORREL(C875:C1373, D875:D1373)</f>
        <v>0.77487099045344587</v>
      </c>
      <c r="M875">
        <f>CORREL(C875:C1373,E875:E1373)</f>
        <v>0.1729668258694492</v>
      </c>
      <c r="N875">
        <f>LEN(A875)</f>
        <v>48</v>
      </c>
      <c r="O875" t="str">
        <f>IF(ISNUMBER(SEARCH("$",A875)), "Money", IF(ISNUMBER(SEARCH("Win",A875)), "Challenge",IF(ISNUMBER(SEARCH("Challenge",A875)), "Challenge",IF(ISNUMBER(SEARCH("Last To Leave",A875)),"Challenge",IF(ISNUMBER(SEARCH("Giving Away", A875)),"Giveaway",IF(ISNUMBER(SEARCH("Stranded",A875)),"Survival", IF(ISNUMBER(SEARCH("Survive",A875)), "Survival", IF(ISNUMBER(SEARCH("Days",A875)),"Endurance","Other"))))))))</f>
        <v>Money</v>
      </c>
    </row>
    <row r="876" spans="1:15" x14ac:dyDescent="0.3">
      <c r="A876" t="s">
        <v>882</v>
      </c>
      <c r="B876" s="1">
        <v>45843</v>
      </c>
      <c r="C876" s="2">
        <v>238172070</v>
      </c>
      <c r="D876" s="3">
        <v>3546669</v>
      </c>
      <c r="E876" s="3">
        <v>48023</v>
      </c>
      <c r="F876">
        <f>YEAR(B876)</f>
        <v>2025</v>
      </c>
      <c r="G876" t="str">
        <f>TEXT(B876,"MMMM")</f>
        <v>July</v>
      </c>
      <c r="H876" t="str">
        <f>TEXT(B876, "DDDD")</f>
        <v>Saturday</v>
      </c>
      <c r="I876">
        <f>((D876+E876)/C876)*100</f>
        <v>1.5092836032369372</v>
      </c>
      <c r="J876">
        <f>(D876/C876)*1000</f>
        <v>14.891204497655833</v>
      </c>
      <c r="K876">
        <f>(E876/C876)*1000</f>
        <v>0.20163153471353715</v>
      </c>
      <c r="L876">
        <f>CORREL(C876:C1374, D876:D1374)</f>
        <v>0.77574372442469874</v>
      </c>
      <c r="M876">
        <f>CORREL(C876:C1374,E876:E1374)</f>
        <v>0.17290649953133716</v>
      </c>
      <c r="N876">
        <f>LEN(A876)</f>
        <v>31</v>
      </c>
      <c r="O876" t="str">
        <f>IF(ISNUMBER(SEARCH("$",A876)), "Money", IF(ISNUMBER(SEARCH("Win",A876)), "Challenge",IF(ISNUMBER(SEARCH("Challenge",A876)), "Challenge",IF(ISNUMBER(SEARCH("Last To Leave",A876)),"Challenge",IF(ISNUMBER(SEARCH("Giving Away", A876)),"Giveaway",IF(ISNUMBER(SEARCH("Stranded",A876)),"Survival", IF(ISNUMBER(SEARCH("Survive",A876)), "Survival", IF(ISNUMBER(SEARCH("Days",A876)),"Endurance","Other"))))))))</f>
        <v>Other</v>
      </c>
    </row>
    <row r="877" spans="1:15" x14ac:dyDescent="0.3">
      <c r="A877" t="s">
        <v>883</v>
      </c>
      <c r="B877" s="1">
        <v>45773</v>
      </c>
      <c r="C877" s="2">
        <v>212879003</v>
      </c>
      <c r="D877" s="3">
        <v>3278766</v>
      </c>
      <c r="E877" s="3">
        <v>43698</v>
      </c>
      <c r="F877">
        <f>YEAR(B877)</f>
        <v>2025</v>
      </c>
      <c r="G877" t="str">
        <f>TEXT(B877,"MMMM")</f>
        <v>April</v>
      </c>
      <c r="H877" t="str">
        <f>TEXT(B877, "DDDD")</f>
        <v>Saturday</v>
      </c>
      <c r="I877">
        <f>((D877+E877)/C877)*100</f>
        <v>1.5607288427595651</v>
      </c>
      <c r="J877">
        <f>(D877/C877)*1000</f>
        <v>15.402016891257237</v>
      </c>
      <c r="K877">
        <f>(E877/C877)*1000</f>
        <v>0.20527153633841475</v>
      </c>
      <c r="L877">
        <f>CORREL(C877:C1375, D877:D1375)</f>
        <v>0.77555588603428127</v>
      </c>
      <c r="M877">
        <f>CORREL(C877:C1375,E877:E1375)</f>
        <v>0.17324557561872156</v>
      </c>
      <c r="N877">
        <f>LEN(A877)</f>
        <v>37</v>
      </c>
      <c r="O877" t="str">
        <f>IF(ISNUMBER(SEARCH("$",A877)), "Money", IF(ISNUMBER(SEARCH("Win",A877)), "Challenge",IF(ISNUMBER(SEARCH("Challenge",A877)), "Challenge",IF(ISNUMBER(SEARCH("Last To Leave",A877)),"Challenge",IF(ISNUMBER(SEARCH("Giving Away", A877)),"Giveaway",IF(ISNUMBER(SEARCH("Stranded",A877)),"Survival", IF(ISNUMBER(SEARCH("Survive",A877)), "Survival", IF(ISNUMBER(SEARCH("Days",A877)),"Endurance","Other"))))))))</f>
        <v>Money</v>
      </c>
    </row>
    <row r="878" spans="1:15" x14ac:dyDescent="0.3">
      <c r="A878" t="s">
        <v>884</v>
      </c>
      <c r="B878" s="1">
        <v>45717</v>
      </c>
      <c r="C878" s="2">
        <v>207750259</v>
      </c>
      <c r="D878" s="3">
        <v>3205495</v>
      </c>
      <c r="E878" s="3">
        <v>86306</v>
      </c>
      <c r="F878">
        <f>YEAR(B878)</f>
        <v>2025</v>
      </c>
      <c r="G878" t="str">
        <f>TEXT(B878,"MMMM")</f>
        <v>March</v>
      </c>
      <c r="H878" t="str">
        <f>TEXT(B878, "DDDD")</f>
        <v>Saturday</v>
      </c>
      <c r="I878">
        <f>((D878+E878)/C878)*100</f>
        <v>1.5844991076521355</v>
      </c>
      <c r="J878">
        <f>(D878/C878)*1000</f>
        <v>15.42955958480899</v>
      </c>
      <c r="K878">
        <f>(E878/C878)*1000</f>
        <v>0.41543149171236415</v>
      </c>
      <c r="L878">
        <f>CORREL(C878:C1376, D878:D1376)</f>
        <v>0.77551487870348979</v>
      </c>
      <c r="M878">
        <f>CORREL(C878:C1376,E878:E1376)</f>
        <v>0.17348512412772887</v>
      </c>
      <c r="N878">
        <f>LEN(A878)</f>
        <v>40</v>
      </c>
      <c r="O878" t="str">
        <f>IF(ISNUMBER(SEARCH("$",A878)), "Money", IF(ISNUMBER(SEARCH("Win",A878)), "Challenge",IF(ISNUMBER(SEARCH("Challenge",A878)), "Challenge",IF(ISNUMBER(SEARCH("Last To Leave",A878)),"Challenge",IF(ISNUMBER(SEARCH("Giving Away", A878)),"Giveaway",IF(ISNUMBER(SEARCH("Stranded",A878)),"Survival", IF(ISNUMBER(SEARCH("Survive",A878)), "Survival", IF(ISNUMBER(SEARCH("Days",A878)),"Endurance","Other"))))))))</f>
        <v>Money</v>
      </c>
    </row>
    <row r="879" spans="1:15" x14ac:dyDescent="0.3">
      <c r="A879" t="s">
        <v>874</v>
      </c>
      <c r="B879" s="1">
        <v>45805</v>
      </c>
      <c r="C879" s="2">
        <v>206175881</v>
      </c>
      <c r="D879" s="3">
        <v>3746813</v>
      </c>
      <c r="E879" s="3">
        <v>8154</v>
      </c>
      <c r="F879">
        <f>YEAR(B879)</f>
        <v>2025</v>
      </c>
      <c r="G879" t="str">
        <f>TEXT(B879,"MMMM")</f>
        <v>May</v>
      </c>
      <c r="H879" t="str">
        <f>TEXT(B879, "DDDD")</f>
        <v>Wednesday</v>
      </c>
      <c r="I879">
        <f>((D879+E879)/C879)*100</f>
        <v>1.8212445518785001</v>
      </c>
      <c r="J879">
        <f>(D879/C879)*1000</f>
        <v>18.172896760897071</v>
      </c>
      <c r="K879">
        <f>(E879/C879)*1000</f>
        <v>3.9548757887931614E-2</v>
      </c>
      <c r="L879">
        <f>CORREL(C879:C1377, D879:D1377)</f>
        <v>0.77548399279422509</v>
      </c>
      <c r="M879">
        <f>CORREL(C879:C1377,E879:E1377)</f>
        <v>0.1732974844085455</v>
      </c>
      <c r="N879">
        <f>LEN(A879)</f>
        <v>19</v>
      </c>
      <c r="O879" t="str">
        <f>IF(ISNUMBER(SEARCH("$",A879)), "Money", IF(ISNUMBER(SEARCH("Win",A879)), "Challenge",IF(ISNUMBER(SEARCH("Challenge",A879)), "Challenge",IF(ISNUMBER(SEARCH("Last To Leave",A879)),"Challenge",IF(ISNUMBER(SEARCH("Giving Away", A879)),"Giveaway",IF(ISNUMBER(SEARCH("Stranded",A879)),"Survival", IF(ISNUMBER(SEARCH("Survive",A879)), "Survival", IF(ISNUMBER(SEARCH("Days",A879)),"Endurance","Other"))))))))</f>
        <v>Other</v>
      </c>
    </row>
    <row r="880" spans="1:15" x14ac:dyDescent="0.3">
      <c r="A880" t="s">
        <v>885</v>
      </c>
      <c r="B880" s="1">
        <v>45955</v>
      </c>
      <c r="C880" s="2">
        <v>206102085</v>
      </c>
      <c r="D880" s="3">
        <v>3464916</v>
      </c>
      <c r="E880" s="3">
        <v>61637</v>
      </c>
      <c r="F880">
        <f>YEAR(B880)</f>
        <v>2025</v>
      </c>
      <c r="G880" t="str">
        <f>TEXT(B880,"MMMM")</f>
        <v>October</v>
      </c>
      <c r="H880" t="str">
        <f>TEXT(B880, "DDDD")</f>
        <v>Saturday</v>
      </c>
      <c r="I880">
        <f>((D880+E880)/C880)*100</f>
        <v>1.7110709966859385</v>
      </c>
      <c r="J880">
        <f>(D880/C880)*1000</f>
        <v>16.811649430911871</v>
      </c>
      <c r="K880">
        <f>(E880/C880)*1000</f>
        <v>0.29906053594751358</v>
      </c>
      <c r="L880">
        <f>CORREL(C880:C1378, D880:D1378)</f>
        <v>0.77625853166837377</v>
      </c>
      <c r="M880">
        <f>CORREL(C880:C1378,E880:E1378)</f>
        <v>0.17389355944683069</v>
      </c>
      <c r="N880">
        <f>LEN(A880)</f>
        <v>32</v>
      </c>
      <c r="O880" t="str">
        <f>IF(ISNUMBER(SEARCH("$",A880)), "Money", IF(ISNUMBER(SEARCH("Win",A880)), "Challenge",IF(ISNUMBER(SEARCH("Challenge",A880)), "Challenge",IF(ISNUMBER(SEARCH("Last To Leave",A880)),"Challenge",IF(ISNUMBER(SEARCH("Giving Away", A880)),"Giveaway",IF(ISNUMBER(SEARCH("Stranded",A880)),"Survival", IF(ISNUMBER(SEARCH("Survive",A880)), "Survival", IF(ISNUMBER(SEARCH("Days",A880)),"Endurance","Other"))))))))</f>
        <v>Other</v>
      </c>
    </row>
    <row r="881" spans="1:15" x14ac:dyDescent="0.3">
      <c r="A881" t="s">
        <v>886</v>
      </c>
      <c r="B881" s="1">
        <v>45919</v>
      </c>
      <c r="C881" s="2">
        <v>199258935</v>
      </c>
      <c r="D881" s="3">
        <v>3703043</v>
      </c>
      <c r="E881" s="3">
        <v>11170</v>
      </c>
      <c r="F881">
        <f>YEAR(B881)</f>
        <v>2025</v>
      </c>
      <c r="G881" t="str">
        <f>TEXT(B881,"MMMM")</f>
        <v>September</v>
      </c>
      <c r="H881" t="str">
        <f>TEXT(B881, "DDDD")</f>
        <v>Friday</v>
      </c>
      <c r="I881">
        <f>((D881+E881)/C881)*100</f>
        <v>1.8640132749881455</v>
      </c>
      <c r="J881">
        <f>(D881/C881)*1000</f>
        <v>18.584075037839582</v>
      </c>
      <c r="K881">
        <f>(E881/C881)*1000</f>
        <v>5.6057712041871544E-2</v>
      </c>
      <c r="L881">
        <f>CORREL(C881:C1379, D881:D1379)</f>
        <v>0.77651181612549913</v>
      </c>
      <c r="M881">
        <f>CORREL(C881:C1379,E881:E1379)</f>
        <v>0.17392360485698768</v>
      </c>
      <c r="N881">
        <f>LEN(A881)</f>
        <v>36</v>
      </c>
      <c r="O881" t="str">
        <f>IF(ISNUMBER(SEARCH("$",A881)), "Money", IF(ISNUMBER(SEARCH("Win",A881)), "Challenge",IF(ISNUMBER(SEARCH("Challenge",A881)), "Challenge",IF(ISNUMBER(SEARCH("Last To Leave",A881)),"Challenge",IF(ISNUMBER(SEARCH("Giving Away", A881)),"Giveaway",IF(ISNUMBER(SEARCH("Stranded",A881)),"Survival", IF(ISNUMBER(SEARCH("Survive",A881)), "Survival", IF(ISNUMBER(SEARCH("Days",A881)),"Endurance","Other"))))))))</f>
        <v>Other</v>
      </c>
    </row>
    <row r="882" spans="1:15" x14ac:dyDescent="0.3">
      <c r="A882" t="s">
        <v>887</v>
      </c>
      <c r="B882" s="1">
        <v>46011</v>
      </c>
      <c r="C882" s="2">
        <v>196769691</v>
      </c>
      <c r="D882" s="3">
        <v>3041806</v>
      </c>
      <c r="E882" s="3">
        <v>112972</v>
      </c>
      <c r="F882">
        <f>YEAR(B882)</f>
        <v>2025</v>
      </c>
      <c r="G882" t="str">
        <f>TEXT(B882,"MMMM")</f>
        <v>December</v>
      </c>
      <c r="H882" t="str">
        <f>TEXT(B882, "DDDD")</f>
        <v>Saturday</v>
      </c>
      <c r="I882">
        <f>((D882+E882)/C882)*100</f>
        <v>1.6032845221066083</v>
      </c>
      <c r="J882">
        <f>(D882/C882)*1000</f>
        <v>15.458712083864583</v>
      </c>
      <c r="K882">
        <f>(E882/C882)*1000</f>
        <v>0.57413313720150128</v>
      </c>
      <c r="L882">
        <f>CORREL(C882:C1380, D882:D1380)</f>
        <v>0.77740357781355218</v>
      </c>
      <c r="M882">
        <f>CORREL(C882:C1380,E882:E1380)</f>
        <v>0.17438853737867263</v>
      </c>
      <c r="N882">
        <f>LEN(A882)</f>
        <v>48</v>
      </c>
      <c r="O882" t="str">
        <f>IF(ISNUMBER(SEARCH("$",A882)), "Money", IF(ISNUMBER(SEARCH("Win",A882)), "Challenge",IF(ISNUMBER(SEARCH("Challenge",A882)), "Challenge",IF(ISNUMBER(SEARCH("Last To Leave",A882)),"Challenge",IF(ISNUMBER(SEARCH("Giving Away", A882)),"Giveaway",IF(ISNUMBER(SEARCH("Stranded",A882)),"Survival", IF(ISNUMBER(SEARCH("Survive",A882)), "Survival", IF(ISNUMBER(SEARCH("Days",A882)),"Endurance","Other"))))))))</f>
        <v>Money</v>
      </c>
    </row>
    <row r="883" spans="1:15" x14ac:dyDescent="0.3">
      <c r="A883" t="s">
        <v>888</v>
      </c>
      <c r="B883" s="1">
        <v>45752</v>
      </c>
      <c r="C883" s="2">
        <v>190125569</v>
      </c>
      <c r="D883" s="3">
        <v>2919224</v>
      </c>
      <c r="E883" s="3">
        <v>9588</v>
      </c>
      <c r="F883">
        <f>YEAR(B883)</f>
        <v>2025</v>
      </c>
      <c r="G883" t="str">
        <f>TEXT(B883,"MMMM")</f>
        <v>April</v>
      </c>
      <c r="H883" t="str">
        <f>TEXT(B883, "DDDD")</f>
        <v>Saturday</v>
      </c>
      <c r="I883">
        <f>((D883+E883)/C883)*100</f>
        <v>1.5404619249292029</v>
      </c>
      <c r="J883">
        <f>(D883/C883)*1000</f>
        <v>15.354189419940672</v>
      </c>
      <c r="K883">
        <f>(E883/C883)*1000</f>
        <v>5.042982935135884E-2</v>
      </c>
      <c r="L883">
        <f>CORREL(C883:C1381, D883:D1381)</f>
        <v>0.7773928037373361</v>
      </c>
      <c r="M883">
        <f>CORREL(C883:C1381,E883:E1381)</f>
        <v>0.1741410062103799</v>
      </c>
      <c r="N883">
        <f>LEN(A883)</f>
        <v>18</v>
      </c>
      <c r="O883" t="str">
        <f>IF(ISNUMBER(SEARCH("$",A883)), "Money", IF(ISNUMBER(SEARCH("Win",A883)), "Challenge",IF(ISNUMBER(SEARCH("Challenge",A883)), "Challenge",IF(ISNUMBER(SEARCH("Last To Leave",A883)),"Challenge",IF(ISNUMBER(SEARCH("Giving Away", A883)),"Giveaway",IF(ISNUMBER(SEARCH("Stranded",A883)),"Survival", IF(ISNUMBER(SEARCH("Survive",A883)), "Survival", IF(ISNUMBER(SEARCH("Days",A883)),"Endurance","Other"))))))))</f>
        <v>Other</v>
      </c>
    </row>
    <row r="884" spans="1:15" x14ac:dyDescent="0.3">
      <c r="A884" t="s">
        <v>889</v>
      </c>
      <c r="B884" s="1">
        <v>45815</v>
      </c>
      <c r="C884" s="2">
        <v>187000357</v>
      </c>
      <c r="D884" s="3">
        <v>3613738</v>
      </c>
      <c r="E884" s="3">
        <v>63335</v>
      </c>
      <c r="F884">
        <f>YEAR(B884)</f>
        <v>2025</v>
      </c>
      <c r="G884" t="str">
        <f>TEXT(B884,"MMMM")</f>
        <v>June</v>
      </c>
      <c r="H884" t="str">
        <f>TEXT(B884, "DDDD")</f>
        <v>Saturday</v>
      </c>
      <c r="I884">
        <f>((D884+E884)/C884)*100</f>
        <v>1.9663454439287513</v>
      </c>
      <c r="J884">
        <f>(D884/C884)*1000</f>
        <v>19.32476524630378</v>
      </c>
      <c r="K884">
        <f>(E884/C884)*1000</f>
        <v>0.33868919298373318</v>
      </c>
      <c r="L884">
        <f>CORREL(C884:C1382, D884:D1382)</f>
        <v>0.77738133229601858</v>
      </c>
      <c r="M884">
        <f>CORREL(C884:C1382,E884:E1382)</f>
        <v>0.17448272145698412</v>
      </c>
      <c r="N884">
        <f>LEN(A884)</f>
        <v>19</v>
      </c>
      <c r="O884" t="str">
        <f>IF(ISNUMBER(SEARCH("$",A884)), "Money", IF(ISNUMBER(SEARCH("Win",A884)), "Challenge",IF(ISNUMBER(SEARCH("Challenge",A884)), "Challenge",IF(ISNUMBER(SEARCH("Last To Leave",A884)),"Challenge",IF(ISNUMBER(SEARCH("Giving Away", A884)),"Giveaway",IF(ISNUMBER(SEARCH("Stranded",A884)),"Survival", IF(ISNUMBER(SEARCH("Survive",A884)), "Survival", IF(ISNUMBER(SEARCH("Days",A884)),"Endurance","Other"))))))))</f>
        <v>Money</v>
      </c>
    </row>
    <row r="885" spans="1:15" x14ac:dyDescent="0.3">
      <c r="A885" t="s">
        <v>890</v>
      </c>
      <c r="B885" s="1">
        <v>45738</v>
      </c>
      <c r="C885" s="2">
        <v>186541093</v>
      </c>
      <c r="D885" s="3">
        <v>3333829</v>
      </c>
      <c r="E885" s="3">
        <v>55550</v>
      </c>
      <c r="F885">
        <f>YEAR(B885)</f>
        <v>2025</v>
      </c>
      <c r="G885" t="str">
        <f>TEXT(B885,"MMMM")</f>
        <v>March</v>
      </c>
      <c r="H885" t="str">
        <f>TEXT(B885, "DDDD")</f>
        <v>Saturday</v>
      </c>
      <c r="I885">
        <f>((D885+E885)/C885)*100</f>
        <v>1.816961048898754</v>
      </c>
      <c r="J885">
        <f>(D885/C885)*1000</f>
        <v>17.871820875414297</v>
      </c>
      <c r="K885">
        <f>(E885/C885)*1000</f>
        <v>0.29778961357324096</v>
      </c>
      <c r="L885">
        <f>CORREL(C885:C1383, D885:D1383)</f>
        <v>0.77840923802548601</v>
      </c>
      <c r="M885">
        <f>CORREL(C885:C1383,E885:E1383)</f>
        <v>0.17448563251739538</v>
      </c>
      <c r="N885">
        <f>LEN(A885)</f>
        <v>42</v>
      </c>
      <c r="O885" t="str">
        <f>IF(ISNUMBER(SEARCH("$",A885)), "Money", IF(ISNUMBER(SEARCH("Win",A885)), "Challenge",IF(ISNUMBER(SEARCH("Challenge",A885)), "Challenge",IF(ISNUMBER(SEARCH("Last To Leave",A885)),"Challenge",IF(ISNUMBER(SEARCH("Giving Away", A885)),"Giveaway",IF(ISNUMBER(SEARCH("Stranded",A885)),"Survival", IF(ISNUMBER(SEARCH("Survive",A885)), "Survival", IF(ISNUMBER(SEARCH("Days",A885)),"Endurance","Other"))))))))</f>
        <v>Survival</v>
      </c>
    </row>
    <row r="886" spans="1:15" x14ac:dyDescent="0.3">
      <c r="A886" t="s">
        <v>891</v>
      </c>
      <c r="B886" s="1">
        <v>45941</v>
      </c>
      <c r="C886" s="2">
        <v>181215573</v>
      </c>
      <c r="D886" s="3">
        <v>2908608</v>
      </c>
      <c r="E886" s="3">
        <v>52877</v>
      </c>
      <c r="F886">
        <f>YEAR(B886)</f>
        <v>2025</v>
      </c>
      <c r="G886" t="str">
        <f>TEXT(B886,"MMMM")</f>
        <v>October</v>
      </c>
      <c r="H886" t="str">
        <f>TEXT(B886, "DDDD")</f>
        <v>Saturday</v>
      </c>
      <c r="I886">
        <f>((D886+E886)/C886)*100</f>
        <v>1.6342331682498392</v>
      </c>
      <c r="J886">
        <f>(D886/C886)*1000</f>
        <v>16.050541086775141</v>
      </c>
      <c r="K886">
        <f>(E886/C886)*1000</f>
        <v>0.2917905957232495</v>
      </c>
      <c r="L886">
        <f>CORREL(C886:C1384, D886:D1384)</f>
        <v>0.77885167530085864</v>
      </c>
      <c r="M886">
        <f>CORREL(C886:C1384,E886:E1384)</f>
        <v>0.17451994868574558</v>
      </c>
      <c r="N886">
        <f>LEN(A886)</f>
        <v>34</v>
      </c>
      <c r="O886" t="str">
        <f>IF(ISNUMBER(SEARCH("$",A886)), "Money", IF(ISNUMBER(SEARCH("Win",A886)), "Challenge",IF(ISNUMBER(SEARCH("Challenge",A886)), "Challenge",IF(ISNUMBER(SEARCH("Last To Leave",A886)),"Challenge",IF(ISNUMBER(SEARCH("Giving Away", A886)),"Giveaway",IF(ISNUMBER(SEARCH("Stranded",A886)),"Survival", IF(ISNUMBER(SEARCH("Survive",A886)), "Survival", IF(ISNUMBER(SEARCH("Days",A886)),"Endurance","Other"))))))))</f>
        <v>Other</v>
      </c>
    </row>
    <row r="887" spans="1:15" x14ac:dyDescent="0.3">
      <c r="A887" t="s">
        <v>892</v>
      </c>
      <c r="B887" s="1">
        <v>45871</v>
      </c>
      <c r="C887" s="2">
        <v>178862990</v>
      </c>
      <c r="D887" s="3">
        <v>4742799</v>
      </c>
      <c r="E887" s="3">
        <v>20410</v>
      </c>
      <c r="F887">
        <f>YEAR(B887)</f>
        <v>2025</v>
      </c>
      <c r="G887" t="str">
        <f>TEXT(B887,"MMMM")</f>
        <v>August</v>
      </c>
      <c r="H887" t="str">
        <f>TEXT(B887, "DDDD")</f>
        <v>Saturday</v>
      </c>
      <c r="I887">
        <f>((D887+E887)/C887)*100</f>
        <v>2.6630489627843077</v>
      </c>
      <c r="J887">
        <f>(D887/C887)*1000</f>
        <v>26.516379939751651</v>
      </c>
      <c r="K887">
        <f>(E887/C887)*1000</f>
        <v>0.11410968809142685</v>
      </c>
      <c r="L887">
        <f>CORREL(C887:C1385, D887:D1385)</f>
        <v>0.7788852984828476</v>
      </c>
      <c r="M887">
        <f>CORREL(C887:C1385,E887:E1385)</f>
        <v>0.17454849348609097</v>
      </c>
      <c r="N887">
        <f>LEN(A887)</f>
        <v>29</v>
      </c>
      <c r="O887" t="str">
        <f>IF(ISNUMBER(SEARCH("$",A887)), "Money", IF(ISNUMBER(SEARCH("Win",A887)), "Challenge",IF(ISNUMBER(SEARCH("Challenge",A887)), "Challenge",IF(ISNUMBER(SEARCH("Last To Leave",A887)),"Challenge",IF(ISNUMBER(SEARCH("Giving Away", A887)),"Giveaway",IF(ISNUMBER(SEARCH("Stranded",A887)),"Survival", IF(ISNUMBER(SEARCH("Survive",A887)), "Survival", IF(ISNUMBER(SEARCH("Days",A887)),"Endurance","Other"))))))))</f>
        <v>Money</v>
      </c>
    </row>
    <row r="888" spans="1:15" x14ac:dyDescent="0.3">
      <c r="A888" t="s">
        <v>893</v>
      </c>
      <c r="B888" s="1">
        <v>45888</v>
      </c>
      <c r="C888" s="2">
        <v>178688228</v>
      </c>
      <c r="D888" s="3">
        <v>2441893</v>
      </c>
      <c r="E888" s="3">
        <v>11452</v>
      </c>
      <c r="F888">
        <f>YEAR(B888)</f>
        <v>2025</v>
      </c>
      <c r="G888" t="str">
        <f>TEXT(B888,"MMMM")</f>
        <v>August</v>
      </c>
      <c r="H888" t="str">
        <f>TEXT(B888, "DDDD")</f>
        <v>Tuesday</v>
      </c>
      <c r="I888">
        <f>((D888+E888)/C888)*100</f>
        <v>1.3729751687951151</v>
      </c>
      <c r="J888">
        <f>(D888/C888)*1000</f>
        <v>13.665662407262777</v>
      </c>
      <c r="K888">
        <f>(E888/C888)*1000</f>
        <v>6.4089280688373051E-2</v>
      </c>
      <c r="L888">
        <f>CORREL(C888:C1386, D888:D1386)</f>
        <v>0.78581324356925653</v>
      </c>
      <c r="M888">
        <f>CORREL(C888:C1386,E888:E1386)</f>
        <v>0.17467536879810358</v>
      </c>
      <c r="N888">
        <f>LEN(A888)</f>
        <v>23</v>
      </c>
      <c r="O888" t="str">
        <f>IF(ISNUMBER(SEARCH("$",A888)), "Money", IF(ISNUMBER(SEARCH("Win",A888)), "Challenge",IF(ISNUMBER(SEARCH("Challenge",A888)), "Challenge",IF(ISNUMBER(SEARCH("Last To Leave",A888)),"Challenge",IF(ISNUMBER(SEARCH("Giving Away", A888)),"Giveaway",IF(ISNUMBER(SEARCH("Stranded",A888)),"Survival", IF(ISNUMBER(SEARCH("Survive",A888)), "Survival", IF(ISNUMBER(SEARCH("Days",A888)),"Endurance","Other"))))))))</f>
        <v>Challenge</v>
      </c>
    </row>
    <row r="889" spans="1:15" x14ac:dyDescent="0.3">
      <c r="A889" t="s">
        <v>894</v>
      </c>
      <c r="B889" s="1">
        <v>45899</v>
      </c>
      <c r="C889" s="2">
        <v>177553714</v>
      </c>
      <c r="D889" s="3">
        <v>3001984</v>
      </c>
      <c r="E889" s="3">
        <v>38785</v>
      </c>
      <c r="F889">
        <f>YEAR(B889)</f>
        <v>2025</v>
      </c>
      <c r="G889" t="str">
        <f>TEXT(B889,"MMMM")</f>
        <v>August</v>
      </c>
      <c r="H889" t="str">
        <f>TEXT(B889, "DDDD")</f>
        <v>Saturday</v>
      </c>
      <c r="I889">
        <f>((D889+E889)/C889)*100</f>
        <v>1.7125910416044579</v>
      </c>
      <c r="J889">
        <f>(D889/C889)*1000</f>
        <v>16.907469477095816</v>
      </c>
      <c r="K889">
        <f>(E889/C889)*1000</f>
        <v>0.21844093894876226</v>
      </c>
      <c r="L889">
        <f>CORREL(C889:C1387, D889:D1387)</f>
        <v>0.78593879668944111</v>
      </c>
      <c r="M889">
        <f>CORREL(C889:C1387,E889:E1387)</f>
        <v>0.17484262103802267</v>
      </c>
      <c r="N889">
        <f>LEN(A889)</f>
        <v>36</v>
      </c>
      <c r="O889" t="str">
        <f>IF(ISNUMBER(SEARCH("$",A889)), "Money", IF(ISNUMBER(SEARCH("Win",A889)), "Challenge",IF(ISNUMBER(SEARCH("Challenge",A889)), "Challenge",IF(ISNUMBER(SEARCH("Last To Leave",A889)),"Challenge",IF(ISNUMBER(SEARCH("Giving Away", A889)),"Giveaway",IF(ISNUMBER(SEARCH("Stranded",A889)),"Survival", IF(ISNUMBER(SEARCH("Survive",A889)), "Survival", IF(ISNUMBER(SEARCH("Days",A889)),"Endurance","Other"))))))))</f>
        <v>Money</v>
      </c>
    </row>
    <row r="890" spans="1:15" x14ac:dyDescent="0.3">
      <c r="A890" t="s">
        <v>895</v>
      </c>
      <c r="B890" s="1">
        <v>45801</v>
      </c>
      <c r="C890" s="2">
        <v>176262841</v>
      </c>
      <c r="D890" s="3">
        <v>3668917</v>
      </c>
      <c r="E890" s="3">
        <v>82074</v>
      </c>
      <c r="F890">
        <f>YEAR(B890)</f>
        <v>2025</v>
      </c>
      <c r="G890" t="str">
        <f>TEXT(B890,"MMMM")</f>
        <v>May</v>
      </c>
      <c r="H890" t="str">
        <f>TEXT(B890, "DDDD")</f>
        <v>Saturday</v>
      </c>
      <c r="I890">
        <f>((D890+E890)/C890)*100</f>
        <v>2.1280667999672152</v>
      </c>
      <c r="J890">
        <f>(D890/C890)*1000</f>
        <v>20.81503383915161</v>
      </c>
      <c r="K890">
        <f>(E890/C890)*1000</f>
        <v>0.46563416052053758</v>
      </c>
      <c r="L890">
        <f>CORREL(C890:C1388, D890:D1388)</f>
        <v>0.7860919702388296</v>
      </c>
      <c r="M890">
        <f>CORREL(C890:C1388,E890:E1388)</f>
        <v>0.17489626239306832</v>
      </c>
      <c r="N890">
        <f>LEN(A890)</f>
        <v>25</v>
      </c>
      <c r="O890" t="str">
        <f>IF(ISNUMBER(SEARCH("$",A890)), "Money", IF(ISNUMBER(SEARCH("Win",A890)), "Challenge",IF(ISNUMBER(SEARCH("Challenge",A890)), "Challenge",IF(ISNUMBER(SEARCH("Last To Leave",A890)),"Challenge",IF(ISNUMBER(SEARCH("Giving Away", A890)),"Giveaway",IF(ISNUMBER(SEARCH("Stranded",A890)),"Survival", IF(ISNUMBER(SEARCH("Survive",A890)), "Survival", IF(ISNUMBER(SEARCH("Days",A890)),"Endurance","Other"))))))))</f>
        <v>Money</v>
      </c>
    </row>
    <row r="891" spans="1:15" x14ac:dyDescent="0.3">
      <c r="A891" t="s">
        <v>896</v>
      </c>
      <c r="B891" s="1">
        <v>45682</v>
      </c>
      <c r="C891" s="2">
        <v>173301150</v>
      </c>
      <c r="D891" s="3">
        <v>3229296</v>
      </c>
      <c r="E891" s="3">
        <v>77921</v>
      </c>
      <c r="F891">
        <f>YEAR(B891)</f>
        <v>2025</v>
      </c>
      <c r="G891" t="str">
        <f>TEXT(B891,"MMMM")</f>
        <v>January</v>
      </c>
      <c r="H891" t="str">
        <f>TEXT(B891, "DDDD")</f>
        <v>Saturday</v>
      </c>
      <c r="I891">
        <f>((D891+E891)/C891)*100</f>
        <v>1.9083641395339845</v>
      </c>
      <c r="J891">
        <f>(D891/C891)*1000</f>
        <v>18.634013680809389</v>
      </c>
      <c r="K891">
        <f>(E891/C891)*1000</f>
        <v>0.44962771453045752</v>
      </c>
      <c r="L891">
        <f>CORREL(C891:C1389, D891:D1389)</f>
        <v>0.78777216790639759</v>
      </c>
      <c r="M891">
        <f>CORREL(C891:C1389,E891:E1389)</f>
        <v>0.17488819257195248</v>
      </c>
      <c r="N891">
        <f>LEN(A891)</f>
        <v>37</v>
      </c>
      <c r="O891" t="str">
        <f>IF(ISNUMBER(SEARCH("$",A891)), "Money", IF(ISNUMBER(SEARCH("Win",A891)), "Challenge",IF(ISNUMBER(SEARCH("Challenge",A891)), "Challenge",IF(ISNUMBER(SEARCH("Last To Leave",A891)),"Challenge",IF(ISNUMBER(SEARCH("Giving Away", A891)),"Giveaway",IF(ISNUMBER(SEARCH("Stranded",A891)),"Survival", IF(ISNUMBER(SEARCH("Survive",A891)), "Survival", IF(ISNUMBER(SEARCH("Days",A891)),"Endurance","Other"))))))))</f>
        <v>Other</v>
      </c>
    </row>
    <row r="892" spans="1:15" x14ac:dyDescent="0.3">
      <c r="A892" t="s">
        <v>897</v>
      </c>
      <c r="B892" s="1">
        <v>45858</v>
      </c>
      <c r="C892" s="2">
        <v>171703201</v>
      </c>
      <c r="D892" s="3">
        <v>2534538</v>
      </c>
      <c r="E892" s="3">
        <v>7607</v>
      </c>
      <c r="F892">
        <f>YEAR(B892)</f>
        <v>2025</v>
      </c>
      <c r="G892" t="str">
        <f>TEXT(B892,"MMMM")</f>
        <v>July</v>
      </c>
      <c r="H892" t="str">
        <f>TEXT(B892, "DDDD")</f>
        <v>Sunday</v>
      </c>
      <c r="I892">
        <f>((D892+E892)/C892)*100</f>
        <v>1.480546073220848</v>
      </c>
      <c r="J892">
        <f>(D892/C892)*1000</f>
        <v>14.761157539514945</v>
      </c>
      <c r="K892">
        <f>(E892/C892)*1000</f>
        <v>4.4303192693536331E-2</v>
      </c>
      <c r="L892">
        <f>CORREL(C892:C1390, D892:D1390)</f>
        <v>0.78836053843132525</v>
      </c>
      <c r="M892">
        <f>CORREL(C892:C1390,E892:E1390)</f>
        <v>0.1748917123783951</v>
      </c>
      <c r="N892">
        <f>LEN(A892)</f>
        <v>28</v>
      </c>
      <c r="O892" t="str">
        <f>IF(ISNUMBER(SEARCH("$",A892)), "Money", IF(ISNUMBER(SEARCH("Win",A892)), "Challenge",IF(ISNUMBER(SEARCH("Challenge",A892)), "Challenge",IF(ISNUMBER(SEARCH("Last To Leave",A892)),"Challenge",IF(ISNUMBER(SEARCH("Giving Away", A892)),"Giveaway",IF(ISNUMBER(SEARCH("Stranded",A892)),"Survival", IF(ISNUMBER(SEARCH("Survive",A892)), "Survival", IF(ISNUMBER(SEARCH("Days",A892)),"Endurance","Other"))))))))</f>
        <v>Money</v>
      </c>
    </row>
    <row r="893" spans="1:15" x14ac:dyDescent="0.3">
      <c r="A893" t="s">
        <v>898</v>
      </c>
      <c r="B893" s="1">
        <v>46003</v>
      </c>
      <c r="C893" s="2">
        <v>168651797</v>
      </c>
      <c r="D893" s="3">
        <v>3946052</v>
      </c>
      <c r="E893" s="3">
        <v>25493</v>
      </c>
      <c r="F893">
        <f>YEAR(B893)</f>
        <v>2025</v>
      </c>
      <c r="G893" t="str">
        <f>TEXT(B893,"MMMM")</f>
        <v>December</v>
      </c>
      <c r="H893" t="str">
        <f>TEXT(B893, "DDDD")</f>
        <v>Friday</v>
      </c>
      <c r="I893">
        <f>((D893+E893)/C893)*100</f>
        <v>2.3548785548961568</v>
      </c>
      <c r="J893">
        <f>(D893/C893)*1000</f>
        <v>23.397627954121354</v>
      </c>
      <c r="K893">
        <f>(E893/C893)*1000</f>
        <v>0.15115759484021388</v>
      </c>
      <c r="L893">
        <f>CORREL(C893:C1391, D893:D1391)</f>
        <v>0.78837643344561792</v>
      </c>
      <c r="M893">
        <f>CORREL(C893:C1391,E893:E1391)</f>
        <v>0.17496784441643162</v>
      </c>
      <c r="N893">
        <f>LEN(A893)</f>
        <v>31</v>
      </c>
      <c r="O893" t="str">
        <f>IF(ISNUMBER(SEARCH("$",A893)), "Money", IF(ISNUMBER(SEARCH("Win",A893)), "Challenge",IF(ISNUMBER(SEARCH("Challenge",A893)), "Challenge",IF(ISNUMBER(SEARCH("Last To Leave",A893)),"Challenge",IF(ISNUMBER(SEARCH("Giving Away", A893)),"Giveaway",IF(ISNUMBER(SEARCH("Stranded",A893)),"Survival", IF(ISNUMBER(SEARCH("Survive",A893)), "Survival", IF(ISNUMBER(SEARCH("Days",A893)),"Endurance","Other"))))))))</f>
        <v>Money</v>
      </c>
    </row>
    <row r="894" spans="1:15" x14ac:dyDescent="0.3">
      <c r="A894" t="s">
        <v>899</v>
      </c>
      <c r="B894" s="1">
        <v>45844</v>
      </c>
      <c r="C894" s="2">
        <v>168534666</v>
      </c>
      <c r="D894" s="3">
        <v>3384080</v>
      </c>
      <c r="E894" s="3">
        <v>15077</v>
      </c>
      <c r="F894">
        <f>YEAR(B894)</f>
        <v>2025</v>
      </c>
      <c r="G894" t="str">
        <f>TEXT(B894,"MMMM")</f>
        <v>July</v>
      </c>
      <c r="H894" t="str">
        <f>TEXT(B894, "DDDD")</f>
        <v>Sunday</v>
      </c>
      <c r="I894">
        <f>((D894+E894)/C894)*100</f>
        <v>2.0168889170848683</v>
      </c>
      <c r="J894">
        <f>(D894/C894)*1000</f>
        <v>20.079429830774401</v>
      </c>
      <c r="K894">
        <f>(E894/C894)*1000</f>
        <v>8.9459340074284771E-2</v>
      </c>
      <c r="L894">
        <f>CORREL(C894:C1392, D894:D1392)</f>
        <v>0.79157481023583998</v>
      </c>
      <c r="M894">
        <f>CORREL(C894:C1392,E894:E1392)</f>
        <v>0.17496641595620116</v>
      </c>
      <c r="N894">
        <f>LEN(A894)</f>
        <v>17</v>
      </c>
      <c r="O894" t="str">
        <f>IF(ISNUMBER(SEARCH("$",A894)), "Money", IF(ISNUMBER(SEARCH("Win",A894)), "Challenge",IF(ISNUMBER(SEARCH("Challenge",A894)), "Challenge",IF(ISNUMBER(SEARCH("Last To Leave",A894)),"Challenge",IF(ISNUMBER(SEARCH("Giving Away", A894)),"Giveaway",IF(ISNUMBER(SEARCH("Stranded",A894)),"Survival", IF(ISNUMBER(SEARCH("Survive",A894)), "Survival", IF(ISNUMBER(SEARCH("Days",A894)),"Endurance","Other"))))))))</f>
        <v>Other</v>
      </c>
    </row>
    <row r="895" spans="1:15" x14ac:dyDescent="0.3">
      <c r="A895" t="s">
        <v>900</v>
      </c>
      <c r="B895" s="1">
        <v>45896</v>
      </c>
      <c r="C895" s="2">
        <v>165303961</v>
      </c>
      <c r="D895" s="3">
        <v>3418943</v>
      </c>
      <c r="E895" s="3">
        <v>10267</v>
      </c>
      <c r="F895">
        <f>YEAR(B895)</f>
        <v>2025</v>
      </c>
      <c r="G895" t="str">
        <f>TEXT(B895,"MMMM")</f>
        <v>August</v>
      </c>
      <c r="H895" t="str">
        <f>TEXT(B895, "DDDD")</f>
        <v>Wednesday</v>
      </c>
      <c r="I895">
        <f>((D895+E895)/C895)*100</f>
        <v>2.0744874951907537</v>
      </c>
      <c r="J895">
        <f>(D895/C895)*1000</f>
        <v>20.682765127449063</v>
      </c>
      <c r="K895">
        <f>(E895/C895)*1000</f>
        <v>6.210982445847138E-2</v>
      </c>
      <c r="L895">
        <f>CORREL(C895:C1393, D895:D1393)</f>
        <v>0.79270797590575237</v>
      </c>
      <c r="M895">
        <f>CORREL(C895:C1393,E895:E1393)</f>
        <v>0.17497818028048281</v>
      </c>
      <c r="N895">
        <f>LEN(A895)</f>
        <v>31</v>
      </c>
      <c r="O895" t="str">
        <f>IF(ISNUMBER(SEARCH("$",A895)), "Money", IF(ISNUMBER(SEARCH("Win",A895)), "Challenge",IF(ISNUMBER(SEARCH("Challenge",A895)), "Challenge",IF(ISNUMBER(SEARCH("Last To Leave",A895)),"Challenge",IF(ISNUMBER(SEARCH("Giving Away", A895)),"Giveaway",IF(ISNUMBER(SEARCH("Stranded",A895)),"Survival", IF(ISNUMBER(SEARCH("Survive",A895)), "Survival", IF(ISNUMBER(SEARCH("Days",A895)),"Endurance","Other"))))))))</f>
        <v>Other</v>
      </c>
    </row>
    <row r="896" spans="1:15" x14ac:dyDescent="0.3">
      <c r="A896" t="s">
        <v>901</v>
      </c>
      <c r="B896" s="1">
        <v>45724</v>
      </c>
      <c r="C896" s="2">
        <v>164366665</v>
      </c>
      <c r="D896" s="3">
        <v>4253225</v>
      </c>
      <c r="E896" s="3">
        <v>9118</v>
      </c>
      <c r="F896">
        <f>YEAR(B896)</f>
        <v>2025</v>
      </c>
      <c r="G896" t="str">
        <f>TEXT(B896,"MMMM")</f>
        <v>March</v>
      </c>
      <c r="H896" t="str">
        <f>TEXT(B896, "DDDD")</f>
        <v>Saturday</v>
      </c>
      <c r="I896">
        <f>((D896+E896)/C896)*100</f>
        <v>2.5931918737902238</v>
      </c>
      <c r="J896">
        <f>(D896/C896)*1000</f>
        <v>25.876445202559776</v>
      </c>
      <c r="K896">
        <f>(E896/C896)*1000</f>
        <v>5.5473535342461321E-2</v>
      </c>
      <c r="L896">
        <f>CORREL(C896:C1394, D896:D1394)</f>
        <v>0.79406340052984947</v>
      </c>
      <c r="M896">
        <f>CORREL(C896:C1394,E896:E1394)</f>
        <v>0.17494827581331832</v>
      </c>
      <c r="N896">
        <f>LEN(A896)</f>
        <v>21</v>
      </c>
      <c r="O896" t="str">
        <f>IF(ISNUMBER(SEARCH("$",A896)), "Money", IF(ISNUMBER(SEARCH("Win",A896)), "Challenge",IF(ISNUMBER(SEARCH("Challenge",A896)), "Challenge",IF(ISNUMBER(SEARCH("Last To Leave",A896)),"Challenge",IF(ISNUMBER(SEARCH("Giving Away", A896)),"Giveaway",IF(ISNUMBER(SEARCH("Stranded",A896)),"Survival", IF(ISNUMBER(SEARCH("Survive",A896)), "Survival", IF(ISNUMBER(SEARCH("Days",A896)),"Endurance","Other"))))))))</f>
        <v>Challenge</v>
      </c>
    </row>
    <row r="897" spans="1:15" x14ac:dyDescent="0.3">
      <c r="A897" t="s">
        <v>902</v>
      </c>
      <c r="B897" s="1">
        <v>45885</v>
      </c>
      <c r="C897" s="2">
        <v>161865836</v>
      </c>
      <c r="D897" s="3">
        <v>3177522</v>
      </c>
      <c r="E897" s="3">
        <v>43701</v>
      </c>
      <c r="F897">
        <f>YEAR(B897)</f>
        <v>2025</v>
      </c>
      <c r="G897" t="str">
        <f>TEXT(B897,"MMMM")</f>
        <v>August</v>
      </c>
      <c r="H897" t="str">
        <f>TEXT(B897, "DDDD")</f>
        <v>Saturday</v>
      </c>
      <c r="I897">
        <f>((D897+E897)/C897)*100</f>
        <v>1.9900573707227511</v>
      </c>
      <c r="J897">
        <f>(D897/C897)*1000</f>
        <v>19.630590855503321</v>
      </c>
      <c r="K897">
        <f>(E897/C897)*1000</f>
        <v>0.26998285172418968</v>
      </c>
      <c r="L897">
        <f>CORREL(C897:C1395, D897:D1395)</f>
        <v>0.79944193550311782</v>
      </c>
      <c r="M897">
        <f>CORREL(C897:C1395,E897:E1395)</f>
        <v>0.17490384815551305</v>
      </c>
      <c r="N897">
        <f>LEN(A897)</f>
        <v>40</v>
      </c>
      <c r="O897" t="str">
        <f>IF(ISNUMBER(SEARCH("$",A897)), "Money", IF(ISNUMBER(SEARCH("Win",A897)), "Challenge",IF(ISNUMBER(SEARCH("Challenge",A897)), "Challenge",IF(ISNUMBER(SEARCH("Last To Leave",A897)),"Challenge",IF(ISNUMBER(SEARCH("Giving Away", A897)),"Giveaway",IF(ISNUMBER(SEARCH("Stranded",A897)),"Survival", IF(ISNUMBER(SEARCH("Survive",A897)), "Survival", IF(ISNUMBER(SEARCH("Days",A897)),"Endurance","Other"))))))))</f>
        <v>Money</v>
      </c>
    </row>
    <row r="898" spans="1:15" x14ac:dyDescent="0.3">
      <c r="A898" t="s">
        <v>903</v>
      </c>
      <c r="B898" s="1">
        <v>45947</v>
      </c>
      <c r="C898" s="2">
        <v>158411940</v>
      </c>
      <c r="D898" s="3">
        <v>2642671</v>
      </c>
      <c r="E898" s="3">
        <v>11269</v>
      </c>
      <c r="F898">
        <f>YEAR(B898)</f>
        <v>2025</v>
      </c>
      <c r="G898" t="str">
        <f>TEXT(B898,"MMMM")</f>
        <v>October</v>
      </c>
      <c r="H898" t="str">
        <f>TEXT(B898, "DDDD")</f>
        <v>Friday</v>
      </c>
      <c r="I898">
        <f>((D898+E898)/C898)*100</f>
        <v>1.6753408865518595</v>
      </c>
      <c r="J898">
        <f>(D898/C898)*1000</f>
        <v>16.682271550995463</v>
      </c>
      <c r="K898">
        <f>(E898/C898)*1000</f>
        <v>7.1137314523135056E-2</v>
      </c>
      <c r="L898">
        <f>CORREL(C898:C1396, D898:D1396)</f>
        <v>0.80030250740320252</v>
      </c>
      <c r="M898">
        <f>CORREL(C898:C1396,E898:E1396)</f>
        <v>0.17484727660082663</v>
      </c>
      <c r="N898">
        <f>LEN(A898)</f>
        <v>39</v>
      </c>
      <c r="O898" t="str">
        <f>IF(ISNUMBER(SEARCH("$",A898)), "Money", IF(ISNUMBER(SEARCH("Win",A898)), "Challenge",IF(ISNUMBER(SEARCH("Challenge",A898)), "Challenge",IF(ISNUMBER(SEARCH("Last To Leave",A898)),"Challenge",IF(ISNUMBER(SEARCH("Giving Away", A898)),"Giveaway",IF(ISNUMBER(SEARCH("Stranded",A898)),"Survival", IF(ISNUMBER(SEARCH("Survive",A898)), "Survival", IF(ISNUMBER(SEARCH("Days",A898)),"Endurance","Other"))))))))</f>
        <v>Money</v>
      </c>
    </row>
    <row r="899" spans="1:15" x14ac:dyDescent="0.3">
      <c r="A899" t="s">
        <v>904</v>
      </c>
      <c r="B899" s="1">
        <v>45857</v>
      </c>
      <c r="C899" s="2">
        <v>157692766</v>
      </c>
      <c r="D899" s="3">
        <v>3583849</v>
      </c>
      <c r="E899" s="3">
        <v>47726</v>
      </c>
      <c r="F899">
        <f>YEAR(B899)</f>
        <v>2025</v>
      </c>
      <c r="G899" t="str">
        <f>TEXT(B899,"MMMM")</f>
        <v>July</v>
      </c>
      <c r="H899" t="str">
        <f>TEXT(B899, "DDDD")</f>
        <v>Saturday</v>
      </c>
      <c r="I899">
        <f>((D899+E899)/C899)*100</f>
        <v>2.3029433068603793</v>
      </c>
      <c r="J899">
        <f>(D899/C899)*1000</f>
        <v>22.726781265286451</v>
      </c>
      <c r="K899">
        <f>(E899/C899)*1000</f>
        <v>0.30265180331734431</v>
      </c>
      <c r="L899">
        <f>CORREL(C899:C1397, D899:D1397)</f>
        <v>0.80035805096049661</v>
      </c>
      <c r="M899">
        <f>CORREL(C899:C1397,E899:E1397)</f>
        <v>0.17470496752776504</v>
      </c>
      <c r="N899">
        <f>LEN(A899)</f>
        <v>50</v>
      </c>
      <c r="O899" t="str">
        <f>IF(ISNUMBER(SEARCH("$",A899)), "Money", IF(ISNUMBER(SEARCH("Win",A899)), "Challenge",IF(ISNUMBER(SEARCH("Challenge",A899)), "Challenge",IF(ISNUMBER(SEARCH("Last To Leave",A899)),"Challenge",IF(ISNUMBER(SEARCH("Giving Away", A899)),"Giveaway",IF(ISNUMBER(SEARCH("Stranded",A899)),"Survival", IF(ISNUMBER(SEARCH("Survive",A899)), "Survival", IF(ISNUMBER(SEARCH("Days",A899)),"Endurance","Other"))))))))</f>
        <v>Survival</v>
      </c>
    </row>
    <row r="900" spans="1:15" x14ac:dyDescent="0.3">
      <c r="A900" t="s">
        <v>905</v>
      </c>
      <c r="B900" s="1">
        <v>45937</v>
      </c>
      <c r="C900" s="2">
        <v>153489625</v>
      </c>
      <c r="D900" s="3">
        <v>3543720</v>
      </c>
      <c r="E900" s="3">
        <v>13094</v>
      </c>
      <c r="F900">
        <f>YEAR(B900)</f>
        <v>2025</v>
      </c>
      <c r="G900" t="str">
        <f>TEXT(B900,"MMMM")</f>
        <v>October</v>
      </c>
      <c r="H900" t="str">
        <f>TEXT(B900, "DDDD")</f>
        <v>Tuesday</v>
      </c>
      <c r="I900">
        <f>((D900+E900)/C900)*100</f>
        <v>2.3172992962879411</v>
      </c>
      <c r="J900">
        <f>(D900/C900)*1000</f>
        <v>23.087684265304578</v>
      </c>
      <c r="K900">
        <f>(E900/C900)*1000</f>
        <v>8.5308697574836084E-2</v>
      </c>
      <c r="L900">
        <f>CORREL(C900:C1398, D900:D1398)</f>
        <v>0.80274839911635154</v>
      </c>
      <c r="M900">
        <f>CORREL(C900:C1398,E900:E1398)</f>
        <v>0.17463128228645128</v>
      </c>
      <c r="N900">
        <f>LEN(A900)</f>
        <v>25</v>
      </c>
      <c r="O900" t="str">
        <f>IF(ISNUMBER(SEARCH("$",A900)), "Money", IF(ISNUMBER(SEARCH("Win",A900)), "Challenge",IF(ISNUMBER(SEARCH("Challenge",A900)), "Challenge",IF(ISNUMBER(SEARCH("Last To Leave",A900)),"Challenge",IF(ISNUMBER(SEARCH("Giving Away", A900)),"Giveaway",IF(ISNUMBER(SEARCH("Stranded",A900)),"Survival", IF(ISNUMBER(SEARCH("Survive",A900)), "Survival", IF(ISNUMBER(SEARCH("Days",A900)),"Endurance","Other"))))))))</f>
        <v>Money</v>
      </c>
    </row>
    <row r="901" spans="1:15" x14ac:dyDescent="0.3">
      <c r="A901" t="s">
        <v>906</v>
      </c>
      <c r="B901" s="1">
        <v>45997</v>
      </c>
      <c r="C901" s="2">
        <v>152688952</v>
      </c>
      <c r="D901" s="3">
        <v>1961174</v>
      </c>
      <c r="E901" s="3">
        <v>74377</v>
      </c>
      <c r="F901">
        <f>YEAR(B901)</f>
        <v>2025</v>
      </c>
      <c r="G901" t="str">
        <f>TEXT(B901,"MMMM")</f>
        <v>December</v>
      </c>
      <c r="H901" t="str">
        <f>TEXT(B901, "DDDD")</f>
        <v>Saturday</v>
      </c>
      <c r="I901">
        <f>((D901+E901)/C901)*100</f>
        <v>1.3331357464553166</v>
      </c>
      <c r="J901">
        <f>(D901/C901)*1000</f>
        <v>12.844242980985292</v>
      </c>
      <c r="K901">
        <f>(E901/C901)*1000</f>
        <v>0.48711448356787462</v>
      </c>
      <c r="L901">
        <f>CORREL(C901:C1399, D901:D1399)</f>
        <v>0.80519249639197077</v>
      </c>
      <c r="M901">
        <f>CORREL(C901:C1399,E901:E1399)</f>
        <v>0.1744099731833206</v>
      </c>
      <c r="N901">
        <f>LEN(A901)</f>
        <v>34</v>
      </c>
      <c r="O901" t="str">
        <f>IF(ISNUMBER(SEARCH("$",A901)), "Money", IF(ISNUMBER(SEARCH("Win",A901)), "Challenge",IF(ISNUMBER(SEARCH("Challenge",A901)), "Challenge",IF(ISNUMBER(SEARCH("Last To Leave",A901)),"Challenge",IF(ISNUMBER(SEARCH("Giving Away", A901)),"Giveaway",IF(ISNUMBER(SEARCH("Stranded",A901)),"Survival", IF(ISNUMBER(SEARCH("Survive",A901)), "Survival", IF(ISNUMBER(SEARCH("Days",A901)),"Endurance","Other"))))))))</f>
        <v>Other</v>
      </c>
    </row>
    <row r="902" spans="1:15" x14ac:dyDescent="0.3">
      <c r="A902" t="s">
        <v>907</v>
      </c>
      <c r="B902" s="1">
        <v>45668</v>
      </c>
      <c r="C902" s="2">
        <v>145513197</v>
      </c>
      <c r="D902" s="3">
        <v>3021109</v>
      </c>
      <c r="E902" s="3">
        <v>56096</v>
      </c>
      <c r="F902">
        <f>YEAR(B902)</f>
        <v>2025</v>
      </c>
      <c r="G902" t="str">
        <f>TEXT(B902,"MMMM")</f>
        <v>January</v>
      </c>
      <c r="H902" t="str">
        <f>TEXT(B902, "DDDD")</f>
        <v>Saturday</v>
      </c>
      <c r="I902">
        <f>((D902+E902)/C902)*100</f>
        <v>2.1147257179704462</v>
      </c>
      <c r="J902">
        <f>(D902/C902)*1000</f>
        <v>20.761752626464528</v>
      </c>
      <c r="K902">
        <f>(E902/C902)*1000</f>
        <v>0.38550455323993743</v>
      </c>
      <c r="L902">
        <f>CORREL(C902:C1400, D902:D1400)</f>
        <v>0.80548390236958367</v>
      </c>
      <c r="M902">
        <f>CORREL(C902:C1400,E902:E1400)</f>
        <v>0.17445609697093745</v>
      </c>
      <c r="N902">
        <f>LEN(A902)</f>
        <v>32</v>
      </c>
      <c r="O902" t="str">
        <f>IF(ISNUMBER(SEARCH("$",A902)), "Money", IF(ISNUMBER(SEARCH("Win",A902)), "Challenge",IF(ISNUMBER(SEARCH("Challenge",A902)), "Challenge",IF(ISNUMBER(SEARCH("Last To Leave",A902)),"Challenge",IF(ISNUMBER(SEARCH("Giving Away", A902)),"Giveaway",IF(ISNUMBER(SEARCH("Stranded",A902)),"Survival", IF(ISNUMBER(SEARCH("Survive",A902)), "Survival", IF(ISNUMBER(SEARCH("Days",A902)),"Endurance","Other"))))))))</f>
        <v>Other</v>
      </c>
    </row>
    <row r="903" spans="1:15" x14ac:dyDescent="0.3">
      <c r="A903" t="s">
        <v>908</v>
      </c>
      <c r="B903" s="1">
        <v>45927</v>
      </c>
      <c r="C903" s="2">
        <v>140950343</v>
      </c>
      <c r="D903" s="3">
        <v>2326252</v>
      </c>
      <c r="E903" s="3">
        <v>32428</v>
      </c>
      <c r="F903">
        <f>YEAR(B903)</f>
        <v>2025</v>
      </c>
      <c r="G903" t="str">
        <f>TEXT(B903,"MMMM")</f>
        <v>September</v>
      </c>
      <c r="H903" t="str">
        <f>TEXT(B903, "DDDD")</f>
        <v>Saturday</v>
      </c>
      <c r="I903">
        <f>((D903+E903)/C903)*100</f>
        <v>1.6734120327752591</v>
      </c>
      <c r="J903">
        <f>(D903/C903)*1000</f>
        <v>16.504053487830106</v>
      </c>
      <c r="K903">
        <f>(E903/C903)*1000</f>
        <v>0.2300668399224825</v>
      </c>
      <c r="L903">
        <f>CORREL(C903:C1401, D903:D1401)</f>
        <v>0.8063813665339844</v>
      </c>
      <c r="M903">
        <f>CORREL(C903:C1401,E903:E1401)</f>
        <v>0.17437562105146365</v>
      </c>
      <c r="N903">
        <f>LEN(A903)</f>
        <v>37</v>
      </c>
      <c r="O903" t="str">
        <f>IF(ISNUMBER(SEARCH("$",A903)), "Money", IF(ISNUMBER(SEARCH("Win",A903)), "Challenge",IF(ISNUMBER(SEARCH("Challenge",A903)), "Challenge",IF(ISNUMBER(SEARCH("Last To Leave",A903)),"Challenge",IF(ISNUMBER(SEARCH("Giving Away", A903)),"Giveaway",IF(ISNUMBER(SEARCH("Stranded",A903)),"Survival", IF(ISNUMBER(SEARCH("Survive",A903)), "Survival", IF(ISNUMBER(SEARCH("Days",A903)),"Endurance","Other"))))))))</f>
        <v>Money</v>
      </c>
    </row>
    <row r="904" spans="1:15" x14ac:dyDescent="0.3">
      <c r="A904" t="s">
        <v>909</v>
      </c>
      <c r="B904" s="1">
        <v>45787</v>
      </c>
      <c r="C904" s="2">
        <v>138442638</v>
      </c>
      <c r="D904" s="3">
        <v>3083779</v>
      </c>
      <c r="E904" s="3">
        <v>78603</v>
      </c>
      <c r="F904">
        <f>YEAR(B904)</f>
        <v>2025</v>
      </c>
      <c r="G904" t="str">
        <f>TEXT(B904,"MMMM")</f>
        <v>May</v>
      </c>
      <c r="H904" t="str">
        <f>TEXT(B904, "DDDD")</f>
        <v>Saturday</v>
      </c>
      <c r="I904">
        <f>((D904+E904)/C904)*100</f>
        <v>2.2842543638904078</v>
      </c>
      <c r="J904">
        <f>(D904/C904)*1000</f>
        <v>22.27477780364168</v>
      </c>
      <c r="K904">
        <f>(E904/C904)*1000</f>
        <v>0.56776583526239943</v>
      </c>
      <c r="L904">
        <f>CORREL(C904:C1402, D904:D1402)</f>
        <v>0.80632885823563816</v>
      </c>
      <c r="M904">
        <f>CORREL(C904:C1402,E904:E1402)</f>
        <v>0.17408737059468865</v>
      </c>
      <c r="N904">
        <f>LEN(A904)</f>
        <v>41</v>
      </c>
      <c r="O904" t="str">
        <f>IF(ISNUMBER(SEARCH("$",A904)), "Money", IF(ISNUMBER(SEARCH("Win",A904)), "Challenge",IF(ISNUMBER(SEARCH("Challenge",A904)), "Challenge",IF(ISNUMBER(SEARCH("Last To Leave",A904)),"Challenge",IF(ISNUMBER(SEARCH("Giving Away", A904)),"Giveaway",IF(ISNUMBER(SEARCH("Stranded",A904)),"Survival", IF(ISNUMBER(SEARCH("Survive",A904)), "Survival", IF(ISNUMBER(SEARCH("Days",A904)),"Endurance","Other"))))))))</f>
        <v>Survival</v>
      </c>
    </row>
    <row r="905" spans="1:15" x14ac:dyDescent="0.3">
      <c r="A905" t="s">
        <v>910</v>
      </c>
      <c r="B905" s="1">
        <v>45983</v>
      </c>
      <c r="C905" s="2">
        <v>130070298</v>
      </c>
      <c r="D905" s="3">
        <v>2123976</v>
      </c>
      <c r="E905" s="3">
        <v>67684</v>
      </c>
      <c r="F905">
        <f>YEAR(B905)</f>
        <v>2025</v>
      </c>
      <c r="G905" t="str">
        <f>TEXT(B905,"MMMM")</f>
        <v>November</v>
      </c>
      <c r="H905" t="str">
        <f>TEXT(B905, "DDDD")</f>
        <v>Saturday</v>
      </c>
      <c r="I905">
        <f>((D905+E905)/C905)*100</f>
        <v>1.6849811476560159</v>
      </c>
      <c r="J905">
        <f>(D905/C905)*1000</f>
        <v>16.329446711961864</v>
      </c>
      <c r="K905">
        <f>(E905/C905)*1000</f>
        <v>0.52036476459829439</v>
      </c>
      <c r="L905">
        <f>CORREL(C905:C1403, D905:D1403)</f>
        <v>0.80759674672818549</v>
      </c>
      <c r="M905">
        <f>CORREL(C905:C1403,E905:E1403)</f>
        <v>0.17421901013733981</v>
      </c>
      <c r="N905">
        <f>LEN(A905)</f>
        <v>30</v>
      </c>
      <c r="O905" t="str">
        <f>IF(ISNUMBER(SEARCH("$",A905)), "Money", IF(ISNUMBER(SEARCH("Win",A905)), "Challenge",IF(ISNUMBER(SEARCH("Challenge",A905)), "Challenge",IF(ISNUMBER(SEARCH("Last To Leave",A905)),"Challenge",IF(ISNUMBER(SEARCH("Giving Away", A905)),"Giveaway",IF(ISNUMBER(SEARCH("Stranded",A905)),"Survival", IF(ISNUMBER(SEARCH("Survive",A905)), "Survival", IF(ISNUMBER(SEARCH("Days",A905)),"Endurance","Other"))))))))</f>
        <v>Other</v>
      </c>
    </row>
    <row r="906" spans="1:15" x14ac:dyDescent="0.3">
      <c r="A906" t="s">
        <v>911</v>
      </c>
      <c r="B906" s="1">
        <v>45730</v>
      </c>
      <c r="C906" s="2">
        <v>122705506</v>
      </c>
      <c r="D906" s="3">
        <v>2643532</v>
      </c>
      <c r="E906" s="3">
        <v>7471</v>
      </c>
      <c r="F906">
        <f>YEAR(B906)</f>
        <v>2025</v>
      </c>
      <c r="G906" t="str">
        <f>TEXT(B906,"MMMM")</f>
        <v>March</v>
      </c>
      <c r="H906" t="str">
        <f>TEXT(B906, "DDDD")</f>
        <v>Friday</v>
      </c>
      <c r="I906">
        <f>((D906+E906)/C906)*100</f>
        <v>2.1604596944492451</v>
      </c>
      <c r="J906">
        <f>(D906/C906)*1000</f>
        <v>21.543711331095444</v>
      </c>
      <c r="K906">
        <f>(E906/C906)*1000</f>
        <v>6.0885613397005996E-2</v>
      </c>
      <c r="L906">
        <f>CORREL(C906:C1404, D906:D1404)</f>
        <v>0.80748941752574288</v>
      </c>
      <c r="M906">
        <f>CORREL(C906:C1404,E906:E1404)</f>
        <v>0.17424640378841447</v>
      </c>
      <c r="N906">
        <f>LEN(A906)</f>
        <v>53</v>
      </c>
      <c r="O906" t="str">
        <f>IF(ISNUMBER(SEARCH("$",A906)), "Money", IF(ISNUMBER(SEARCH("Win",A906)), "Challenge",IF(ISNUMBER(SEARCH("Challenge",A906)), "Challenge",IF(ISNUMBER(SEARCH("Last To Leave",A906)),"Challenge",IF(ISNUMBER(SEARCH("Giving Away", A906)),"Giveaway",IF(ISNUMBER(SEARCH("Stranded",A906)),"Survival", IF(ISNUMBER(SEARCH("Survive",A906)), "Survival", IF(ISNUMBER(SEARCH("Days",A906)),"Endurance","Other"))))))))</f>
        <v>Other</v>
      </c>
    </row>
    <row r="907" spans="1:15" x14ac:dyDescent="0.3">
      <c r="A907" t="s">
        <v>912</v>
      </c>
      <c r="B907" s="1">
        <v>45849</v>
      </c>
      <c r="C907" s="2">
        <v>122286740</v>
      </c>
      <c r="D907" s="3">
        <v>1974694</v>
      </c>
      <c r="E907" s="3">
        <v>16879</v>
      </c>
      <c r="F907">
        <f>YEAR(B907)</f>
        <v>2025</v>
      </c>
      <c r="G907" t="str">
        <f>TEXT(B907,"MMMM")</f>
        <v>July</v>
      </c>
      <c r="H907" t="str">
        <f>TEXT(B907, "DDDD")</f>
        <v>Friday</v>
      </c>
      <c r="I907">
        <f>((D907+E907)/C907)*100</f>
        <v>1.6286091198440649</v>
      </c>
      <c r="J907">
        <f>(D907/C907)*1000</f>
        <v>16.148063150591796</v>
      </c>
      <c r="K907">
        <f>(E907/C907)*1000</f>
        <v>0.138028047848851</v>
      </c>
      <c r="L907">
        <f>CORREL(C907:C1405, D907:D1405)</f>
        <v>0.80792062600892978</v>
      </c>
      <c r="M907">
        <f>CORREL(C907:C1405,E907:E1405)</f>
        <v>0.17347083776786934</v>
      </c>
      <c r="N907">
        <f>LEN(A907)</f>
        <v>12</v>
      </c>
      <c r="O907" t="str">
        <f>IF(ISNUMBER(SEARCH("$",A907)), "Money", IF(ISNUMBER(SEARCH("Win",A907)), "Challenge",IF(ISNUMBER(SEARCH("Challenge",A907)), "Challenge",IF(ISNUMBER(SEARCH("Last To Leave",A907)),"Challenge",IF(ISNUMBER(SEARCH("Giving Away", A907)),"Giveaway",IF(ISNUMBER(SEARCH("Stranded",A907)),"Survival", IF(ISNUMBER(SEARCH("Survive",A907)), "Survival", IF(ISNUMBER(SEARCH("Days",A907)),"Endurance","Other"))))))))</f>
        <v>Other</v>
      </c>
    </row>
    <row r="908" spans="1:15" x14ac:dyDescent="0.3">
      <c r="A908" t="s">
        <v>913</v>
      </c>
      <c r="B908" s="1">
        <v>45969</v>
      </c>
      <c r="C908" s="2">
        <v>122228146</v>
      </c>
      <c r="D908" s="3">
        <v>2001300</v>
      </c>
      <c r="E908" s="3">
        <v>85073</v>
      </c>
      <c r="F908">
        <f>YEAR(B908)</f>
        <v>2025</v>
      </c>
      <c r="G908" t="str">
        <f>TEXT(B908,"MMMM")</f>
        <v>November</v>
      </c>
      <c r="H908" t="str">
        <f>TEXT(B908, "DDDD")</f>
        <v>Saturday</v>
      </c>
      <c r="I908">
        <f>((D908+E908)/C908)*100</f>
        <v>1.7069497233476814</v>
      </c>
      <c r="J908">
        <f>(D908/C908)*1000</f>
        <v>16.373479149393301</v>
      </c>
      <c r="K908">
        <f>(E908/C908)*1000</f>
        <v>0.69601808408351373</v>
      </c>
      <c r="L908">
        <f>CORREL(C908:C1406, D908:D1406)</f>
        <v>0.80778373576852303</v>
      </c>
      <c r="M908">
        <f>CORREL(C908:C1406,E908:E1406)</f>
        <v>0.17278426020086168</v>
      </c>
      <c r="N908">
        <f>LEN(A908)</f>
        <v>37</v>
      </c>
      <c r="O908" t="str">
        <f>IF(ISNUMBER(SEARCH("$",A908)), "Money", IF(ISNUMBER(SEARCH("Win",A908)), "Challenge",IF(ISNUMBER(SEARCH("Challenge",A908)), "Challenge",IF(ISNUMBER(SEARCH("Last To Leave",A908)),"Challenge",IF(ISNUMBER(SEARCH("Giving Away", A908)),"Giveaway",IF(ISNUMBER(SEARCH("Stranded",A908)),"Survival", IF(ISNUMBER(SEARCH("Survive",A908)), "Survival", IF(ISNUMBER(SEARCH("Days",A908)),"Endurance","Other"))))))))</f>
        <v>Other</v>
      </c>
    </row>
    <row r="909" spans="1:15" x14ac:dyDescent="0.3">
      <c r="A909" t="s">
        <v>914</v>
      </c>
      <c r="B909" s="1">
        <v>45961</v>
      </c>
      <c r="C909" s="2">
        <v>119577779</v>
      </c>
      <c r="D909" s="3">
        <v>1706186</v>
      </c>
      <c r="E909" s="3">
        <v>12739</v>
      </c>
      <c r="F909">
        <f>YEAR(B909)</f>
        <v>2025</v>
      </c>
      <c r="G909" t="str">
        <f>TEXT(B909,"MMMM")</f>
        <v>October</v>
      </c>
      <c r="H909" t="str">
        <f>TEXT(B909, "DDDD")</f>
        <v>Friday</v>
      </c>
      <c r="I909">
        <f>((D909+E909)/C909)*100</f>
        <v>1.4374953393305623</v>
      </c>
      <c r="J909">
        <f>(D909/C909)*1000</f>
        <v>14.268420222121703</v>
      </c>
      <c r="K909">
        <f>(E909/C909)*1000</f>
        <v>0.10653317118392039</v>
      </c>
      <c r="L909">
        <f>CORREL(C909:C1407, D909:D1407)</f>
        <v>0.80763364912369884</v>
      </c>
      <c r="M909">
        <f>CORREL(C909:C1407,E909:E1407)</f>
        <v>0.17308995465759935</v>
      </c>
      <c r="N909">
        <f>LEN(A909)</f>
        <v>38</v>
      </c>
      <c r="O909" t="str">
        <f>IF(ISNUMBER(SEARCH("$",A909)), "Money", IF(ISNUMBER(SEARCH("Win",A909)), "Challenge",IF(ISNUMBER(SEARCH("Challenge",A909)), "Challenge",IF(ISNUMBER(SEARCH("Last To Leave",A909)),"Challenge",IF(ISNUMBER(SEARCH("Giving Away", A909)),"Giveaway",IF(ISNUMBER(SEARCH("Stranded",A909)),"Survival", IF(ISNUMBER(SEARCH("Survive",A909)), "Survival", IF(ISNUMBER(SEARCH("Days",A909)),"Endurance","Other"))))))))</f>
        <v>Other</v>
      </c>
    </row>
    <row r="910" spans="1:15" x14ac:dyDescent="0.3">
      <c r="A910" t="s">
        <v>915</v>
      </c>
      <c r="B910" s="1">
        <v>45870</v>
      </c>
      <c r="C910" s="2">
        <v>116976472</v>
      </c>
      <c r="D910" s="3">
        <v>2426331</v>
      </c>
      <c r="E910" s="3">
        <v>47020</v>
      </c>
      <c r="F910">
        <f>YEAR(B910)</f>
        <v>2025</v>
      </c>
      <c r="G910" t="str">
        <f>TEXT(B910,"MMMM")</f>
        <v>August</v>
      </c>
      <c r="H910" t="str">
        <f>TEXT(B910, "DDDD")</f>
        <v>Friday</v>
      </c>
      <c r="I910">
        <f>((D910+E910)/C910)*100</f>
        <v>2.1144004069467917</v>
      </c>
      <c r="J910">
        <f>(D910/C910)*1000</f>
        <v>20.742042895600409</v>
      </c>
      <c r="K910">
        <f>(E910/C910)*1000</f>
        <v>0.40196117386751073</v>
      </c>
      <c r="L910">
        <f>CORREL(C910:C1408, D910:D1408)</f>
        <v>0.80768286999524952</v>
      </c>
      <c r="M910">
        <f>CORREL(C910:C1408,E910:E1408)</f>
        <v>0.17228593935753719</v>
      </c>
      <c r="N910">
        <f>LEN(A910)</f>
        <v>52</v>
      </c>
      <c r="O910" t="str">
        <f>IF(ISNUMBER(SEARCH("$",A910)), "Money", IF(ISNUMBER(SEARCH("Win",A910)), "Challenge",IF(ISNUMBER(SEARCH("Challenge",A910)), "Challenge",IF(ISNUMBER(SEARCH("Last To Leave",A910)),"Challenge",IF(ISNUMBER(SEARCH("Giving Away", A910)),"Giveaway",IF(ISNUMBER(SEARCH("Stranded",A910)),"Survival", IF(ISNUMBER(SEARCH("Survive",A910)), "Survival", IF(ISNUMBER(SEARCH("Days",A910)),"Endurance","Other"))))))))</f>
        <v>Other</v>
      </c>
    </row>
    <row r="911" spans="1:15" x14ac:dyDescent="0.3">
      <c r="A911" t="s">
        <v>916</v>
      </c>
      <c r="B911" s="1">
        <v>45741</v>
      </c>
      <c r="C911" s="2">
        <v>115898146</v>
      </c>
      <c r="D911" s="3">
        <v>2015808</v>
      </c>
      <c r="E911" s="3">
        <v>10562</v>
      </c>
      <c r="F911">
        <f>YEAR(B911)</f>
        <v>2025</v>
      </c>
      <c r="G911" t="str">
        <f>TEXT(B911,"MMMM")</f>
        <v>March</v>
      </c>
      <c r="H911" t="str">
        <f>TEXT(B911, "DDDD")</f>
        <v>Tuesday</v>
      </c>
      <c r="I911">
        <f>((D911+E911)/C911)*100</f>
        <v>1.7484058804529972</v>
      </c>
      <c r="J911">
        <f>(D911/C911)*1000</f>
        <v>17.392927062008393</v>
      </c>
      <c r="K911">
        <f>(E911/C911)*1000</f>
        <v>9.1131742521575798E-2</v>
      </c>
      <c r="L911">
        <f>CORREL(C911:C1409, D911:D1409)</f>
        <v>0.80776762790625389</v>
      </c>
      <c r="M911">
        <f>CORREL(C911:C1409,E911:E1409)</f>
        <v>0.17195514693893826</v>
      </c>
      <c r="N911">
        <f>LEN(A911)</f>
        <v>35</v>
      </c>
      <c r="O911" t="str">
        <f>IF(ISNUMBER(SEARCH("$",A911)), "Money", IF(ISNUMBER(SEARCH("Win",A911)), "Challenge",IF(ISNUMBER(SEARCH("Challenge",A911)), "Challenge",IF(ISNUMBER(SEARCH("Last To Leave",A911)),"Challenge",IF(ISNUMBER(SEARCH("Giving Away", A911)),"Giveaway",IF(ISNUMBER(SEARCH("Stranded",A911)),"Survival", IF(ISNUMBER(SEARCH("Survive",A911)), "Survival", IF(ISNUMBER(SEARCH("Days",A911)),"Endurance","Other"))))))))</f>
        <v>Challenge</v>
      </c>
    </row>
    <row r="912" spans="1:15" x14ac:dyDescent="0.3">
      <c r="A912" t="s">
        <v>917</v>
      </c>
      <c r="B912" s="1">
        <v>45758</v>
      </c>
      <c r="C912" s="2">
        <v>115433546</v>
      </c>
      <c r="D912" s="3">
        <v>4300044</v>
      </c>
      <c r="E912" s="3">
        <v>27577</v>
      </c>
      <c r="F912">
        <f>YEAR(B912)</f>
        <v>2025</v>
      </c>
      <c r="G912" t="str">
        <f>TEXT(B912,"MMMM")</f>
        <v>April</v>
      </c>
      <c r="H912" t="str">
        <f>TEXT(B912, "DDDD")</f>
        <v>Friday</v>
      </c>
      <c r="I912">
        <f>((D912+E912)/C912)*100</f>
        <v>3.7490150393543309</v>
      </c>
      <c r="J912">
        <f>(D912/C912)*1000</f>
        <v>37.251251035812416</v>
      </c>
      <c r="K912">
        <f>(E912/C912)*1000</f>
        <v>0.23889935773089738</v>
      </c>
      <c r="L912">
        <f>CORREL(C912:C1410, D912:D1410)</f>
        <v>0.80755159503324414</v>
      </c>
      <c r="M912">
        <f>CORREL(C912:C1410,E912:E1410)</f>
        <v>0.17102626040024935</v>
      </c>
      <c r="N912">
        <f>LEN(A912)</f>
        <v>24</v>
      </c>
      <c r="O912" t="str">
        <f>IF(ISNUMBER(SEARCH("$",A912)), "Money", IF(ISNUMBER(SEARCH("Win",A912)), "Challenge",IF(ISNUMBER(SEARCH("Challenge",A912)), "Challenge",IF(ISNUMBER(SEARCH("Last To Leave",A912)),"Challenge",IF(ISNUMBER(SEARCH("Giving Away", A912)),"Giveaway",IF(ISNUMBER(SEARCH("Stranded",A912)),"Survival", IF(ISNUMBER(SEARCH("Survive",A912)), "Survival", IF(ISNUMBER(SEARCH("Days",A912)),"Endurance","Other"))))))))</f>
        <v>Other</v>
      </c>
    </row>
    <row r="913" spans="1:15" x14ac:dyDescent="0.3">
      <c r="A913" t="s">
        <v>918</v>
      </c>
      <c r="B913" s="1">
        <v>45838</v>
      </c>
      <c r="C913" s="2">
        <v>113584467</v>
      </c>
      <c r="D913" s="3">
        <v>1857325</v>
      </c>
      <c r="E913" s="3">
        <v>6873</v>
      </c>
      <c r="F913">
        <f>YEAR(B913)</f>
        <v>2025</v>
      </c>
      <c r="G913" t="str">
        <f>TEXT(B913,"MMMM")</f>
        <v>June</v>
      </c>
      <c r="H913" t="str">
        <f>TEXT(B913, "DDDD")</f>
        <v>Monday</v>
      </c>
      <c r="I913">
        <f>((D913+E913)/C913)*100</f>
        <v>1.6412437802785129</v>
      </c>
      <c r="J913">
        <f>(D913/C913)*1000</f>
        <v>16.351927768433338</v>
      </c>
      <c r="K913">
        <f>(E913/C913)*1000</f>
        <v>6.0510034351792127E-2</v>
      </c>
      <c r="L913">
        <f>CORREL(C913:C1411, D913:D1411)</f>
        <v>0.81731103699294727</v>
      </c>
      <c r="M913">
        <f>CORREL(C913:C1411,E913:E1411)</f>
        <v>0.17033308504339065</v>
      </c>
      <c r="N913">
        <f>LEN(A913)</f>
        <v>22</v>
      </c>
      <c r="O913" t="str">
        <f>IF(ISNUMBER(SEARCH("$",A913)), "Money", IF(ISNUMBER(SEARCH("Win",A913)), "Challenge",IF(ISNUMBER(SEARCH("Challenge",A913)), "Challenge",IF(ISNUMBER(SEARCH("Last To Leave",A913)),"Challenge",IF(ISNUMBER(SEARCH("Giving Away", A913)),"Giveaway",IF(ISNUMBER(SEARCH("Stranded",A913)),"Survival", IF(ISNUMBER(SEARCH("Survive",A913)), "Survival", IF(ISNUMBER(SEARCH("Days",A913)),"Endurance","Other"))))))))</f>
        <v>Other</v>
      </c>
    </row>
    <row r="914" spans="1:15" x14ac:dyDescent="0.3">
      <c r="A914" t="s">
        <v>919</v>
      </c>
      <c r="B914" s="1">
        <v>45944</v>
      </c>
      <c r="C914" s="2">
        <v>112744014</v>
      </c>
      <c r="D914" s="3">
        <v>3021978</v>
      </c>
      <c r="E914" s="3">
        <v>69428</v>
      </c>
      <c r="F914">
        <f>YEAR(B914)</f>
        <v>2025</v>
      </c>
      <c r="G914" t="str">
        <f>TEXT(B914,"MMMM")</f>
        <v>October</v>
      </c>
      <c r="H914" t="str">
        <f>TEXT(B914, "DDDD")</f>
        <v>Tuesday</v>
      </c>
      <c r="I914">
        <f>((D914+E914)/C914)*100</f>
        <v>2.7419690769569369</v>
      </c>
      <c r="J914">
        <f>(D914/C914)*1000</f>
        <v>26.803888674745963</v>
      </c>
      <c r="K914">
        <f>(E914/C914)*1000</f>
        <v>0.61580209482341119</v>
      </c>
      <c r="L914">
        <f>CORREL(C914:C1412, D914:D1412)</f>
        <v>0.81711034882436773</v>
      </c>
      <c r="M914">
        <f>CORREL(C914:C1412,E914:E1412)</f>
        <v>0.16925905618492018</v>
      </c>
      <c r="N914">
        <f>LEN(A914)</f>
        <v>28</v>
      </c>
      <c r="O914" t="str">
        <f>IF(ISNUMBER(SEARCH("$",A914)), "Money", IF(ISNUMBER(SEARCH("Win",A914)), "Challenge",IF(ISNUMBER(SEARCH("Challenge",A914)), "Challenge",IF(ISNUMBER(SEARCH("Last To Leave",A914)),"Challenge",IF(ISNUMBER(SEARCH("Giving Away", A914)),"Giveaway",IF(ISNUMBER(SEARCH("Stranded",A914)),"Survival", IF(ISNUMBER(SEARCH("Survive",A914)), "Survival", IF(ISNUMBER(SEARCH("Days",A914)),"Endurance","Other"))))))))</f>
        <v>Money</v>
      </c>
    </row>
    <row r="915" spans="1:15" x14ac:dyDescent="0.3">
      <c r="A915" t="s">
        <v>920</v>
      </c>
      <c r="B915" s="1">
        <v>45827</v>
      </c>
      <c r="C915" s="2">
        <v>111887383</v>
      </c>
      <c r="D915" s="3">
        <v>2602013</v>
      </c>
      <c r="E915" s="3">
        <v>14595</v>
      </c>
      <c r="F915">
        <f>YEAR(B915)</f>
        <v>2025</v>
      </c>
      <c r="G915" t="str">
        <f>TEXT(B915,"MMMM")</f>
        <v>June</v>
      </c>
      <c r="H915" t="str">
        <f>TEXT(B915, "DDDD")</f>
        <v>Thursday</v>
      </c>
      <c r="I915">
        <f>((D915+E915)/C915)*100</f>
        <v>2.3386086347197876</v>
      </c>
      <c r="J915">
        <f>(D915/C915)*1000</f>
        <v>23.255642684930791</v>
      </c>
      <c r="K915">
        <f>(E915/C915)*1000</f>
        <v>0.13044366226708512</v>
      </c>
      <c r="L915">
        <f>CORREL(C915:C1413, D915:D1413)</f>
        <v>0.81900514634395483</v>
      </c>
      <c r="M915">
        <f>CORREL(C915:C1413,E915:E1413)</f>
        <v>0.16927892013676765</v>
      </c>
      <c r="N915">
        <f>LEN(A915)</f>
        <v>17</v>
      </c>
      <c r="O915" t="str">
        <f>IF(ISNUMBER(SEARCH("$",A915)), "Money", IF(ISNUMBER(SEARCH("Win",A915)), "Challenge",IF(ISNUMBER(SEARCH("Challenge",A915)), "Challenge",IF(ISNUMBER(SEARCH("Last To Leave",A915)),"Challenge",IF(ISNUMBER(SEARCH("Giving Away", A915)),"Giveaway",IF(ISNUMBER(SEARCH("Stranded",A915)),"Survival", IF(ISNUMBER(SEARCH("Survive",A915)), "Survival", IF(ISNUMBER(SEARCH("Days",A915)),"Endurance","Other"))))))))</f>
        <v>Money</v>
      </c>
    </row>
    <row r="916" spans="1:15" x14ac:dyDescent="0.3">
      <c r="A916" t="s">
        <v>921</v>
      </c>
      <c r="B916" s="1">
        <v>45912</v>
      </c>
      <c r="C916" s="2">
        <v>110434791</v>
      </c>
      <c r="D916" s="3">
        <v>2777737</v>
      </c>
      <c r="E916" s="3">
        <v>7989</v>
      </c>
      <c r="F916">
        <f>YEAR(B916)</f>
        <v>2025</v>
      </c>
      <c r="G916" t="str">
        <f>TEXT(B916,"MMMM")</f>
        <v>September</v>
      </c>
      <c r="H916" t="str">
        <f>TEXT(B916, "DDDD")</f>
        <v>Friday</v>
      </c>
      <c r="I916">
        <f>((D916+E916)/C916)*100</f>
        <v>2.5225076036047374</v>
      </c>
      <c r="J916">
        <f>(D916/C916)*1000</f>
        <v>25.152734702961496</v>
      </c>
      <c r="K916">
        <f>(E916/C916)*1000</f>
        <v>7.2341333085875092E-2</v>
      </c>
      <c r="L916">
        <f>CORREL(C916:C1414, D916:D1414)</f>
        <v>0.81957009334542696</v>
      </c>
      <c r="M916">
        <f>CORREL(C916:C1414,E916:E1414)</f>
        <v>0.16826017488899295</v>
      </c>
      <c r="N916">
        <f>LEN(A916)</f>
        <v>21</v>
      </c>
      <c r="O916" t="str">
        <f>IF(ISNUMBER(SEARCH("$",A916)), "Money", IF(ISNUMBER(SEARCH("Win",A916)), "Challenge",IF(ISNUMBER(SEARCH("Challenge",A916)), "Challenge",IF(ISNUMBER(SEARCH("Last To Leave",A916)),"Challenge",IF(ISNUMBER(SEARCH("Giving Away", A916)),"Giveaway",IF(ISNUMBER(SEARCH("Stranded",A916)),"Survival", IF(ISNUMBER(SEARCH("Survive",A916)), "Survival", IF(ISNUMBER(SEARCH("Days",A916)),"Endurance","Other"))))))))</f>
        <v>Other</v>
      </c>
    </row>
    <row r="917" spans="1:15" x14ac:dyDescent="0.3">
      <c r="A917" t="s">
        <v>922</v>
      </c>
      <c r="B917" s="1">
        <v>45877</v>
      </c>
      <c r="C917" s="2">
        <v>108871368</v>
      </c>
      <c r="D917" s="3">
        <v>2930453</v>
      </c>
      <c r="E917" s="3">
        <v>12784</v>
      </c>
      <c r="F917">
        <f>YEAR(B917)</f>
        <v>2025</v>
      </c>
      <c r="G917" t="str">
        <f>TEXT(B917,"MMMM")</f>
        <v>August</v>
      </c>
      <c r="H917" t="str">
        <f>TEXT(B917, "DDDD")</f>
        <v>Friday</v>
      </c>
      <c r="I917">
        <f>((D917+E917)/C917)*100</f>
        <v>2.7034077499604856</v>
      </c>
      <c r="J917">
        <f>(D917/C917)*1000</f>
        <v>26.916654523896494</v>
      </c>
      <c r="K917">
        <f>(E917/C917)*1000</f>
        <v>0.11742297570836072</v>
      </c>
      <c r="L917">
        <f>CORREL(C917:C1415, D917:D1415)</f>
        <v>0.82069611573622558</v>
      </c>
      <c r="M917">
        <f>CORREL(C917:C1415,E917:E1415)</f>
        <v>0.16707093802409193</v>
      </c>
      <c r="N917">
        <f>LEN(A917)</f>
        <v>37</v>
      </c>
      <c r="O917" t="str">
        <f>IF(ISNUMBER(SEARCH("$",A917)), "Money", IF(ISNUMBER(SEARCH("Win",A917)), "Challenge",IF(ISNUMBER(SEARCH("Challenge",A917)), "Challenge",IF(ISNUMBER(SEARCH("Last To Leave",A917)),"Challenge",IF(ISNUMBER(SEARCH("Giving Away", A917)),"Giveaway",IF(ISNUMBER(SEARCH("Stranded",A917)),"Survival", IF(ISNUMBER(SEARCH("Survive",A917)), "Survival", IF(ISNUMBER(SEARCH("Days",A917)),"Endurance","Other"))))))))</f>
        <v>Other</v>
      </c>
    </row>
    <row r="918" spans="1:15" x14ac:dyDescent="0.3">
      <c r="A918" t="s">
        <v>923</v>
      </c>
      <c r="B918" s="1">
        <v>45874</v>
      </c>
      <c r="C918" s="2">
        <v>105858021</v>
      </c>
      <c r="D918" s="3">
        <v>1641823</v>
      </c>
      <c r="E918" s="3">
        <v>6968</v>
      </c>
      <c r="F918">
        <f>YEAR(B918)</f>
        <v>2025</v>
      </c>
      <c r="G918" t="str">
        <f>TEXT(B918,"MMMM")</f>
        <v>August</v>
      </c>
      <c r="H918" t="str">
        <f>TEXT(B918, "DDDD")</f>
        <v>Tuesday</v>
      </c>
      <c r="I918">
        <f>((D918+E918)/C918)*100</f>
        <v>1.5575494274543447</v>
      </c>
      <c r="J918">
        <f>(D918/C918)*1000</f>
        <v>15.509670259186121</v>
      </c>
      <c r="K918">
        <f>(E918/C918)*1000</f>
        <v>6.5824015357324697E-2</v>
      </c>
      <c r="L918">
        <f>CORREL(C918:C1416, D918:D1416)</f>
        <v>0.82245914154061284</v>
      </c>
      <c r="M918">
        <f>CORREL(C918:C1416,E918:E1416)</f>
        <v>0.16590800173323597</v>
      </c>
      <c r="N918">
        <f>LEN(A918)</f>
        <v>18</v>
      </c>
      <c r="O918" t="str">
        <f>IF(ISNUMBER(SEARCH("$",A918)), "Money", IF(ISNUMBER(SEARCH("Win",A918)), "Challenge",IF(ISNUMBER(SEARCH("Challenge",A918)), "Challenge",IF(ISNUMBER(SEARCH("Last To Leave",A918)),"Challenge",IF(ISNUMBER(SEARCH("Giving Away", A918)),"Giveaway",IF(ISNUMBER(SEARCH("Stranded",A918)),"Survival", IF(ISNUMBER(SEARCH("Survive",A918)), "Survival", IF(ISNUMBER(SEARCH("Days",A918)),"Endurance","Other"))))))))</f>
        <v>Other</v>
      </c>
    </row>
    <row r="919" spans="1:15" x14ac:dyDescent="0.3">
      <c r="A919" t="s">
        <v>924</v>
      </c>
      <c r="B919" s="1">
        <v>46017</v>
      </c>
      <c r="C919" s="2">
        <v>99971748</v>
      </c>
      <c r="D919" s="3">
        <v>2788075</v>
      </c>
      <c r="E919" s="3">
        <v>41215</v>
      </c>
      <c r="F919">
        <f>YEAR(B919)</f>
        <v>2025</v>
      </c>
      <c r="G919" t="str">
        <f>TEXT(B919,"MMMM")</f>
        <v>December</v>
      </c>
      <c r="H919" t="str">
        <f>TEXT(B919, "DDDD")</f>
        <v>Friday</v>
      </c>
      <c r="I919">
        <f>((D919+E919)/C919)*100</f>
        <v>2.830089556901616</v>
      </c>
      <c r="J919">
        <f>(D919/C919)*1000</f>
        <v>27.888629095492057</v>
      </c>
      <c r="K919">
        <f>(E919/C919)*1000</f>
        <v>0.41226647352410001</v>
      </c>
      <c r="L919">
        <f>CORREL(C919:C1417, D919:D1417)</f>
        <v>0.82224404499589432</v>
      </c>
      <c r="M919">
        <f>CORREL(C919:C1417,E919:E1417)</f>
        <v>0.16454655253483319</v>
      </c>
      <c r="N919">
        <f>LEN(A919)</f>
        <v>32</v>
      </c>
      <c r="O919" t="str">
        <f>IF(ISNUMBER(SEARCH("$",A919)), "Money", IF(ISNUMBER(SEARCH("Win",A919)), "Challenge",IF(ISNUMBER(SEARCH("Challenge",A919)), "Challenge",IF(ISNUMBER(SEARCH("Last To Leave",A919)),"Challenge",IF(ISNUMBER(SEARCH("Giving Away", A919)),"Giveaway",IF(ISNUMBER(SEARCH("Stranded",A919)),"Survival", IF(ISNUMBER(SEARCH("Survive",A919)), "Survival", IF(ISNUMBER(SEARCH("Days",A919)),"Endurance","Other"))))))))</f>
        <v>Other</v>
      </c>
    </row>
    <row r="920" spans="1:15" x14ac:dyDescent="0.3">
      <c r="A920" t="s">
        <v>925</v>
      </c>
      <c r="B920" s="1">
        <v>45926</v>
      </c>
      <c r="C920" s="2">
        <v>97861858</v>
      </c>
      <c r="D920" s="3">
        <v>2594377</v>
      </c>
      <c r="E920" s="3">
        <v>9423</v>
      </c>
      <c r="F920">
        <f>YEAR(B920)</f>
        <v>2025</v>
      </c>
      <c r="G920" t="str">
        <f>TEXT(B920,"MMMM")</f>
        <v>September</v>
      </c>
      <c r="H920" t="str">
        <f>TEXT(B920, "DDDD")</f>
        <v>Friday</v>
      </c>
      <c r="I920">
        <f>((D920+E920)/C920)*100</f>
        <v>2.6606893157495537</v>
      </c>
      <c r="J920">
        <f>(D920/C920)*1000</f>
        <v>26.510604366412093</v>
      </c>
      <c r="K920">
        <f>(E920/C920)*1000</f>
        <v>9.6288791083447442E-2</v>
      </c>
      <c r="L920">
        <f>CORREL(C920:C1418, D920:D1418)</f>
        <v>0.82371809508375216</v>
      </c>
      <c r="M920">
        <f>CORREL(C920:C1418,E920:E1418)</f>
        <v>0.16381757314597456</v>
      </c>
      <c r="N920">
        <f>LEN(A920)</f>
        <v>32</v>
      </c>
      <c r="O920" t="str">
        <f>IF(ISNUMBER(SEARCH("$",A920)), "Money", IF(ISNUMBER(SEARCH("Win",A920)), "Challenge",IF(ISNUMBER(SEARCH("Challenge",A920)), "Challenge",IF(ISNUMBER(SEARCH("Last To Leave",A920)),"Challenge",IF(ISNUMBER(SEARCH("Giving Away", A920)),"Giveaway",IF(ISNUMBER(SEARCH("Stranded",A920)),"Survival", IF(ISNUMBER(SEARCH("Survive",A920)), "Survival", IF(ISNUMBER(SEARCH("Days",A920)),"Endurance","Other"))))))))</f>
        <v>Other</v>
      </c>
    </row>
    <row r="921" spans="1:15" x14ac:dyDescent="0.3">
      <c r="A921" t="s">
        <v>926</v>
      </c>
      <c r="B921" s="1">
        <v>45784</v>
      </c>
      <c r="C921" s="2">
        <v>94908731</v>
      </c>
      <c r="D921" s="3">
        <v>4451679</v>
      </c>
      <c r="E921" s="3">
        <v>172532</v>
      </c>
      <c r="F921">
        <f>YEAR(B921)</f>
        <v>2025</v>
      </c>
      <c r="G921" t="str">
        <f>TEXT(B921,"MMMM")</f>
        <v>May</v>
      </c>
      <c r="H921" t="str">
        <f>TEXT(B921, "DDDD")</f>
        <v>Wednesday</v>
      </c>
      <c r="I921">
        <f>((D921+E921)/C921)*100</f>
        <v>4.8722714457113545</v>
      </c>
      <c r="J921">
        <f>(D921/C921)*1000</f>
        <v>46.904841663092093</v>
      </c>
      <c r="K921">
        <f>(E921/C921)*1000</f>
        <v>1.8178727940214479</v>
      </c>
      <c r="L921">
        <f>CORREL(C921:C1419, D921:D1419)</f>
        <v>0.82460008033224808</v>
      </c>
      <c r="M921">
        <f>CORREL(C921:C1419,E921:E1419)</f>
        <v>0.16229342969663835</v>
      </c>
      <c r="N921">
        <f>LEN(A921)</f>
        <v>24</v>
      </c>
      <c r="O921" t="str">
        <f>IF(ISNUMBER(SEARCH("$",A921)), "Money", IF(ISNUMBER(SEARCH("Win",A921)), "Challenge",IF(ISNUMBER(SEARCH("Challenge",A921)), "Challenge",IF(ISNUMBER(SEARCH("Last To Leave",A921)),"Challenge",IF(ISNUMBER(SEARCH("Giving Away", A921)),"Giveaway",IF(ISNUMBER(SEARCH("Stranded",A921)),"Survival", IF(ISNUMBER(SEARCH("Survive",A921)), "Survival", IF(ISNUMBER(SEARCH("Days",A921)),"Endurance","Other"))))))))</f>
        <v>Money</v>
      </c>
    </row>
    <row r="922" spans="1:15" x14ac:dyDescent="0.3">
      <c r="A922" t="s">
        <v>927</v>
      </c>
      <c r="B922" s="1">
        <v>45986</v>
      </c>
      <c r="C922" s="2">
        <v>93340549</v>
      </c>
      <c r="D922" s="3">
        <v>1884208</v>
      </c>
      <c r="E922" s="3">
        <v>8761</v>
      </c>
      <c r="F922">
        <f>YEAR(B922)</f>
        <v>2025</v>
      </c>
      <c r="G922" t="str">
        <f>TEXT(B922,"MMMM")</f>
        <v>November</v>
      </c>
      <c r="H922" t="str">
        <f>TEXT(B922, "DDDD")</f>
        <v>Tuesday</v>
      </c>
      <c r="I922">
        <f>((D922+E922)/C922)*100</f>
        <v>2.0280242834226314</v>
      </c>
      <c r="J922">
        <f>(D922/C922)*1000</f>
        <v>20.186382233513541</v>
      </c>
      <c r="K922">
        <f>(E922/C922)*1000</f>
        <v>9.3860600712772746E-2</v>
      </c>
      <c r="L922">
        <f>CORREL(C922:C1420, D922:D1420)</f>
        <v>0.83879854272220411</v>
      </c>
      <c r="M922">
        <f>CORREL(C922:C1420,E922:E1420)</f>
        <v>0.16536481982528925</v>
      </c>
      <c r="N922">
        <f>LEN(A922)</f>
        <v>34</v>
      </c>
      <c r="O922" t="str">
        <f>IF(ISNUMBER(SEARCH("$",A922)), "Money", IF(ISNUMBER(SEARCH("Win",A922)), "Challenge",IF(ISNUMBER(SEARCH("Challenge",A922)), "Challenge",IF(ISNUMBER(SEARCH("Last To Leave",A922)),"Challenge",IF(ISNUMBER(SEARCH("Giving Away", A922)),"Giveaway",IF(ISNUMBER(SEARCH("Stranded",A922)),"Survival", IF(ISNUMBER(SEARCH("Survive",A922)), "Survival", IF(ISNUMBER(SEARCH("Days",A922)),"Endurance","Other"))))))))</f>
        <v>Other</v>
      </c>
    </row>
    <row r="923" spans="1:15" x14ac:dyDescent="0.3">
      <c r="A923" t="s">
        <v>928</v>
      </c>
      <c r="B923" s="1">
        <v>45940</v>
      </c>
      <c r="C923" s="2">
        <v>92525126</v>
      </c>
      <c r="D923" s="3">
        <v>2355961</v>
      </c>
      <c r="E923" s="3">
        <v>13105</v>
      </c>
      <c r="F923">
        <f>YEAR(B923)</f>
        <v>2025</v>
      </c>
      <c r="G923" t="str">
        <f>TEXT(B923,"MMMM")</f>
        <v>October</v>
      </c>
      <c r="H923" t="str">
        <f>TEXT(B923, "DDDD")</f>
        <v>Friday</v>
      </c>
      <c r="I923">
        <f>((D923+E923)/C923)*100</f>
        <v>2.5604569292885913</v>
      </c>
      <c r="J923">
        <f>(D923/C923)*1000</f>
        <v>25.462932090468055</v>
      </c>
      <c r="K923">
        <f>(E923/C923)*1000</f>
        <v>0.14163720241785999</v>
      </c>
      <c r="L923">
        <f>CORREL(C923:C1421, D923:D1421)</f>
        <v>0.83842513414289654</v>
      </c>
      <c r="M923">
        <f>CORREL(C923:C1421,E923:E1421)</f>
        <v>0.16371034930497838</v>
      </c>
      <c r="N923">
        <f>LEN(A923)</f>
        <v>24</v>
      </c>
      <c r="O923" t="str">
        <f>IF(ISNUMBER(SEARCH("$",A923)), "Money", IF(ISNUMBER(SEARCH("Win",A923)), "Challenge",IF(ISNUMBER(SEARCH("Challenge",A923)), "Challenge",IF(ISNUMBER(SEARCH("Last To Leave",A923)),"Challenge",IF(ISNUMBER(SEARCH("Giving Away", A923)),"Giveaway",IF(ISNUMBER(SEARCH("Stranded",A923)),"Survival", IF(ISNUMBER(SEARCH("Survive",A923)), "Survival", IF(ISNUMBER(SEARCH("Days",A923)),"Endurance","Other"))))))))</f>
        <v>Challenge</v>
      </c>
    </row>
    <row r="924" spans="1:15" x14ac:dyDescent="0.3">
      <c r="A924" t="s">
        <v>929</v>
      </c>
      <c r="B924" s="1">
        <v>45993</v>
      </c>
      <c r="C924" s="2">
        <v>79571303</v>
      </c>
      <c r="D924" s="3">
        <v>1025116</v>
      </c>
      <c r="E924" s="3">
        <v>12507</v>
      </c>
      <c r="F924">
        <f>YEAR(B924)</f>
        <v>2025</v>
      </c>
      <c r="G924" t="str">
        <f>TEXT(B924,"MMMM")</f>
        <v>December</v>
      </c>
      <c r="H924" t="str">
        <f>TEXT(B924, "DDDD")</f>
        <v>Tuesday</v>
      </c>
      <c r="I924">
        <f>((D924+E924)/C924)*100</f>
        <v>1.3040166000549218</v>
      </c>
      <c r="J924">
        <f>(D924/C924)*1000</f>
        <v>12.88298621929064</v>
      </c>
      <c r="K924">
        <f>(E924/C924)*1000</f>
        <v>0.15717978125857759</v>
      </c>
      <c r="L924">
        <f>CORREL(C924:C1422, D924:D1422)</f>
        <v>0.83883792351522568</v>
      </c>
      <c r="M924">
        <f>CORREL(C924:C1422,E924:E1422)</f>
        <v>0.16209740628635411</v>
      </c>
      <c r="N924">
        <f>LEN(A924)</f>
        <v>32</v>
      </c>
      <c r="O924" t="str">
        <f>IF(ISNUMBER(SEARCH("$",A924)), "Money", IF(ISNUMBER(SEARCH("Win",A924)), "Challenge",IF(ISNUMBER(SEARCH("Challenge",A924)), "Challenge",IF(ISNUMBER(SEARCH("Last To Leave",A924)),"Challenge",IF(ISNUMBER(SEARCH("Giving Away", A924)),"Giveaway",IF(ISNUMBER(SEARCH("Stranded",A924)),"Survival", IF(ISNUMBER(SEARCH("Survive",A924)), "Survival", IF(ISNUMBER(SEARCH("Days",A924)),"Endurance","Other"))))))))</f>
        <v>Other</v>
      </c>
    </row>
    <row r="925" spans="1:15" x14ac:dyDescent="0.3">
      <c r="A925" t="s">
        <v>930</v>
      </c>
      <c r="B925" s="1">
        <v>45759</v>
      </c>
      <c r="C925" s="2">
        <v>77740419</v>
      </c>
      <c r="D925" s="3">
        <v>4263456</v>
      </c>
      <c r="E925" s="3">
        <v>73427</v>
      </c>
      <c r="F925">
        <f>YEAR(B925)</f>
        <v>2025</v>
      </c>
      <c r="G925" t="str">
        <f>TEXT(B925,"MMMM")</f>
        <v>April</v>
      </c>
      <c r="H925" t="str">
        <f>TEXT(B925, "DDDD")</f>
        <v>Saturday</v>
      </c>
      <c r="I925">
        <f>((D925+E925)/C925)*100</f>
        <v>5.5786720161618888</v>
      </c>
      <c r="J925">
        <f>(D925/C925)*1000</f>
        <v>54.842205056805781</v>
      </c>
      <c r="K925">
        <f>(E925/C925)*1000</f>
        <v>0.94451510481310885</v>
      </c>
      <c r="L925">
        <f>CORREL(C925:C1423, D925:D1423)</f>
        <v>0.8389040117875457</v>
      </c>
      <c r="M925">
        <f>CORREL(C925:C1423,E925:E1423)</f>
        <v>0.16021011351352904</v>
      </c>
      <c r="N925">
        <f>LEN(A925)</f>
        <v>33</v>
      </c>
      <c r="O925" t="str">
        <f>IF(ISNUMBER(SEARCH("$",A925)), "Money", IF(ISNUMBER(SEARCH("Win",A925)), "Challenge",IF(ISNUMBER(SEARCH("Challenge",A925)), "Challenge",IF(ISNUMBER(SEARCH("Last To Leave",A925)),"Challenge",IF(ISNUMBER(SEARCH("Giving Away", A925)),"Giveaway",IF(ISNUMBER(SEARCH("Stranded",A925)),"Survival", IF(ISNUMBER(SEARCH("Survive",A925)), "Survival", IF(ISNUMBER(SEARCH("Days",A925)),"Endurance","Other"))))))))</f>
        <v>Other</v>
      </c>
    </row>
    <row r="926" spans="1:15" x14ac:dyDescent="0.3">
      <c r="A926" t="s">
        <v>931</v>
      </c>
      <c r="B926" s="1">
        <v>45743</v>
      </c>
      <c r="C926" s="2">
        <v>72006301</v>
      </c>
      <c r="D926" s="3">
        <v>1594329</v>
      </c>
      <c r="E926" s="3">
        <v>7555</v>
      </c>
      <c r="F926">
        <f>YEAR(B926)</f>
        <v>2025</v>
      </c>
      <c r="G926" t="str">
        <f>TEXT(B926,"MMMM")</f>
        <v>March</v>
      </c>
      <c r="H926" t="str">
        <f>TEXT(B926, "DDDD")</f>
        <v>Thursday</v>
      </c>
      <c r="I926">
        <f>((D926+E926)/C926)*100</f>
        <v>2.2246442016234105</v>
      </c>
      <c r="J926">
        <f>(D926/C926)*1000</f>
        <v>22.141520642755971</v>
      </c>
      <c r="K926">
        <f>(E926/C926)*1000</f>
        <v>0.10492137347813492</v>
      </c>
      <c r="L926">
        <f>CORREL(C926:C1424, D926:D1424)</f>
        <v>0.85339739293625916</v>
      </c>
      <c r="M926">
        <f>CORREL(C926:C1424,E926:E1424)</f>
        <v>0.16025456385959874</v>
      </c>
      <c r="N926">
        <f>LEN(A926)</f>
        <v>31</v>
      </c>
      <c r="O926" t="str">
        <f>IF(ISNUMBER(SEARCH("$",A926)), "Money", IF(ISNUMBER(SEARCH("Win",A926)), "Challenge",IF(ISNUMBER(SEARCH("Challenge",A926)), "Challenge",IF(ISNUMBER(SEARCH("Last To Leave",A926)),"Challenge",IF(ISNUMBER(SEARCH("Giving Away", A926)),"Giveaway",IF(ISNUMBER(SEARCH("Stranded",A926)),"Survival", IF(ISNUMBER(SEARCH("Survive",A926)), "Survival", IF(ISNUMBER(SEARCH("Days",A926)),"Endurance","Other"))))))))</f>
        <v>Other</v>
      </c>
    </row>
    <row r="927" spans="1:15" x14ac:dyDescent="0.3">
      <c r="A927" t="s">
        <v>932</v>
      </c>
      <c r="B927" s="1">
        <v>45934</v>
      </c>
      <c r="C927" s="2">
        <v>62425691</v>
      </c>
      <c r="D927" s="3">
        <v>3705509</v>
      </c>
      <c r="E927" s="3">
        <v>114527</v>
      </c>
      <c r="F927">
        <f>YEAR(B927)</f>
        <v>2025</v>
      </c>
      <c r="G927" t="str">
        <f>TEXT(B927,"MMMM")</f>
        <v>October</v>
      </c>
      <c r="H927" t="str">
        <f>TEXT(B927, "DDDD")</f>
        <v>Saturday</v>
      </c>
      <c r="I927">
        <f>((D927+E927)/C927)*100</f>
        <v>6.1193331444260668</v>
      </c>
      <c r="J927">
        <f>(D927/C927)*1000</f>
        <v>59.358718191841881</v>
      </c>
      <c r="K927">
        <f>(E927/C927)*1000</f>
        <v>1.8346132524187837</v>
      </c>
      <c r="L927">
        <f>CORREL(C927:C1425, D927:D1425)</f>
        <v>0.85275940681480966</v>
      </c>
      <c r="M927">
        <f>CORREL(C927:C1425,E927:E1425)</f>
        <v>0.1579767668518916</v>
      </c>
      <c r="N927">
        <f>LEN(A927)</f>
        <v>17</v>
      </c>
      <c r="O927" t="str">
        <f>IF(ISNUMBER(SEARCH("$",A927)), "Money", IF(ISNUMBER(SEARCH("Win",A927)), "Challenge",IF(ISNUMBER(SEARCH("Challenge",A927)), "Challenge",IF(ISNUMBER(SEARCH("Last To Leave",A927)),"Challenge",IF(ISNUMBER(SEARCH("Giving Away", A927)),"Giveaway",IF(ISNUMBER(SEARCH("Stranded",A927)),"Survival", IF(ISNUMBER(SEARCH("Survive",A927)), "Survival", IF(ISNUMBER(SEARCH("Days",A927)),"Endurance","Other"))))))))</f>
        <v>Other</v>
      </c>
    </row>
    <row r="928" spans="1:15" x14ac:dyDescent="0.3">
      <c r="A928" t="s">
        <v>933</v>
      </c>
      <c r="B928" s="1">
        <v>45782</v>
      </c>
      <c r="C928" s="2">
        <v>61346750</v>
      </c>
      <c r="D928" s="3">
        <v>1810100</v>
      </c>
      <c r="E928" s="3">
        <v>8741</v>
      </c>
      <c r="F928">
        <f>YEAR(B928)</f>
        <v>2025</v>
      </c>
      <c r="G928" t="str">
        <f>TEXT(B928,"MMMM")</f>
        <v>May</v>
      </c>
      <c r="H928" t="str">
        <f>TEXT(B928, "DDDD")</f>
        <v>Monday</v>
      </c>
      <c r="I928">
        <f>((D928+E928)/C928)*100</f>
        <v>2.9648530688259767</v>
      </c>
      <c r="J928">
        <f>(D928/C928)*1000</f>
        <v>29.506045552535383</v>
      </c>
      <c r="K928">
        <f>(E928/C928)*1000</f>
        <v>0.14248513572438637</v>
      </c>
      <c r="L928">
        <f>CORREL(C928:C1426, D928:D1426)</f>
        <v>0.86319915767845046</v>
      </c>
      <c r="M928">
        <f>CORREL(C928:C1426,E928:E1426)</f>
        <v>0.1597557030181169</v>
      </c>
      <c r="N928">
        <f>LEN(A928)</f>
        <v>26</v>
      </c>
      <c r="O928" t="str">
        <f>IF(ISNUMBER(SEARCH("$",A928)), "Money", IF(ISNUMBER(SEARCH("Win",A928)), "Challenge",IF(ISNUMBER(SEARCH("Challenge",A928)), "Challenge",IF(ISNUMBER(SEARCH("Last To Leave",A928)),"Challenge",IF(ISNUMBER(SEARCH("Giving Away", A928)),"Giveaway",IF(ISNUMBER(SEARCH("Stranded",A928)),"Survival", IF(ISNUMBER(SEARCH("Survive",A928)), "Survival", IF(ISNUMBER(SEARCH("Days",A928)),"Endurance","Other"))))))))</f>
        <v>Money</v>
      </c>
    </row>
    <row r="929" spans="1:15" x14ac:dyDescent="0.3">
      <c r="A929" t="s">
        <v>934</v>
      </c>
      <c r="B929" s="1">
        <v>45996</v>
      </c>
      <c r="C929" s="2">
        <v>59020732</v>
      </c>
      <c r="D929" s="3">
        <v>1280478</v>
      </c>
      <c r="E929" s="3">
        <v>10514</v>
      </c>
      <c r="F929">
        <f>YEAR(B929)</f>
        <v>2025</v>
      </c>
      <c r="G929" t="str">
        <f>TEXT(B929,"MMMM")</f>
        <v>December</v>
      </c>
      <c r="H929" t="str">
        <f>TEXT(B929, "DDDD")</f>
        <v>Friday</v>
      </c>
      <c r="I929">
        <f>((D929+E929)/C929)*100</f>
        <v>2.1873534201507363</v>
      </c>
      <c r="J929">
        <f>(D929/C929)*1000</f>
        <v>21.6953934085399</v>
      </c>
      <c r="K929">
        <f>(E929/C929)*1000</f>
        <v>0.17814079296746099</v>
      </c>
      <c r="L929">
        <f>CORREL(C929:C1427, D929:D1427)</f>
        <v>0.8628035061206879</v>
      </c>
      <c r="M929">
        <f>CORREL(C929:C1427,E929:E1427)</f>
        <v>0.15723645861033503</v>
      </c>
      <c r="N929">
        <f>LEN(A929)</f>
        <v>30</v>
      </c>
      <c r="O929" t="str">
        <f>IF(ISNUMBER(SEARCH("$",A929)), "Money", IF(ISNUMBER(SEARCH("Win",A929)), "Challenge",IF(ISNUMBER(SEARCH("Challenge",A929)), "Challenge",IF(ISNUMBER(SEARCH("Last To Leave",A929)),"Challenge",IF(ISNUMBER(SEARCH("Giving Away", A929)),"Giveaway",IF(ISNUMBER(SEARCH("Stranded",A929)),"Survival", IF(ISNUMBER(SEARCH("Survive",A929)), "Survival", IF(ISNUMBER(SEARCH("Days",A929)),"Endurance","Other"))))))))</f>
        <v>Other</v>
      </c>
    </row>
    <row r="930" spans="1:15" x14ac:dyDescent="0.3">
      <c r="A930" t="s">
        <v>935</v>
      </c>
      <c r="B930" s="1">
        <v>45982</v>
      </c>
      <c r="C930" s="2">
        <v>49910524</v>
      </c>
      <c r="D930" s="3">
        <v>1097731</v>
      </c>
      <c r="E930" s="3">
        <v>13677</v>
      </c>
      <c r="F930">
        <f>YEAR(B930)</f>
        <v>2025</v>
      </c>
      <c r="G930" t="str">
        <f>TEXT(B930,"MMMM")</f>
        <v>November</v>
      </c>
      <c r="H930" t="str">
        <f>TEXT(B930, "DDDD")</f>
        <v>Friday</v>
      </c>
      <c r="I930">
        <f>((D930+E930)/C930)*100</f>
        <v>2.2268009047550774</v>
      </c>
      <c r="J930">
        <f>(D930/C930)*1000</f>
        <v>21.993978664700052</v>
      </c>
      <c r="K930">
        <f>(E930/C930)*1000</f>
        <v>0.27403038285071907</v>
      </c>
      <c r="L930">
        <f>CORREL(C930:C1428, D930:D1428)</f>
        <v>0.86200026962962184</v>
      </c>
      <c r="M930">
        <f>CORREL(C930:C1428,E930:E1428)</f>
        <v>0.15464657428137499</v>
      </c>
      <c r="N930">
        <f>LEN(A930)</f>
        <v>47</v>
      </c>
      <c r="O930" t="str">
        <f>IF(ISNUMBER(SEARCH("$",A930)), "Money", IF(ISNUMBER(SEARCH("Win",A930)), "Challenge",IF(ISNUMBER(SEARCH("Challenge",A930)), "Challenge",IF(ISNUMBER(SEARCH("Last To Leave",A930)),"Challenge",IF(ISNUMBER(SEARCH("Giving Away", A930)),"Giveaway",IF(ISNUMBER(SEARCH("Stranded",A930)),"Survival", IF(ISNUMBER(SEARCH("Survive",A930)), "Survival", IF(ISNUMBER(SEARCH("Days",A930)),"Endurance","Other"))))))))</f>
        <v>Other</v>
      </c>
    </row>
    <row r="931" spans="1:15" x14ac:dyDescent="0.3">
      <c r="A931" t="s">
        <v>936</v>
      </c>
      <c r="B931" s="1">
        <v>45951</v>
      </c>
      <c r="C931" s="2">
        <v>48423264</v>
      </c>
      <c r="D931" s="3">
        <v>865486</v>
      </c>
      <c r="E931" s="3">
        <v>8059</v>
      </c>
      <c r="F931">
        <f>YEAR(B931)</f>
        <v>2025</v>
      </c>
      <c r="G931" t="str">
        <f>TEXT(B931,"MMMM")</f>
        <v>October</v>
      </c>
      <c r="H931" t="str">
        <f>TEXT(B931, "DDDD")</f>
        <v>Tuesday</v>
      </c>
      <c r="I931">
        <f>((D931+E931)/C931)*100</f>
        <v>1.8039779391988113</v>
      </c>
      <c r="J931">
        <f>(D931/C931)*1000</f>
        <v>17.873351123129574</v>
      </c>
      <c r="K931">
        <f>(E931/C931)*1000</f>
        <v>0.16642826885853873</v>
      </c>
      <c r="L931">
        <f>CORREL(C931:C1429, D931:D1429)</f>
        <v>0.86112249001825114</v>
      </c>
      <c r="M931">
        <f>CORREL(C931:C1429,E931:E1429)</f>
        <v>0.1519400045111037</v>
      </c>
      <c r="N931">
        <f>LEN(A931)</f>
        <v>28</v>
      </c>
      <c r="O931" t="str">
        <f>IF(ISNUMBER(SEARCH("$",A931)), "Money", IF(ISNUMBER(SEARCH("Win",A931)), "Challenge",IF(ISNUMBER(SEARCH("Challenge",A931)), "Challenge",IF(ISNUMBER(SEARCH("Last To Leave",A931)),"Challenge",IF(ISNUMBER(SEARCH("Giving Away", A931)),"Giveaway",IF(ISNUMBER(SEARCH("Stranded",A931)),"Survival", IF(ISNUMBER(SEARCH("Survive",A931)), "Survival", IF(ISNUMBER(SEARCH("Days",A931)),"Endurance","Other"))))))))</f>
        <v>Other</v>
      </c>
    </row>
    <row r="932" spans="1:15" x14ac:dyDescent="0.3">
      <c r="A932" t="s">
        <v>937</v>
      </c>
      <c r="B932" s="1">
        <v>45997</v>
      </c>
      <c r="C932" s="2">
        <v>47272504</v>
      </c>
      <c r="D932" s="3">
        <v>960593</v>
      </c>
      <c r="E932" s="3">
        <v>14160</v>
      </c>
      <c r="F932">
        <f>YEAR(B932)</f>
        <v>2025</v>
      </c>
      <c r="G932" t="str">
        <f>TEXT(B932,"MMMM")</f>
        <v>December</v>
      </c>
      <c r="H932" t="str">
        <f>TEXT(B932, "DDDD")</f>
        <v>Saturday</v>
      </c>
      <c r="I932">
        <f>((D932+E932)/C932)*100</f>
        <v>2.0619872389243437</v>
      </c>
      <c r="J932">
        <f>(D932/C932)*1000</f>
        <v>20.320332512955098</v>
      </c>
      <c r="K932">
        <f>(E932/C932)*1000</f>
        <v>0.29953987628833878</v>
      </c>
      <c r="L932">
        <f>CORREL(C932:C1430, D932:D1430)</f>
        <v>0.86050909644756834</v>
      </c>
      <c r="M932">
        <f>CORREL(C932:C1430,E932:E1430)</f>
        <v>0.14883723291760284</v>
      </c>
      <c r="N932">
        <f>LEN(A932)</f>
        <v>32</v>
      </c>
      <c r="O932" t="str">
        <f>IF(ISNUMBER(SEARCH("$",A932)), "Money", IF(ISNUMBER(SEARCH("Win",A932)), "Challenge",IF(ISNUMBER(SEARCH("Challenge",A932)), "Challenge",IF(ISNUMBER(SEARCH("Last To Leave",A932)),"Challenge",IF(ISNUMBER(SEARCH("Giving Away", A932)),"Giveaway",IF(ISNUMBER(SEARCH("Stranded",A932)),"Survival", IF(ISNUMBER(SEARCH("Survive",A932)), "Survival", IF(ISNUMBER(SEARCH("Days",A932)),"Endurance","Other"))))))))</f>
        <v>Other</v>
      </c>
    </row>
    <row r="933" spans="1:15" x14ac:dyDescent="0.3">
      <c r="A933" t="s">
        <v>938</v>
      </c>
      <c r="B933" s="1">
        <v>45977</v>
      </c>
      <c r="C933" s="2">
        <v>42116983</v>
      </c>
      <c r="D933" s="3">
        <v>1530381</v>
      </c>
      <c r="E933" s="3">
        <v>19305</v>
      </c>
      <c r="F933">
        <f>YEAR(B933)</f>
        <v>2025</v>
      </c>
      <c r="G933" t="str">
        <f>TEXT(B933,"MMMM")</f>
        <v>November</v>
      </c>
      <c r="H933" t="str">
        <f>TEXT(B933, "DDDD")</f>
        <v>Sunday</v>
      </c>
      <c r="I933">
        <f>((D933+E933)/C933)*100</f>
        <v>3.6794800805176378</v>
      </c>
      <c r="J933">
        <f>(D933/C933)*1000</f>
        <v>36.33643463967968</v>
      </c>
      <c r="K933">
        <f>(E933/C933)*1000</f>
        <v>0.45836616549670711</v>
      </c>
      <c r="L933">
        <f>CORREL(C933:C1431, D933:D1431)</f>
        <v>0.85967180099598628</v>
      </c>
      <c r="M933">
        <f>CORREL(C933:C1431,E933:E1431)</f>
        <v>0.14586151777034034</v>
      </c>
      <c r="N933">
        <f>LEN(A933)</f>
        <v>19</v>
      </c>
      <c r="O933" t="str">
        <f>IF(ISNUMBER(SEARCH("$",A933)), "Money", IF(ISNUMBER(SEARCH("Win",A933)), "Challenge",IF(ISNUMBER(SEARCH("Challenge",A933)), "Challenge",IF(ISNUMBER(SEARCH("Last To Leave",A933)),"Challenge",IF(ISNUMBER(SEARCH("Giving Away", A933)),"Giveaway",IF(ISNUMBER(SEARCH("Stranded",A933)),"Survival", IF(ISNUMBER(SEARCH("Survive",A933)), "Survival", IF(ISNUMBER(SEARCH("Days",A933)),"Endurance","Other"))))))))</f>
        <v>Other</v>
      </c>
    </row>
    <row r="934" spans="1:15" x14ac:dyDescent="0.3">
      <c r="A934" t="s">
        <v>939</v>
      </c>
      <c r="B934" s="1">
        <v>45964</v>
      </c>
      <c r="C934" s="2">
        <v>38936751</v>
      </c>
      <c r="D934" s="3">
        <v>1432950</v>
      </c>
      <c r="E934" s="3">
        <v>17011</v>
      </c>
      <c r="F934">
        <f>YEAR(B934)</f>
        <v>2025</v>
      </c>
      <c r="G934" t="str">
        <f>TEXT(B934,"MMMM")</f>
        <v>November</v>
      </c>
      <c r="H934" t="str">
        <f>TEXT(B934, "DDDD")</f>
        <v>Monday</v>
      </c>
      <c r="I934">
        <f>((D934+E934)/C934)*100</f>
        <v>3.7238880049339507</v>
      </c>
      <c r="J934">
        <f>(D934/C934)*1000</f>
        <v>36.801992030613953</v>
      </c>
      <c r="K934">
        <f>(E934/C934)*1000</f>
        <v>0.436888018725548</v>
      </c>
      <c r="L934">
        <f>CORREL(C934:C1432, D934:D1432)</f>
        <v>0.85860095203852105</v>
      </c>
      <c r="M934">
        <f>CORREL(C934:C1432,E934:E1432)</f>
        <v>0.14292460379473673</v>
      </c>
      <c r="N934">
        <f>LEN(A934)</f>
        <v>21</v>
      </c>
      <c r="O934" t="str">
        <f>IF(ISNUMBER(SEARCH("$",A934)), "Money", IF(ISNUMBER(SEARCH("Win",A934)), "Challenge",IF(ISNUMBER(SEARCH("Challenge",A934)), "Challenge",IF(ISNUMBER(SEARCH("Last To Leave",A934)),"Challenge",IF(ISNUMBER(SEARCH("Giving Away", A934)),"Giveaway",IF(ISNUMBER(SEARCH("Stranded",A934)),"Survival", IF(ISNUMBER(SEARCH("Survive",A934)), "Survival", IF(ISNUMBER(SEARCH("Days",A934)),"Endurance","Other"))))))))</f>
        <v>Other</v>
      </c>
    </row>
    <row r="935" spans="1:15" x14ac:dyDescent="0.3">
      <c r="A935" t="s">
        <v>940</v>
      </c>
      <c r="B935" s="1">
        <v>46144</v>
      </c>
      <c r="C935" s="2">
        <v>130518718</v>
      </c>
      <c r="D935" s="3">
        <v>2579009</v>
      </c>
      <c r="E935" s="3">
        <v>1399899</v>
      </c>
      <c r="F935">
        <f>YEAR(B935)</f>
        <v>2026</v>
      </c>
      <c r="G935" t="str">
        <f>TEXT(B935,"MMMM")</f>
        <v>May</v>
      </c>
      <c r="H935" t="str">
        <f>TEXT(B935, "DDDD")</f>
        <v>Saturday</v>
      </c>
      <c r="I935">
        <f>((D935+E935)/C935)*100</f>
        <v>3.0485343872286577</v>
      </c>
      <c r="J935">
        <f>(D935/C935)*1000</f>
        <v>19.759686882612499</v>
      </c>
      <c r="K935">
        <f>(E935/C935)*1000</f>
        <v>10.725656989674079</v>
      </c>
      <c r="L935">
        <f>CORREL(C935:C1433, D935:D1433)</f>
        <v>0.85734549988538855</v>
      </c>
      <c r="M935">
        <f>CORREL(C935:C1433,E935:E1433)</f>
        <v>0.13968282764978962</v>
      </c>
      <c r="N935">
        <f>LEN(A935)</f>
        <v>52</v>
      </c>
      <c r="O935" t="str">
        <f>IF(ISNUMBER(SEARCH("$",A935)), "Money", IF(ISNUMBER(SEARCH("Win",A935)), "Challenge",IF(ISNUMBER(SEARCH("Challenge",A935)), "Challenge",IF(ISNUMBER(SEARCH("Last To Leave",A935)),"Challenge",IF(ISNUMBER(SEARCH("Giving Away", A935)),"Giveaway",IF(ISNUMBER(SEARCH("Stranded",A935)),"Survival", IF(ISNUMBER(SEARCH("Survive",A935)), "Survival", IF(ISNUMBER(SEARCH("Days",A935)),"Endurance","Other"))))))))</f>
        <v>Money</v>
      </c>
    </row>
    <row r="936" spans="1:15" x14ac:dyDescent="0.3">
      <c r="A936" t="s">
        <v>941</v>
      </c>
      <c r="B936" s="1">
        <v>46185</v>
      </c>
      <c r="C936" s="2">
        <v>8880900</v>
      </c>
      <c r="D936" s="3">
        <v>339957</v>
      </c>
      <c r="E936" s="3">
        <v>19736</v>
      </c>
      <c r="F936">
        <f>YEAR(B936)</f>
        <v>2026</v>
      </c>
      <c r="G936" t="str">
        <f>TEXT(B936,"MMMM")</f>
        <v>June</v>
      </c>
      <c r="H936" t="str">
        <f>TEXT(B936, "DDDD")</f>
        <v>Friday</v>
      </c>
      <c r="I936">
        <f>((D936+E936)/C936)*100</f>
        <v>4.0501863549865442</v>
      </c>
      <c r="J936">
        <f>(D936/C936)*1000</f>
        <v>38.279566260176331</v>
      </c>
      <c r="K936">
        <f>(E936/C936)*1000</f>
        <v>2.222297289689108</v>
      </c>
      <c r="L936">
        <f>CORREL(C936:C1434, D936:D1434)</f>
        <v>0.85783506937807086</v>
      </c>
      <c r="M936">
        <f>CORREL(C936:C1434,E936:E1434)</f>
        <v>0.28303366294629784</v>
      </c>
      <c r="N936">
        <f>LEN(A936)</f>
        <v>35</v>
      </c>
      <c r="O936" t="str">
        <f>IF(ISNUMBER(SEARCH("$",A936)), "Money", IF(ISNUMBER(SEARCH("Win",A936)), "Challenge",IF(ISNUMBER(SEARCH("Challenge",A936)), "Challenge",IF(ISNUMBER(SEARCH("Last To Leave",A936)),"Challenge",IF(ISNUMBER(SEARCH("Giving Away", A936)),"Giveaway",IF(ISNUMBER(SEARCH("Stranded",A936)),"Survival", IF(ISNUMBER(SEARCH("Survive",A936)), "Survival", IF(ISNUMBER(SEARCH("Days",A936)),"Endurance","Other"))))))))</f>
        <v>Other</v>
      </c>
    </row>
    <row r="937" spans="1:15" x14ac:dyDescent="0.3">
      <c r="A937" t="s">
        <v>942</v>
      </c>
      <c r="B937" s="1">
        <v>46186</v>
      </c>
      <c r="C937" s="2">
        <v>62264600</v>
      </c>
      <c r="D937" s="3">
        <v>1965717</v>
      </c>
      <c r="E937" s="3">
        <v>131250</v>
      </c>
      <c r="F937">
        <f>YEAR(B937)</f>
        <v>2026</v>
      </c>
      <c r="G937" t="str">
        <f>TEXT(B937,"MMMM")</f>
        <v>June</v>
      </c>
      <c r="H937" t="str">
        <f>TEXT(B937, "DDDD")</f>
        <v>Saturday</v>
      </c>
      <c r="I937">
        <f>((D937+E937)/C937)*100</f>
        <v>3.3678318016979154</v>
      </c>
      <c r="J937">
        <f>(D937/C937)*1000</f>
        <v>31.570378674238654</v>
      </c>
      <c r="K937">
        <f>(E937/C937)*1000</f>
        <v>2.1079393427404978</v>
      </c>
      <c r="L937">
        <f>CORREL(C937:C1435, D937:D1435)</f>
        <v>0.85683599287557233</v>
      </c>
      <c r="M937">
        <f>CORREL(C937:C1435,E937:E1435)</f>
        <v>0.28020713072511333</v>
      </c>
      <c r="N937">
        <f>LEN(A937)</f>
        <v>39</v>
      </c>
      <c r="O937" t="str">
        <f>IF(ISNUMBER(SEARCH("$",A937)), "Money", IF(ISNUMBER(SEARCH("Win",A937)), "Challenge",IF(ISNUMBER(SEARCH("Challenge",A937)), "Challenge",IF(ISNUMBER(SEARCH("Last To Leave",A937)),"Challenge",IF(ISNUMBER(SEARCH("Giving Away", A937)),"Giveaway",IF(ISNUMBER(SEARCH("Stranded",A937)),"Survival", IF(ISNUMBER(SEARCH("Survive",A937)), "Survival", IF(ISNUMBER(SEARCH("Days",A937)),"Endurance","Other"))))))))</f>
        <v>Money</v>
      </c>
    </row>
    <row r="938" spans="1:15" x14ac:dyDescent="0.3">
      <c r="A938" t="s">
        <v>943</v>
      </c>
      <c r="B938" s="1">
        <v>46190</v>
      </c>
      <c r="C938" s="2">
        <v>11011863</v>
      </c>
      <c r="D938" s="3">
        <v>446914</v>
      </c>
      <c r="E938" s="3">
        <v>17767</v>
      </c>
      <c r="F938">
        <f>YEAR(B938)</f>
        <v>2026</v>
      </c>
      <c r="G938" t="str">
        <f>TEXT(B938,"MMMM")</f>
        <v>June</v>
      </c>
      <c r="H938" t="str">
        <f>TEXT(B938, "DDDD")</f>
        <v>Wednesday</v>
      </c>
      <c r="I938">
        <f>((D938+E938)/C938)*100</f>
        <v>4.2198218412270476</v>
      </c>
      <c r="J938">
        <f>(D938/C938)*1000</f>
        <v>40.584776617725808</v>
      </c>
      <c r="K938">
        <f>(E938/C938)*1000</f>
        <v>1.6134417945446651</v>
      </c>
      <c r="L938">
        <f>CORREL(C938:C1436, D938:D1436)</f>
        <v>0.85635067419213662</v>
      </c>
      <c r="M938">
        <f>CORREL(C938:C1436,E938:E1436)</f>
        <v>0.28726960499956145</v>
      </c>
      <c r="N938">
        <f>LEN(A938)</f>
        <v>44</v>
      </c>
      <c r="O938" t="str">
        <f>IF(ISNUMBER(SEARCH("$",A938)), "Money", IF(ISNUMBER(SEARCH("Win",A938)), "Challenge",IF(ISNUMBER(SEARCH("Challenge",A938)), "Challenge",IF(ISNUMBER(SEARCH("Last To Leave",A938)),"Challenge",IF(ISNUMBER(SEARCH("Giving Away", A938)),"Giveaway",IF(ISNUMBER(SEARCH("Stranded",A938)),"Survival", IF(ISNUMBER(SEARCH("Survive",A938)), "Survival", IF(ISNUMBER(SEARCH("Days",A938)),"Endurance","Other"))))))))</f>
        <v>Other</v>
      </c>
    </row>
    <row r="939" spans="1:15" x14ac:dyDescent="0.3">
      <c r="A939" t="s">
        <v>944</v>
      </c>
      <c r="B939" s="1">
        <v>46158</v>
      </c>
      <c r="C939" s="2">
        <v>86411166</v>
      </c>
      <c r="D939" s="3">
        <v>1847674</v>
      </c>
      <c r="E939" s="3">
        <v>136619</v>
      </c>
      <c r="F939">
        <f>YEAR(B939)</f>
        <v>2026</v>
      </c>
      <c r="G939" t="str">
        <f>TEXT(B939,"MMMM")</f>
        <v>May</v>
      </c>
      <c r="H939" t="str">
        <f>TEXT(B939, "DDDD")</f>
        <v>Saturday</v>
      </c>
      <c r="I939">
        <f>((D939+E939)/C939)*100</f>
        <v>2.2963386467901614</v>
      </c>
      <c r="J939">
        <f>(D939/C939)*1000</f>
        <v>21.382352368674205</v>
      </c>
      <c r="K939">
        <f>(E939/C939)*1000</f>
        <v>1.5810340992274079</v>
      </c>
      <c r="L939">
        <f>CORREL(C939:C1437, D939:D1437)</f>
        <v>0.85498646313777926</v>
      </c>
      <c r="M939">
        <f>CORREL(C939:C1437,E939:E1437)</f>
        <v>0.28426076835421515</v>
      </c>
      <c r="N939">
        <f>LEN(A939)</f>
        <v>55</v>
      </c>
      <c r="O939" t="str">
        <f>IF(ISNUMBER(SEARCH("$",A939)), "Money", IF(ISNUMBER(SEARCH("Win",A939)), "Challenge",IF(ISNUMBER(SEARCH("Challenge",A939)), "Challenge",IF(ISNUMBER(SEARCH("Last To Leave",A939)),"Challenge",IF(ISNUMBER(SEARCH("Giving Away", A939)),"Giveaway",IF(ISNUMBER(SEARCH("Stranded",A939)),"Survival", IF(ISNUMBER(SEARCH("Survive",A939)), "Survival", IF(ISNUMBER(SEARCH("Days",A939)),"Endurance","Other"))))))))</f>
        <v>Money</v>
      </c>
    </row>
    <row r="940" spans="1:15" x14ac:dyDescent="0.3">
      <c r="A940" t="s">
        <v>945</v>
      </c>
      <c r="B940" s="1">
        <v>46149</v>
      </c>
      <c r="C940" s="2">
        <v>679847266</v>
      </c>
      <c r="D940" s="3">
        <v>5785615</v>
      </c>
      <c r="E940" s="3">
        <v>1054577</v>
      </c>
      <c r="F940">
        <f>YEAR(B940)</f>
        <v>2026</v>
      </c>
      <c r="G940" t="str">
        <f>TEXT(B940,"MMMM")</f>
        <v>May</v>
      </c>
      <c r="H940" t="str">
        <f>TEXT(B940, "DDDD")</f>
        <v>Thursday</v>
      </c>
      <c r="I940">
        <f>((D940+E940)/C940)*100</f>
        <v>1.0061365753878018</v>
      </c>
      <c r="J940">
        <f>(D940/C940)*1000</f>
        <v>8.5101688119460643</v>
      </c>
      <c r="K940">
        <f>(E940/C940)*1000</f>
        <v>1.5511969419319545</v>
      </c>
      <c r="L940">
        <f>CORREL(C940:C1438, D940:D1438)</f>
        <v>0.85410436757904351</v>
      </c>
      <c r="M940">
        <f>CORREL(C940:C1438,E940:E1438)</f>
        <v>0.2912244565800241</v>
      </c>
      <c r="N940">
        <f>LEN(A940)</f>
        <v>40</v>
      </c>
      <c r="O940" t="str">
        <f>IF(ISNUMBER(SEARCH("$",A940)), "Money", IF(ISNUMBER(SEARCH("Win",A940)), "Challenge",IF(ISNUMBER(SEARCH("Challenge",A940)), "Challenge",IF(ISNUMBER(SEARCH("Last To Leave",A940)),"Challenge",IF(ISNUMBER(SEARCH("Giving Away", A940)),"Giveaway",IF(ISNUMBER(SEARCH("Stranded",A940)),"Survival", IF(ISNUMBER(SEARCH("Survive",A940)), "Survival", IF(ISNUMBER(SEARCH("Days",A940)),"Endurance","Other"))))))))</f>
        <v>Other</v>
      </c>
    </row>
    <row r="941" spans="1:15" x14ac:dyDescent="0.3">
      <c r="A941" t="s">
        <v>946</v>
      </c>
      <c r="B941" s="1">
        <v>46116</v>
      </c>
      <c r="C941" s="2">
        <v>111478886</v>
      </c>
      <c r="D941" s="3">
        <v>2619052</v>
      </c>
      <c r="E941" s="3">
        <v>171141</v>
      </c>
      <c r="F941">
        <f>YEAR(B941)</f>
        <v>2026</v>
      </c>
      <c r="G941" t="str">
        <f>TEXT(B941,"MMMM")</f>
        <v>April</v>
      </c>
      <c r="H941" t="str">
        <f>TEXT(B941, "DDDD")</f>
        <v>Saturday</v>
      </c>
      <c r="I941">
        <f>((D941+E941)/C941)*100</f>
        <v>2.5028892018171045</v>
      </c>
      <c r="J941">
        <f>(D941/C941)*1000</f>
        <v>23.493704449109764</v>
      </c>
      <c r="K941">
        <f>(E941/C941)*1000</f>
        <v>1.535187569061284</v>
      </c>
      <c r="L941">
        <f>CORREL(C941:C1439, D941:D1439)</f>
        <v>0.84597029129706969</v>
      </c>
      <c r="M941">
        <f>CORREL(C941:C1439,E941:E1439)</f>
        <v>0.21833828620739848</v>
      </c>
      <c r="N941">
        <f>LEN(A941)</f>
        <v>33</v>
      </c>
      <c r="O941" t="str">
        <f>IF(ISNUMBER(SEARCH("$",A941)), "Money", IF(ISNUMBER(SEARCH("Win",A941)), "Challenge",IF(ISNUMBER(SEARCH("Challenge",A941)), "Challenge",IF(ISNUMBER(SEARCH("Last To Leave",A941)),"Challenge",IF(ISNUMBER(SEARCH("Giving Away", A941)),"Giveaway",IF(ISNUMBER(SEARCH("Stranded",A941)),"Survival", IF(ISNUMBER(SEARCH("Survive",A941)), "Survival", IF(ISNUMBER(SEARCH("Days",A941)),"Endurance","Other"))))))))</f>
        <v>Money</v>
      </c>
    </row>
    <row r="942" spans="1:15" x14ac:dyDescent="0.3">
      <c r="A942" t="s">
        <v>947</v>
      </c>
      <c r="B942" s="1">
        <v>46074</v>
      </c>
      <c r="C942" s="2">
        <v>70103357</v>
      </c>
      <c r="D942" s="3">
        <v>2387295</v>
      </c>
      <c r="E942" s="3">
        <v>96244</v>
      </c>
      <c r="F942">
        <f>YEAR(B942)</f>
        <v>2026</v>
      </c>
      <c r="G942" t="str">
        <f>TEXT(B942,"MMMM")</f>
        <v>February</v>
      </c>
      <c r="H942" t="str">
        <f>TEXT(B942, "DDDD")</f>
        <v>Saturday</v>
      </c>
      <c r="I942">
        <f>((D942+E942)/C942)*100</f>
        <v>3.5426819859710856</v>
      </c>
      <c r="J942">
        <f>(D942/C942)*1000</f>
        <v>34.053932681141077</v>
      </c>
      <c r="K942">
        <f>(E942/C942)*1000</f>
        <v>1.3728871785697796</v>
      </c>
      <c r="L942">
        <f>CORREL(C942:C1440, D942:D1440)</f>
        <v>0.84689124351956047</v>
      </c>
      <c r="M942">
        <f>CORREL(C942:C1440,E942:E1440)</f>
        <v>0.26480492990556831</v>
      </c>
      <c r="N942">
        <f>LEN(A942)</f>
        <v>35</v>
      </c>
      <c r="O942" t="str">
        <f>IF(ISNUMBER(SEARCH("$",A942)), "Money", IF(ISNUMBER(SEARCH("Win",A942)), "Challenge",IF(ISNUMBER(SEARCH("Challenge",A942)), "Challenge",IF(ISNUMBER(SEARCH("Last To Leave",A942)),"Challenge",IF(ISNUMBER(SEARCH("Giving Away", A942)),"Giveaway",IF(ISNUMBER(SEARCH("Stranded",A942)),"Survival", IF(ISNUMBER(SEARCH("Survive",A942)), "Survival", IF(ISNUMBER(SEARCH("Days",A942)),"Endurance","Other"))))))))</f>
        <v>Other</v>
      </c>
    </row>
    <row r="943" spans="1:15" x14ac:dyDescent="0.3">
      <c r="A943" t="s">
        <v>948</v>
      </c>
      <c r="B943" s="1">
        <v>46088</v>
      </c>
      <c r="C943" s="2">
        <v>128541828</v>
      </c>
      <c r="D943" s="3">
        <v>2473487</v>
      </c>
      <c r="E943" s="3">
        <v>151158</v>
      </c>
      <c r="F943">
        <f>YEAR(B943)</f>
        <v>2026</v>
      </c>
      <c r="G943" t="str">
        <f>TEXT(B943,"MMMM")</f>
        <v>March</v>
      </c>
      <c r="H943" t="str">
        <f>TEXT(B943, "DDDD")</f>
        <v>Saturday</v>
      </c>
      <c r="I943">
        <f>((D943+E943)/C943)*100</f>
        <v>2.041860646325957</v>
      </c>
      <c r="J943">
        <f>(D943/C943)*1000</f>
        <v>19.2426623962435</v>
      </c>
      <c r="K943">
        <f>(E943/C943)*1000</f>
        <v>1.1759440670160688</v>
      </c>
      <c r="L943">
        <f>CORREL(C943:C1441, D943:D1441)</f>
        <v>0.84776846686762264</v>
      </c>
      <c r="M943">
        <f>CORREL(C943:C1441,E943:E1441)</f>
        <v>0.28708161889171935</v>
      </c>
      <c r="N943">
        <f>LEN(A943)</f>
        <v>51</v>
      </c>
      <c r="O943" t="str">
        <f>IF(ISNUMBER(SEARCH("$",A943)), "Money", IF(ISNUMBER(SEARCH("Win",A943)), "Challenge",IF(ISNUMBER(SEARCH("Challenge",A943)), "Challenge",IF(ISNUMBER(SEARCH("Last To Leave",A943)),"Challenge",IF(ISNUMBER(SEARCH("Giving Away", A943)),"Giveaway",IF(ISNUMBER(SEARCH("Stranded",A943)),"Survival", IF(ISNUMBER(SEARCH("Survive",A943)), "Survival", IF(ISNUMBER(SEARCH("Days",A943)),"Endurance","Other"))))))))</f>
        <v>Money</v>
      </c>
    </row>
    <row r="944" spans="1:15" x14ac:dyDescent="0.3">
      <c r="A944" t="s">
        <v>949</v>
      </c>
      <c r="B944" s="1">
        <v>46172</v>
      </c>
      <c r="C944" s="2">
        <v>85713424</v>
      </c>
      <c r="D944" s="3">
        <v>2372163</v>
      </c>
      <c r="E944" s="3">
        <v>97537</v>
      </c>
      <c r="F944">
        <f>YEAR(B944)</f>
        <v>2026</v>
      </c>
      <c r="G944" t="str">
        <f>TEXT(B944,"MMMM")</f>
        <v>May</v>
      </c>
      <c r="H944" t="str">
        <f>TEXT(B944, "DDDD")</f>
        <v>Saturday</v>
      </c>
      <c r="I944">
        <f>((D944+E944)/C944)*100</f>
        <v>2.8813456337947718</v>
      </c>
      <c r="J944">
        <f>(D944/C944)*1000</f>
        <v>27.675513231159684</v>
      </c>
      <c r="K944">
        <f>(E944/C944)*1000</f>
        <v>1.1379431067880335</v>
      </c>
      <c r="L944">
        <f>CORREL(C944:C1442, D944:D1442)</f>
        <v>0.84795545135148664</v>
      </c>
      <c r="M944">
        <f>CORREL(C944:C1442,E944:E1442)</f>
        <v>0.33414465431337581</v>
      </c>
      <c r="N944">
        <f>LEN(A944)</f>
        <v>29</v>
      </c>
      <c r="O944" t="str">
        <f>IF(ISNUMBER(SEARCH("$",A944)), "Money", IF(ISNUMBER(SEARCH("Win",A944)), "Challenge",IF(ISNUMBER(SEARCH("Challenge",A944)), "Challenge",IF(ISNUMBER(SEARCH("Last To Leave",A944)),"Challenge",IF(ISNUMBER(SEARCH("Giving Away", A944)),"Giveaway",IF(ISNUMBER(SEARCH("Stranded",A944)),"Survival", IF(ISNUMBER(SEARCH("Survive",A944)), "Survival", IF(ISNUMBER(SEARCH("Days",A944)),"Endurance","Other"))))))))</f>
        <v>Survival</v>
      </c>
    </row>
    <row r="945" spans="1:15" x14ac:dyDescent="0.3">
      <c r="A945" t="s">
        <v>950</v>
      </c>
      <c r="B945" s="1">
        <v>46130</v>
      </c>
      <c r="C945" s="2">
        <v>158846200</v>
      </c>
      <c r="D945" s="3">
        <v>3208380</v>
      </c>
      <c r="E945" s="3">
        <v>168813</v>
      </c>
      <c r="F945">
        <f>YEAR(B945)</f>
        <v>2026</v>
      </c>
      <c r="G945" t="str">
        <f>TEXT(B945,"MMMM")</f>
        <v>April</v>
      </c>
      <c r="H945" t="str">
        <f>TEXT(B945, "DDDD")</f>
        <v>Saturday</v>
      </c>
      <c r="I945">
        <f>((D945+E945)/C945)*100</f>
        <v>2.1260772999291135</v>
      </c>
      <c r="J945">
        <f>(D945/C945)*1000</f>
        <v>20.198028029628659</v>
      </c>
      <c r="K945">
        <f>(E945/C945)*1000</f>
        <v>1.0627449696624787</v>
      </c>
      <c r="L945">
        <f>CORREL(C945:C1443, D945:D1443)</f>
        <v>0.84849736710346713</v>
      </c>
      <c r="M945">
        <f>CORREL(C945:C1443,E945:E1443)</f>
        <v>0.36264742946650069</v>
      </c>
      <c r="N945">
        <f>LEN(A945)</f>
        <v>42</v>
      </c>
      <c r="O945" t="str">
        <f>IF(ISNUMBER(SEARCH("$",A945)), "Money", IF(ISNUMBER(SEARCH("Win",A945)), "Challenge",IF(ISNUMBER(SEARCH("Challenge",A945)), "Challenge",IF(ISNUMBER(SEARCH("Last To Leave",A945)),"Challenge",IF(ISNUMBER(SEARCH("Giving Away", A945)),"Giveaway",IF(ISNUMBER(SEARCH("Stranded",A945)),"Survival", IF(ISNUMBER(SEARCH("Survive",A945)), "Survival", IF(ISNUMBER(SEARCH("Days",A945)),"Endurance","Other"))))))))</f>
        <v>Money</v>
      </c>
    </row>
    <row r="946" spans="1:15" x14ac:dyDescent="0.3">
      <c r="A946" t="s">
        <v>951</v>
      </c>
      <c r="B946" s="1">
        <v>46091</v>
      </c>
      <c r="C946" s="2">
        <v>19230719</v>
      </c>
      <c r="D946" s="3">
        <v>940015</v>
      </c>
      <c r="E946" s="3">
        <v>20005</v>
      </c>
      <c r="F946">
        <f>YEAR(B946)</f>
        <v>2026</v>
      </c>
      <c r="G946" t="str">
        <f>TEXT(B946,"MMMM")</f>
        <v>March</v>
      </c>
      <c r="H946" t="str">
        <f>TEXT(B946, "DDDD")</f>
        <v>Tuesday</v>
      </c>
      <c r="I946">
        <f>((D946+E946)/C946)*100</f>
        <v>4.992117039409707</v>
      </c>
      <c r="J946">
        <f>(D946/C946)*1000</f>
        <v>48.880907676930853</v>
      </c>
      <c r="K946">
        <f>(E946/C946)*1000</f>
        <v>1.0402627171662171</v>
      </c>
      <c r="L946">
        <f>CORREL(C946:C1444, D946:D1444)</f>
        <v>0.85111255838791777</v>
      </c>
      <c r="M946">
        <f>CORREL(C946:C1444,E946:E1444)</f>
        <v>0.44381916642925062</v>
      </c>
      <c r="N946">
        <f>LEN(A946)</f>
        <v>28</v>
      </c>
      <c r="O946" t="str">
        <f>IF(ISNUMBER(SEARCH("$",A946)), "Money", IF(ISNUMBER(SEARCH("Win",A946)), "Challenge",IF(ISNUMBER(SEARCH("Challenge",A946)), "Challenge",IF(ISNUMBER(SEARCH("Last To Leave",A946)),"Challenge",IF(ISNUMBER(SEARCH("Giving Away", A946)),"Giveaway",IF(ISNUMBER(SEARCH("Stranded",A946)),"Survival", IF(ISNUMBER(SEARCH("Survive",A946)), "Survival", IF(ISNUMBER(SEARCH("Days",A946)),"Endurance","Other"))))))))</f>
        <v>Other</v>
      </c>
    </row>
    <row r="947" spans="1:15" x14ac:dyDescent="0.3">
      <c r="A947" t="s">
        <v>952</v>
      </c>
      <c r="B947" s="1">
        <v>46029</v>
      </c>
      <c r="C947" s="2">
        <v>128893992</v>
      </c>
      <c r="D947" s="3">
        <v>2660932</v>
      </c>
      <c r="E947" s="3">
        <v>119334</v>
      </c>
      <c r="F947">
        <f>YEAR(B947)</f>
        <v>2026</v>
      </c>
      <c r="G947" t="str">
        <f>TEXT(B947,"MMMM")</f>
        <v>January</v>
      </c>
      <c r="H947" t="str">
        <f>TEXT(B947, "DDDD")</f>
        <v>Wednesday</v>
      </c>
      <c r="I947">
        <f>((D947+E947)/C947)*100</f>
        <v>2.1570175280163562</v>
      </c>
      <c r="J947">
        <f>(D947/C947)*1000</f>
        <v>20.644344695290375</v>
      </c>
      <c r="K947">
        <f>(E947/C947)*1000</f>
        <v>0.92583058487318781</v>
      </c>
      <c r="L947">
        <f>CORREL(C947:C1445, D947:D1445)</f>
        <v>0.84854967336655474</v>
      </c>
      <c r="M947">
        <f>CORREL(C947:C1445,E947:E1445)</f>
        <v>0.44108837933391687</v>
      </c>
      <c r="N947">
        <f>LEN(A947)</f>
        <v>36</v>
      </c>
      <c r="O947" t="str">
        <f>IF(ISNUMBER(SEARCH("$",A947)), "Money", IF(ISNUMBER(SEARCH("Win",A947)), "Challenge",IF(ISNUMBER(SEARCH("Challenge",A947)), "Challenge",IF(ISNUMBER(SEARCH("Last To Leave",A947)),"Challenge",IF(ISNUMBER(SEARCH("Giving Away", A947)),"Giveaway",IF(ISNUMBER(SEARCH("Stranded",A947)),"Survival", IF(ISNUMBER(SEARCH("Survive",A947)), "Survival", IF(ISNUMBER(SEARCH("Days",A947)),"Endurance","Other"))))))))</f>
        <v>Money</v>
      </c>
    </row>
    <row r="948" spans="1:15" x14ac:dyDescent="0.3">
      <c r="A948" t="s">
        <v>953</v>
      </c>
      <c r="B948" s="1">
        <v>46140</v>
      </c>
      <c r="C948" s="2">
        <v>18371605</v>
      </c>
      <c r="D948" s="3">
        <v>566707</v>
      </c>
      <c r="E948" s="3">
        <v>16318</v>
      </c>
      <c r="F948">
        <f>YEAR(B948)</f>
        <v>2026</v>
      </c>
      <c r="G948" t="str">
        <f>TEXT(B948,"MMMM")</f>
        <v>April</v>
      </c>
      <c r="H948" t="str">
        <f>TEXT(B948, "DDDD")</f>
        <v>Tuesday</v>
      </c>
      <c r="I948">
        <f>((D948+E948)/C948)*100</f>
        <v>3.1735115141001558</v>
      </c>
      <c r="J948">
        <f>(D948/C948)*1000</f>
        <v>30.846896610285278</v>
      </c>
      <c r="K948">
        <f>(E948/C948)*1000</f>
        <v>0.88821853071628742</v>
      </c>
      <c r="L948">
        <f>CORREL(C948:C1446, D948:D1446)</f>
        <v>0.84945246770969707</v>
      </c>
      <c r="M948">
        <f>CORREL(C948:C1446,E948:E1446)</f>
        <v>0.50269107605713426</v>
      </c>
      <c r="N948">
        <f>LEN(A948)</f>
        <v>45</v>
      </c>
      <c r="O948" t="str">
        <f>IF(ISNUMBER(SEARCH("$",A948)), "Money", IF(ISNUMBER(SEARCH("Win",A948)), "Challenge",IF(ISNUMBER(SEARCH("Challenge",A948)), "Challenge",IF(ISNUMBER(SEARCH("Last To Leave",A948)),"Challenge",IF(ISNUMBER(SEARCH("Giving Away", A948)),"Giveaway",IF(ISNUMBER(SEARCH("Stranded",A948)),"Survival", IF(ISNUMBER(SEARCH("Survive",A948)), "Survival", IF(ISNUMBER(SEARCH("Days",A948)),"Endurance","Other"))))))))</f>
        <v>Other</v>
      </c>
    </row>
    <row r="949" spans="1:15" x14ac:dyDescent="0.3">
      <c r="A949" t="s">
        <v>954</v>
      </c>
      <c r="B949" s="1">
        <v>46102</v>
      </c>
      <c r="C949" s="2">
        <v>140045451</v>
      </c>
      <c r="D949" s="3">
        <v>2900664</v>
      </c>
      <c r="E949" s="3">
        <v>118253</v>
      </c>
      <c r="F949">
        <f>YEAR(B949)</f>
        <v>2026</v>
      </c>
      <c r="G949" t="str">
        <f>TEXT(B949,"MMMM")</f>
        <v>March</v>
      </c>
      <c r="H949" t="str">
        <f>TEXT(B949, "DDDD")</f>
        <v>Saturday</v>
      </c>
      <c r="I949">
        <f>((D949+E949)/C949)*100</f>
        <v>2.1556694476281133</v>
      </c>
      <c r="J949">
        <f>(D949/C949)*1000</f>
        <v>20.712304321830491</v>
      </c>
      <c r="K949">
        <f>(E949/C949)*1000</f>
        <v>0.84439015445064336</v>
      </c>
      <c r="L949">
        <f>CORREL(C949:C1447, D949:D1447)</f>
        <v>0.84699916087570826</v>
      </c>
      <c r="M949">
        <f>CORREL(C949:C1447,E949:E1447)</f>
        <v>0.49924810327136937</v>
      </c>
      <c r="N949">
        <f>LEN(A949)</f>
        <v>41</v>
      </c>
      <c r="O949" t="str">
        <f>IF(ISNUMBER(SEARCH("$",A949)), "Money", IF(ISNUMBER(SEARCH("Win",A949)), "Challenge",IF(ISNUMBER(SEARCH("Challenge",A949)), "Challenge",IF(ISNUMBER(SEARCH("Last To Leave",A949)),"Challenge",IF(ISNUMBER(SEARCH("Giving Away", A949)),"Giveaway",IF(ISNUMBER(SEARCH("Stranded",A949)),"Survival", IF(ISNUMBER(SEARCH("Survive",A949)), "Survival", IF(ISNUMBER(SEARCH("Days",A949)),"Endurance","Other"))))))))</f>
        <v>Other</v>
      </c>
    </row>
    <row r="950" spans="1:15" x14ac:dyDescent="0.3">
      <c r="A950" t="s">
        <v>955</v>
      </c>
      <c r="B950" s="1">
        <v>46145</v>
      </c>
      <c r="C950" s="2">
        <v>15670322</v>
      </c>
      <c r="D950" s="3">
        <v>421128</v>
      </c>
      <c r="E950" s="3">
        <v>12014</v>
      </c>
      <c r="F950">
        <f>YEAR(B950)</f>
        <v>2026</v>
      </c>
      <c r="G950" t="str">
        <f>TEXT(B950,"MMMM")</f>
        <v>May</v>
      </c>
      <c r="H950" t="str">
        <f>TEXT(B950, "DDDD")</f>
        <v>Sunday</v>
      </c>
      <c r="I950">
        <f>((D950+E950)/C950)*100</f>
        <v>2.7640912547936156</v>
      </c>
      <c r="J950">
        <f>(D950/C950)*1000</f>
        <v>26.874240363407974</v>
      </c>
      <c r="K950">
        <f>(E950/C950)*1000</f>
        <v>0.76667218452818009</v>
      </c>
      <c r="L950">
        <f>CORREL(C950:C1448, D950:D1448)</f>
        <v>0.84869874891297148</v>
      </c>
      <c r="M950">
        <f>CORREL(C950:C1448,E950:E1448)</f>
        <v>0.5759582073463404</v>
      </c>
      <c r="N950">
        <f>LEN(A950)</f>
        <v>28</v>
      </c>
      <c r="O950" t="str">
        <f>IF(ISNUMBER(SEARCH("$",A950)), "Money", IF(ISNUMBER(SEARCH("Win",A950)), "Challenge",IF(ISNUMBER(SEARCH("Challenge",A950)), "Challenge",IF(ISNUMBER(SEARCH("Last To Leave",A950)),"Challenge",IF(ISNUMBER(SEARCH("Giving Away", A950)),"Giveaway",IF(ISNUMBER(SEARCH("Stranded",A950)),"Survival", IF(ISNUMBER(SEARCH("Survive",A950)), "Survival", IF(ISNUMBER(SEARCH("Days",A950)),"Endurance","Other"))))))))</f>
        <v>Other</v>
      </c>
    </row>
    <row r="951" spans="1:15" x14ac:dyDescent="0.3">
      <c r="A951" t="s">
        <v>956</v>
      </c>
      <c r="B951" s="1">
        <v>46060</v>
      </c>
      <c r="C951" s="2">
        <v>126420335</v>
      </c>
      <c r="D951" s="3">
        <v>1749517</v>
      </c>
      <c r="E951" s="3">
        <v>86987</v>
      </c>
      <c r="F951">
        <f>YEAR(B951)</f>
        <v>2026</v>
      </c>
      <c r="G951" t="str">
        <f>TEXT(B951,"MMMM")</f>
        <v>February</v>
      </c>
      <c r="H951" t="str">
        <f>TEXT(B951, "DDDD")</f>
        <v>Saturday</v>
      </c>
      <c r="I951">
        <f>((D951+E951)/C951)*100</f>
        <v>1.4526966725724939</v>
      </c>
      <c r="J951">
        <f>(D951/C951)*1000</f>
        <v>13.838889131246171</v>
      </c>
      <c r="K951">
        <f>(E951/C951)*1000</f>
        <v>0.68807759447876804</v>
      </c>
      <c r="L951">
        <f>CORREL(C951:C1449, D951:D1449)</f>
        <v>0.84619737105016923</v>
      </c>
      <c r="M951">
        <f>CORREL(C951:C1449,E951:E1449)</f>
        <v>0.57158580615878651</v>
      </c>
      <c r="N951">
        <f>LEN(A951)</f>
        <v>31</v>
      </c>
      <c r="O951" t="str">
        <f>IF(ISNUMBER(SEARCH("$",A951)), "Money", IF(ISNUMBER(SEARCH("Win",A951)), "Challenge",IF(ISNUMBER(SEARCH("Challenge",A951)), "Challenge",IF(ISNUMBER(SEARCH("Last To Leave",A951)),"Challenge",IF(ISNUMBER(SEARCH("Giving Away", A951)),"Giveaway",IF(ISNUMBER(SEARCH("Stranded",A951)),"Survival", IF(ISNUMBER(SEARCH("Survive",A951)), "Survival", IF(ISNUMBER(SEARCH("Days",A951)),"Endurance","Other"))))))))</f>
        <v>Money</v>
      </c>
    </row>
    <row r="952" spans="1:15" x14ac:dyDescent="0.3">
      <c r="A952" t="s">
        <v>957</v>
      </c>
      <c r="B952" s="1">
        <v>46075</v>
      </c>
      <c r="C952" s="2">
        <v>26738846</v>
      </c>
      <c r="D952" s="3">
        <v>988766</v>
      </c>
      <c r="E952" s="3">
        <v>16175</v>
      </c>
      <c r="F952">
        <f>YEAR(B952)</f>
        <v>2026</v>
      </c>
      <c r="G952" t="str">
        <f>TEXT(B952,"MMMM")</f>
        <v>February</v>
      </c>
      <c r="H952" t="str">
        <f>TEXT(B952, "DDDD")</f>
        <v>Sunday</v>
      </c>
      <c r="I952">
        <f>((D952+E952)/C952)*100</f>
        <v>3.7583559140884391</v>
      </c>
      <c r="J952">
        <f>(D952/C952)*1000</f>
        <v>36.978634006867757</v>
      </c>
      <c r="K952">
        <f>(E952/C952)*1000</f>
        <v>0.60492513401662884</v>
      </c>
      <c r="L952">
        <f>CORREL(C952:C1450, D952:D1450)</f>
        <v>0.84513658011052017</v>
      </c>
      <c r="M952">
        <f>CORREL(C952:C1450,E952:E1450)</f>
        <v>0.62426989228284946</v>
      </c>
      <c r="N952">
        <f>LEN(A952)</f>
        <v>26</v>
      </c>
      <c r="O952" t="str">
        <f>IF(ISNUMBER(SEARCH("$",A952)), "Money", IF(ISNUMBER(SEARCH("Win",A952)), "Challenge",IF(ISNUMBER(SEARCH("Challenge",A952)), "Challenge",IF(ISNUMBER(SEARCH("Last To Leave",A952)),"Challenge",IF(ISNUMBER(SEARCH("Giving Away", A952)),"Giveaway",IF(ISNUMBER(SEARCH("Stranded",A952)),"Survival", IF(ISNUMBER(SEARCH("Survive",A952)), "Survival", IF(ISNUMBER(SEARCH("Days",A952)),"Endurance","Other"))))))))</f>
        <v>Other</v>
      </c>
    </row>
    <row r="953" spans="1:15" x14ac:dyDescent="0.3">
      <c r="A953" t="s">
        <v>958</v>
      </c>
      <c r="B953" s="1">
        <v>46046</v>
      </c>
      <c r="C953" s="2">
        <v>153266977</v>
      </c>
      <c r="D953" s="3">
        <v>3150143</v>
      </c>
      <c r="E953" s="3">
        <v>90178</v>
      </c>
      <c r="F953">
        <f>YEAR(B953)</f>
        <v>2026</v>
      </c>
      <c r="G953" t="str">
        <f>TEXT(B953,"MMMM")</f>
        <v>January</v>
      </c>
      <c r="H953" t="str">
        <f>TEXT(B953, "DDDD")</f>
        <v>Saturday</v>
      </c>
      <c r="I953">
        <f>((D953+E953)/C953)*100</f>
        <v>2.1141677505650809</v>
      </c>
      <c r="J953">
        <f>(D953/C953)*1000</f>
        <v>20.553305491240948</v>
      </c>
      <c r="K953">
        <f>(E953/C953)*1000</f>
        <v>0.58837201440986209</v>
      </c>
      <c r="L953">
        <f>CORREL(C953:C1451, D953:D1451)</f>
        <v>0.84172182189545486</v>
      </c>
      <c r="M953">
        <f>CORREL(C953:C1451,E953:E1451)</f>
        <v>0.62282470855689231</v>
      </c>
      <c r="N953">
        <f>LEN(A953)</f>
        <v>37</v>
      </c>
      <c r="O953" t="str">
        <f>IF(ISNUMBER(SEARCH("$",A953)), "Money", IF(ISNUMBER(SEARCH("Win",A953)), "Challenge",IF(ISNUMBER(SEARCH("Challenge",A953)), "Challenge",IF(ISNUMBER(SEARCH("Last To Leave",A953)),"Challenge",IF(ISNUMBER(SEARCH("Giving Away", A953)),"Giveaway",IF(ISNUMBER(SEARCH("Stranded",A953)),"Survival", IF(ISNUMBER(SEARCH("Survive",A953)), "Survival", IF(ISNUMBER(SEARCH("Days",A953)),"Endurance","Other"))))))))</f>
        <v>Money</v>
      </c>
    </row>
    <row r="954" spans="1:15" x14ac:dyDescent="0.3">
      <c r="A954" t="s">
        <v>959</v>
      </c>
      <c r="B954" s="1">
        <v>46139</v>
      </c>
      <c r="C954" s="2">
        <v>18460027</v>
      </c>
      <c r="D954" s="3">
        <v>400068</v>
      </c>
      <c r="E954" s="3">
        <v>8907</v>
      </c>
      <c r="F954">
        <f>YEAR(B954)</f>
        <v>2026</v>
      </c>
      <c r="G954" t="str">
        <f>TEXT(B954,"MMMM")</f>
        <v>April</v>
      </c>
      <c r="H954" t="str">
        <f>TEXT(B954, "DDDD")</f>
        <v>Monday</v>
      </c>
      <c r="I954">
        <f>((D954+E954)/C954)*100</f>
        <v>2.215462631771882</v>
      </c>
      <c r="J954">
        <f>(D954/C954)*1000</f>
        <v>21.672124314877763</v>
      </c>
      <c r="K954">
        <f>(E954/C954)*1000</f>
        <v>0.48250200284105765</v>
      </c>
      <c r="L954">
        <f>CORREL(C954:C1452, D954:D1452)</f>
        <v>0.84429713492230896</v>
      </c>
      <c r="M954">
        <f>CORREL(C954:C1452,E954:E1452)</f>
        <v>0.68670529617027953</v>
      </c>
      <c r="N954">
        <f>LEN(A954)</f>
        <v>24</v>
      </c>
      <c r="O954" t="str">
        <f>IF(ISNUMBER(SEARCH("$",A954)), "Money", IF(ISNUMBER(SEARCH("Win",A954)), "Challenge",IF(ISNUMBER(SEARCH("Challenge",A954)), "Challenge",IF(ISNUMBER(SEARCH("Last To Leave",A954)),"Challenge",IF(ISNUMBER(SEARCH("Giving Away", A954)),"Giveaway",IF(ISNUMBER(SEARCH("Stranded",A954)),"Survival", IF(ISNUMBER(SEARCH("Survive",A954)), "Survival", IF(ISNUMBER(SEARCH("Days",A954)),"Endurance","Other"))))))))</f>
        <v>Other</v>
      </c>
    </row>
    <row r="955" spans="1:15" x14ac:dyDescent="0.3">
      <c r="A955" t="s">
        <v>960</v>
      </c>
      <c r="B955" s="1">
        <v>46114</v>
      </c>
      <c r="C955" s="2">
        <v>16947694</v>
      </c>
      <c r="D955" s="3">
        <v>453994</v>
      </c>
      <c r="E955" s="3">
        <v>8025</v>
      </c>
      <c r="F955">
        <f>YEAR(B955)</f>
        <v>2026</v>
      </c>
      <c r="G955" t="str">
        <f>TEXT(B955,"MMMM")</f>
        <v>April</v>
      </c>
      <c r="H955" t="str">
        <f>TEXT(B955, "DDDD")</f>
        <v>Thursday</v>
      </c>
      <c r="I955">
        <f>((D955+E955)/C955)*100</f>
        <v>2.7261466958277629</v>
      </c>
      <c r="J955">
        <f>(D955/C955)*1000</f>
        <v>26.787951210353455</v>
      </c>
      <c r="K955">
        <f>(E955/C955)*1000</f>
        <v>0.47351574792417184</v>
      </c>
      <c r="L955">
        <f>CORREL(C955:C1453, D955:D1453)</f>
        <v>0.8412202776938924</v>
      </c>
      <c r="M955">
        <f>CORREL(C955:C1453,E955:E1453)</f>
        <v>0.68283806942440484</v>
      </c>
      <c r="N955">
        <f>LEN(A955)</f>
        <v>32</v>
      </c>
      <c r="O955" t="str">
        <f>IF(ISNUMBER(SEARCH("$",A955)), "Money", IF(ISNUMBER(SEARCH("Win",A955)), "Challenge",IF(ISNUMBER(SEARCH("Challenge",A955)), "Challenge",IF(ISNUMBER(SEARCH("Last To Leave",A955)),"Challenge",IF(ISNUMBER(SEARCH("Giving Away", A955)),"Giveaway",IF(ISNUMBER(SEARCH("Stranded",A955)),"Survival", IF(ISNUMBER(SEARCH("Survive",A955)), "Survival", IF(ISNUMBER(SEARCH("Days",A955)),"Endurance","Other"))))))))</f>
        <v>Other</v>
      </c>
    </row>
    <row r="956" spans="1:15" x14ac:dyDescent="0.3">
      <c r="A956" t="s">
        <v>961</v>
      </c>
      <c r="B956" s="1">
        <v>46038</v>
      </c>
      <c r="C956" s="2">
        <v>37162928</v>
      </c>
      <c r="D956" s="3">
        <v>883076</v>
      </c>
      <c r="E956" s="3">
        <v>14509</v>
      </c>
      <c r="F956">
        <f>YEAR(B956)</f>
        <v>2026</v>
      </c>
      <c r="G956" t="str">
        <f>TEXT(B956,"MMMM")</f>
        <v>January</v>
      </c>
      <c r="H956" t="str">
        <f>TEXT(B956, "DDDD")</f>
        <v>Friday</v>
      </c>
      <c r="I956">
        <f>((D956+E956)/C956)*100</f>
        <v>2.4152698624823103</v>
      </c>
      <c r="J956">
        <f>(D956/C956)*1000</f>
        <v>23.762282670515091</v>
      </c>
      <c r="K956">
        <f>(E956/C956)*1000</f>
        <v>0.39041595430801362</v>
      </c>
      <c r="L956">
        <f>CORREL(C956:C1454, D956:D1454)</f>
        <v>0.83759446423700379</v>
      </c>
      <c r="M956">
        <f>CORREL(C956:C1454,E956:E1454)</f>
        <v>0.67817467306761936</v>
      </c>
      <c r="N956">
        <f>LEN(A956)</f>
        <v>23</v>
      </c>
      <c r="O956" t="str">
        <f>IF(ISNUMBER(SEARCH("$",A956)), "Money", IF(ISNUMBER(SEARCH("Win",A956)), "Challenge",IF(ISNUMBER(SEARCH("Challenge",A956)), "Challenge",IF(ISNUMBER(SEARCH("Last To Leave",A956)),"Challenge",IF(ISNUMBER(SEARCH("Giving Away", A956)),"Giveaway",IF(ISNUMBER(SEARCH("Stranded",A956)),"Survival", IF(ISNUMBER(SEARCH("Survive",A956)), "Survival", IF(ISNUMBER(SEARCH("Days",A956)),"Endurance","Other"))))))))</f>
        <v>Other</v>
      </c>
    </row>
    <row r="957" spans="1:15" x14ac:dyDescent="0.3">
      <c r="A957" t="s">
        <v>962</v>
      </c>
      <c r="B957" s="1">
        <v>46107</v>
      </c>
      <c r="C957" s="2">
        <v>41717130</v>
      </c>
      <c r="D957" s="3">
        <v>1119219</v>
      </c>
      <c r="E957" s="3">
        <v>15004</v>
      </c>
      <c r="F957">
        <f>YEAR(B957)</f>
        <v>2026</v>
      </c>
      <c r="G957" t="str">
        <f>TEXT(B957,"MMMM")</f>
        <v>March</v>
      </c>
      <c r="H957" t="str">
        <f>TEXT(B957, "DDDD")</f>
        <v>Thursday</v>
      </c>
      <c r="I957">
        <f>((D957+E957)/C957)*100</f>
        <v>2.7188423556462298</v>
      </c>
      <c r="J957">
        <f>(D957/C957)*1000</f>
        <v>26.828763148375742</v>
      </c>
      <c r="K957">
        <f>(E957/C957)*1000</f>
        <v>0.35966040808655825</v>
      </c>
      <c r="L957">
        <f>CORREL(C957:C1455, D957:D1455)</f>
        <v>0.83349201104592296</v>
      </c>
      <c r="M957">
        <f>CORREL(C957:C1455,E957:E1455)</f>
        <v>0.67660267003914276</v>
      </c>
      <c r="N957">
        <f>LEN(A957)</f>
        <v>39</v>
      </c>
      <c r="O957" t="str">
        <f>IF(ISNUMBER(SEARCH("$",A957)), "Money", IF(ISNUMBER(SEARCH("Win",A957)), "Challenge",IF(ISNUMBER(SEARCH("Challenge",A957)), "Challenge",IF(ISNUMBER(SEARCH("Last To Leave",A957)),"Challenge",IF(ISNUMBER(SEARCH("Giving Away", A957)),"Giveaway",IF(ISNUMBER(SEARCH("Stranded",A957)),"Survival", IF(ISNUMBER(SEARCH("Survive",A957)), "Survival", IF(ISNUMBER(SEARCH("Days",A957)),"Endurance","Other"))))))))</f>
        <v>Money</v>
      </c>
    </row>
    <row r="958" spans="1:15" x14ac:dyDescent="0.3">
      <c r="A958" t="s">
        <v>963</v>
      </c>
      <c r="B958" s="1">
        <v>46119</v>
      </c>
      <c r="C958" s="2">
        <v>51790997</v>
      </c>
      <c r="D958" s="3">
        <v>1484672</v>
      </c>
      <c r="E958" s="3">
        <v>14905</v>
      </c>
      <c r="F958">
        <f>YEAR(B958)</f>
        <v>2026</v>
      </c>
      <c r="G958" t="str">
        <f>TEXT(B958,"MMMM")</f>
        <v>April</v>
      </c>
      <c r="H958" t="str">
        <f>TEXT(B958, "DDDD")</f>
        <v>Tuesday</v>
      </c>
      <c r="I958">
        <f>((D958+E958)/C958)*100</f>
        <v>2.8954395297700102</v>
      </c>
      <c r="J958">
        <f>(D958/C958)*1000</f>
        <v>28.666603965936396</v>
      </c>
      <c r="K958">
        <f>(E958/C958)*1000</f>
        <v>0.28779133176370403</v>
      </c>
      <c r="L958">
        <f>CORREL(C958:C1456, D958:D1456)</f>
        <v>0.82872368505818705</v>
      </c>
      <c r="M958">
        <f>CORREL(C958:C1456,E958:E1456)</f>
        <v>0.67516895688965717</v>
      </c>
      <c r="N958">
        <f>LEN(A958)</f>
        <v>19</v>
      </c>
      <c r="O958" t="str">
        <f>IF(ISNUMBER(SEARCH("$",A958)), "Money", IF(ISNUMBER(SEARCH("Win",A958)), "Challenge",IF(ISNUMBER(SEARCH("Challenge",A958)), "Challenge",IF(ISNUMBER(SEARCH("Last To Leave",A958)),"Challenge",IF(ISNUMBER(SEARCH("Giving Away", A958)),"Giveaway",IF(ISNUMBER(SEARCH("Stranded",A958)),"Survival", IF(ISNUMBER(SEARCH("Survive",A958)), "Survival", IF(ISNUMBER(SEARCH("Days",A958)),"Endurance","Other"))))))))</f>
        <v>Money</v>
      </c>
    </row>
    <row r="959" spans="1:15" x14ac:dyDescent="0.3">
      <c r="A959" t="s">
        <v>964</v>
      </c>
      <c r="B959" s="1">
        <v>46171</v>
      </c>
      <c r="C959" s="2">
        <v>230044635</v>
      </c>
      <c r="D959" s="3">
        <v>5129789</v>
      </c>
      <c r="E959" s="3">
        <v>61502</v>
      </c>
      <c r="F959">
        <f>YEAR(B959)</f>
        <v>2026</v>
      </c>
      <c r="G959" t="str">
        <f>TEXT(B959,"MMMM")</f>
        <v>May</v>
      </c>
      <c r="H959" t="str">
        <f>TEXT(B959, "DDDD")</f>
        <v>Friday</v>
      </c>
      <c r="I959">
        <f>((D959+E959)/C959)*100</f>
        <v>2.256645107154966</v>
      </c>
      <c r="J959">
        <f>(D959/C959)*1000</f>
        <v>22.299102954520109</v>
      </c>
      <c r="K959">
        <f>(E959/C959)*1000</f>
        <v>0.26734811702954953</v>
      </c>
      <c r="L959">
        <f>CORREL(C959:C1457, D959:D1457)</f>
        <v>0.82374172477085106</v>
      </c>
      <c r="M959">
        <f>CORREL(C959:C1457,E959:E1457)</f>
        <v>0.67338937187440417</v>
      </c>
      <c r="N959">
        <f>LEN(A959)</f>
        <v>44</v>
      </c>
      <c r="O959" t="str">
        <f>IF(ISNUMBER(SEARCH("$",A959)), "Money", IF(ISNUMBER(SEARCH("Win",A959)), "Challenge",IF(ISNUMBER(SEARCH("Challenge",A959)), "Challenge",IF(ISNUMBER(SEARCH("Last To Leave",A959)),"Challenge",IF(ISNUMBER(SEARCH("Giving Away", A959)),"Giveaway",IF(ISNUMBER(SEARCH("Stranded",A959)),"Survival", IF(ISNUMBER(SEARCH("Survive",A959)), "Survival", IF(ISNUMBER(SEARCH("Days",A959)),"Endurance","Other"))))))))</f>
        <v>Money</v>
      </c>
    </row>
    <row r="960" spans="1:15" x14ac:dyDescent="0.3">
      <c r="A960" t="s">
        <v>965</v>
      </c>
      <c r="B960" s="1">
        <v>46094</v>
      </c>
      <c r="C960" s="2">
        <v>87493049</v>
      </c>
      <c r="D960" s="3">
        <v>2293405</v>
      </c>
      <c r="E960" s="3">
        <v>21677</v>
      </c>
      <c r="F960">
        <f>YEAR(B960)</f>
        <v>2026</v>
      </c>
      <c r="G960" t="str">
        <f>TEXT(B960,"MMMM")</f>
        <v>March</v>
      </c>
      <c r="H960" t="str">
        <f>TEXT(B960, "DDDD")</f>
        <v>Friday</v>
      </c>
      <c r="I960">
        <f>((D960+E960)/C960)*100</f>
        <v>2.6460181996857832</v>
      </c>
      <c r="J960">
        <f>(D960/C960)*1000</f>
        <v>26.212425172198536</v>
      </c>
      <c r="K960">
        <f>(E960/C960)*1000</f>
        <v>0.24775682465929377</v>
      </c>
      <c r="L960">
        <f>CORREL(C960:C1458, D960:D1458)</f>
        <v>0.84530769830662789</v>
      </c>
      <c r="M960">
        <f>CORREL(C960:C1458,E960:E1458)</f>
        <v>0.69769360267867941</v>
      </c>
      <c r="N960">
        <f>LEN(A960)</f>
        <v>26</v>
      </c>
      <c r="O960" t="str">
        <f>IF(ISNUMBER(SEARCH("$",A960)), "Money", IF(ISNUMBER(SEARCH("Win",A960)), "Challenge",IF(ISNUMBER(SEARCH("Challenge",A960)), "Challenge",IF(ISNUMBER(SEARCH("Last To Leave",A960)),"Challenge",IF(ISNUMBER(SEARCH("Giving Away", A960)),"Giveaway",IF(ISNUMBER(SEARCH("Stranded",A960)),"Survival", IF(ISNUMBER(SEARCH("Survive",A960)), "Survival", IF(ISNUMBER(SEARCH("Days",A960)),"Endurance","Other"))))))))</f>
        <v>Money</v>
      </c>
    </row>
    <row r="961" spans="1:15" x14ac:dyDescent="0.3">
      <c r="A961" t="s">
        <v>966</v>
      </c>
      <c r="B961" s="1">
        <v>46187</v>
      </c>
      <c r="C961" s="2">
        <v>112979930</v>
      </c>
      <c r="D961" s="3">
        <v>2256693</v>
      </c>
      <c r="E961" s="3">
        <v>21554</v>
      </c>
      <c r="F961">
        <f>YEAR(B961)</f>
        <v>2026</v>
      </c>
      <c r="G961" t="str">
        <f>TEXT(B961,"MMMM")</f>
        <v>June</v>
      </c>
      <c r="H961" t="str">
        <f>TEXT(B961, "DDDD")</f>
        <v>Sunday</v>
      </c>
      <c r="I961">
        <f>((D961+E961)/C961)*100</f>
        <v>2.0165059404798713</v>
      </c>
      <c r="J961">
        <f>(D961/C961)*1000</f>
        <v>19.97428215790185</v>
      </c>
      <c r="K961">
        <f>(E961/C961)*1000</f>
        <v>0.19077724689686035</v>
      </c>
      <c r="L961">
        <f>CORREL(C961:C1459, D961:D1459)</f>
        <v>0.84349314544391274</v>
      </c>
      <c r="M961">
        <f>CORREL(C961:C1459,E961:E1459)</f>
        <v>0.70054981902803459</v>
      </c>
      <c r="N961">
        <f>LEN(A961)</f>
        <v>31</v>
      </c>
      <c r="O961" t="str">
        <f>IF(ISNUMBER(SEARCH("$",A961)), "Money", IF(ISNUMBER(SEARCH("Win",A961)), "Challenge",IF(ISNUMBER(SEARCH("Challenge",A961)), "Challenge",IF(ISNUMBER(SEARCH("Last To Leave",A961)),"Challenge",IF(ISNUMBER(SEARCH("Giving Away", A961)),"Giveaway",IF(ISNUMBER(SEARCH("Stranded",A961)),"Survival", IF(ISNUMBER(SEARCH("Survive",A961)), "Survival", IF(ISNUMBER(SEARCH("Days",A961)),"Endurance","Other"))))))))</f>
        <v>Money</v>
      </c>
    </row>
    <row r="962" spans="1:15" x14ac:dyDescent="0.3">
      <c r="A962" t="s">
        <v>967</v>
      </c>
      <c r="B962" s="1">
        <v>46047</v>
      </c>
      <c r="C962" s="2">
        <v>174949490</v>
      </c>
      <c r="D962" s="3">
        <v>3817798</v>
      </c>
      <c r="E962" s="3">
        <v>33150</v>
      </c>
      <c r="F962">
        <f>YEAR(B962)</f>
        <v>2026</v>
      </c>
      <c r="G962" t="str">
        <f>TEXT(B962,"MMMM")</f>
        <v>January</v>
      </c>
      <c r="H962" t="str">
        <f>TEXT(B962, "DDDD")</f>
        <v>Sunday</v>
      </c>
      <c r="I962">
        <f>((D962+E962)/C962)*100</f>
        <v>2.2011770368693275</v>
      </c>
      <c r="J962">
        <f>(D962/C962)*1000</f>
        <v>21.822287106981566</v>
      </c>
      <c r="K962">
        <f>(E962/C962)*1000</f>
        <v>0.1894832617117089</v>
      </c>
      <c r="L962">
        <f>CORREL(C962:C1460, D962:D1460)</f>
        <v>0.84113902140044539</v>
      </c>
      <c r="M962">
        <f>CORREL(C962:C1460,E962:E1460)</f>
        <v>0.70259586201340563</v>
      </c>
      <c r="N962">
        <f>LEN(A962)</f>
        <v>22</v>
      </c>
      <c r="O962" t="str">
        <f>IF(ISNUMBER(SEARCH("$",A962)), "Money", IF(ISNUMBER(SEARCH("Win",A962)), "Challenge",IF(ISNUMBER(SEARCH("Challenge",A962)), "Challenge",IF(ISNUMBER(SEARCH("Last To Leave",A962)),"Challenge",IF(ISNUMBER(SEARCH("Giving Away", A962)),"Giveaway",IF(ISNUMBER(SEARCH("Stranded",A962)),"Survival", IF(ISNUMBER(SEARCH("Survive",A962)), "Survival", IF(ISNUMBER(SEARCH("Days",A962)),"Endurance","Other"))))))))</f>
        <v>Other</v>
      </c>
    </row>
    <row r="963" spans="1:15" x14ac:dyDescent="0.3">
      <c r="A963" t="s">
        <v>968</v>
      </c>
      <c r="B963" s="1">
        <v>46141</v>
      </c>
      <c r="C963" s="2">
        <v>63292424</v>
      </c>
      <c r="D963" s="3">
        <v>1337947</v>
      </c>
      <c r="E963" s="3">
        <v>11721</v>
      </c>
      <c r="F963">
        <f>YEAR(B963)</f>
        <v>2026</v>
      </c>
      <c r="G963" t="str">
        <f>TEXT(B963,"MMMM")</f>
        <v>April</v>
      </c>
      <c r="H963" t="str">
        <f>TEXT(B963, "DDDD")</f>
        <v>Wednesday</v>
      </c>
      <c r="I963">
        <f>((D963+E963)/C963)*100</f>
        <v>2.1324321533332329</v>
      </c>
      <c r="J963">
        <f>(D963/C963)*1000</f>
        <v>21.139133492501408</v>
      </c>
      <c r="K963">
        <f>(E963/C963)*1000</f>
        <v>0.18518804083092158</v>
      </c>
      <c r="L963">
        <f>CORREL(C963:C1461, D963:D1461)</f>
        <v>0.84996055893262401</v>
      </c>
      <c r="M963">
        <f>CORREL(C963:C1461,E963:E1461)</f>
        <v>0.70998686862079641</v>
      </c>
      <c r="N963">
        <f>LEN(A963)</f>
        <v>37</v>
      </c>
      <c r="O963" t="str">
        <f>IF(ISNUMBER(SEARCH("$",A963)), "Money", IF(ISNUMBER(SEARCH("Win",A963)), "Challenge",IF(ISNUMBER(SEARCH("Challenge",A963)), "Challenge",IF(ISNUMBER(SEARCH("Last To Leave",A963)),"Challenge",IF(ISNUMBER(SEARCH("Giving Away", A963)),"Giveaway",IF(ISNUMBER(SEARCH("Stranded",A963)),"Survival", IF(ISNUMBER(SEARCH("Survive",A963)), "Survival", IF(ISNUMBER(SEARCH("Days",A963)),"Endurance","Other"))))))))</f>
        <v>Money</v>
      </c>
    </row>
    <row r="964" spans="1:15" x14ac:dyDescent="0.3">
      <c r="A964" t="s">
        <v>969</v>
      </c>
      <c r="B964" s="1">
        <v>46065</v>
      </c>
      <c r="C964" s="2">
        <v>109837392</v>
      </c>
      <c r="D964" s="3">
        <v>2445299</v>
      </c>
      <c r="E964" s="3">
        <v>17851</v>
      </c>
      <c r="F964">
        <f>YEAR(B964)</f>
        <v>2026</v>
      </c>
      <c r="G964" t="str">
        <f>TEXT(B964,"MMMM")</f>
        <v>February</v>
      </c>
      <c r="H964" t="str">
        <f>TEXT(B964, "DDDD")</f>
        <v>Thursday</v>
      </c>
      <c r="I964">
        <f>((D964+E964)/C964)*100</f>
        <v>2.2425423211068232</v>
      </c>
      <c r="J964">
        <f>(D964/C964)*1000</f>
        <v>22.262901143901889</v>
      </c>
      <c r="K964">
        <f>(E964/C964)*1000</f>
        <v>0.16252206716634349</v>
      </c>
      <c r="L964">
        <f>CORREL(C964:C1462, D964:D1462)</f>
        <v>0.84424025962195304</v>
      </c>
      <c r="M964">
        <f>CORREL(C964:C1462,E964:E1462)</f>
        <v>0.70749769684561947</v>
      </c>
      <c r="N964">
        <f>LEN(A964)</f>
        <v>45</v>
      </c>
      <c r="O964" t="str">
        <f>IF(ISNUMBER(SEARCH("$",A964)), "Money", IF(ISNUMBER(SEARCH("Win",A964)), "Challenge",IF(ISNUMBER(SEARCH("Challenge",A964)), "Challenge",IF(ISNUMBER(SEARCH("Last To Leave",A964)),"Challenge",IF(ISNUMBER(SEARCH("Giving Away", A964)),"Giveaway",IF(ISNUMBER(SEARCH("Stranded",A964)),"Survival", IF(ISNUMBER(SEARCH("Survive",A964)), "Survival", IF(ISNUMBER(SEARCH("Days",A964)),"Endurance","Other"))))))))</f>
        <v>Other</v>
      </c>
    </row>
    <row r="965" spans="1:15" x14ac:dyDescent="0.3">
      <c r="A965" t="s">
        <v>970</v>
      </c>
      <c r="B965" s="1">
        <v>46101</v>
      </c>
      <c r="C965" s="2">
        <v>127897654</v>
      </c>
      <c r="D965" s="3">
        <v>2277697</v>
      </c>
      <c r="E965" s="3">
        <v>19695</v>
      </c>
      <c r="F965">
        <f>YEAR(B965)</f>
        <v>2026</v>
      </c>
      <c r="G965" t="str">
        <f>TEXT(B965,"MMMM")</f>
        <v>March</v>
      </c>
      <c r="H965" t="str">
        <f>TEXT(B965, "DDDD")</f>
        <v>Friday</v>
      </c>
      <c r="I965">
        <f>((D965+E965)/C965)*100</f>
        <v>1.7962737612059718</v>
      </c>
      <c r="J965">
        <f>(D965/C965)*1000</f>
        <v>17.808747297272554</v>
      </c>
      <c r="K965">
        <f>(E965/C965)*1000</f>
        <v>0.15399031478716568</v>
      </c>
      <c r="L965">
        <f>CORREL(C965:C1463, D965:D1463)</f>
        <v>0.84243625010635348</v>
      </c>
      <c r="M965">
        <f>CORREL(C965:C1463,E965:E1463)</f>
        <v>0.70790260338322308</v>
      </c>
      <c r="N965">
        <f>LEN(A965)</f>
        <v>30</v>
      </c>
      <c r="O965" t="str">
        <f>IF(ISNUMBER(SEARCH("$",A965)), "Money", IF(ISNUMBER(SEARCH("Win",A965)), "Challenge",IF(ISNUMBER(SEARCH("Challenge",A965)), "Challenge",IF(ISNUMBER(SEARCH("Last To Leave",A965)),"Challenge",IF(ISNUMBER(SEARCH("Giving Away", A965)),"Giveaway",IF(ISNUMBER(SEARCH("Stranded",A965)),"Survival", IF(ISNUMBER(SEARCH("Survive",A965)), "Survival", IF(ISNUMBER(SEARCH("Days",A965)),"Endurance","Other"))))))))</f>
        <v>Money</v>
      </c>
    </row>
    <row r="966" spans="1:15" x14ac:dyDescent="0.3">
      <c r="A966" t="s">
        <v>971</v>
      </c>
      <c r="B966" s="1">
        <v>46035</v>
      </c>
      <c r="C966" s="2">
        <v>1220368372</v>
      </c>
      <c r="D966" s="3">
        <v>6780422</v>
      </c>
      <c r="E966" s="3">
        <v>180100</v>
      </c>
      <c r="F966">
        <f>YEAR(B966)</f>
        <v>2026</v>
      </c>
      <c r="G966" t="str">
        <f>TEXT(B966,"MMMM")</f>
        <v>January</v>
      </c>
      <c r="H966" t="str">
        <f>TEXT(B966, "DDDD")</f>
        <v>Tuesday</v>
      </c>
      <c r="I966">
        <f>((D966+E966)/C966)*100</f>
        <v>0.57036237251812361</v>
      </c>
      <c r="J966">
        <f>(D966/C966)*1000</f>
        <v>5.5560453348097756</v>
      </c>
      <c r="K966">
        <f>(E966/C966)*1000</f>
        <v>0.14757839037146073</v>
      </c>
      <c r="L966">
        <f>CORREL(C966:C1464, D966:D1464)</f>
        <v>0.83919666251279534</v>
      </c>
      <c r="M966">
        <f>CORREL(C966:C1464,E966:E1464)</f>
        <v>0.70914278707905676</v>
      </c>
      <c r="N966">
        <f>LEN(A966)</f>
        <v>23</v>
      </c>
      <c r="O966" t="str">
        <f>IF(ISNUMBER(SEARCH("$",A966)), "Money", IF(ISNUMBER(SEARCH("Win",A966)), "Challenge",IF(ISNUMBER(SEARCH("Challenge",A966)), "Challenge",IF(ISNUMBER(SEARCH("Last To Leave",A966)),"Challenge",IF(ISNUMBER(SEARCH("Giving Away", A966)),"Giveaway",IF(ISNUMBER(SEARCH("Stranded",A966)),"Survival", IF(ISNUMBER(SEARCH("Survive",A966)), "Survival", IF(ISNUMBER(SEARCH("Days",A966)),"Endurance","Other"))))))))</f>
        <v>Other</v>
      </c>
    </row>
    <row r="967" spans="1:15" x14ac:dyDescent="0.3">
      <c r="A967" t="s">
        <v>972</v>
      </c>
      <c r="B967" s="1">
        <v>46098</v>
      </c>
      <c r="C967" s="2">
        <v>99528244</v>
      </c>
      <c r="D967" s="3">
        <v>1892392</v>
      </c>
      <c r="E967" s="3">
        <v>13433</v>
      </c>
      <c r="F967">
        <f>YEAR(B967)</f>
        <v>2026</v>
      </c>
      <c r="G967" t="str">
        <f>TEXT(B967,"MMMM")</f>
        <v>March</v>
      </c>
      <c r="H967" t="str">
        <f>TEXT(B967, "DDDD")</f>
        <v>Tuesday</v>
      </c>
      <c r="I967">
        <f>((D967+E967)/C967)*100</f>
        <v>1.9148584596750247</v>
      </c>
      <c r="J967">
        <f>(D967/C967)*1000</f>
        <v>19.013617883180981</v>
      </c>
      <c r="K967">
        <f>(E967/C967)*1000</f>
        <v>0.13496671356926584</v>
      </c>
      <c r="L967">
        <f>CORREL(C967:C1465, D967:D1465)</f>
        <v>0.84279351874911101</v>
      </c>
      <c r="M967">
        <f>CORREL(C967:C1465,E967:E1465)</f>
        <v>0.54675819201399944</v>
      </c>
      <c r="N967">
        <f>LEN(A967)</f>
        <v>29</v>
      </c>
      <c r="O967" t="str">
        <f>IF(ISNUMBER(SEARCH("$",A967)), "Money", IF(ISNUMBER(SEARCH("Win",A967)), "Challenge",IF(ISNUMBER(SEARCH("Challenge",A967)), "Challenge",IF(ISNUMBER(SEARCH("Last To Leave",A967)),"Challenge",IF(ISNUMBER(SEARCH("Giving Away", A967)),"Giveaway",IF(ISNUMBER(SEARCH("Stranded",A967)),"Survival", IF(ISNUMBER(SEARCH("Survive",A967)), "Survival", IF(ISNUMBER(SEARCH("Days",A967)),"Endurance","Other"))))))))</f>
        <v>Money</v>
      </c>
    </row>
    <row r="968" spans="1:15" x14ac:dyDescent="0.3">
      <c r="A968" t="s">
        <v>973</v>
      </c>
      <c r="B968" s="1">
        <v>46133</v>
      </c>
      <c r="C968" s="2">
        <v>131784458</v>
      </c>
      <c r="D968" s="3">
        <v>2139059</v>
      </c>
      <c r="E968" s="3">
        <v>17718</v>
      </c>
      <c r="F968">
        <f>YEAR(B968)</f>
        <v>2026</v>
      </c>
      <c r="G968" t="str">
        <f>TEXT(B968,"MMMM")</f>
        <v>April</v>
      </c>
      <c r="H968" t="str">
        <f>TEXT(B968, "DDDD")</f>
        <v>Tuesday</v>
      </c>
      <c r="I968">
        <f>((D968+E968)/C968)*100</f>
        <v>1.6365943547000057</v>
      </c>
      <c r="J968">
        <f>(D968/C968)*1000</f>
        <v>16.231496736891387</v>
      </c>
      <c r="K968">
        <f>(E968/C968)*1000</f>
        <v>0.13444681010867002</v>
      </c>
      <c r="L968">
        <f>CORREL(C968:C1466, D968:D1466)</f>
        <v>0.83721620432382204</v>
      </c>
      <c r="M968">
        <f>CORREL(C968:C1466,E968:E1466)</f>
        <v>0.53632011284528613</v>
      </c>
      <c r="N968">
        <f>LEN(A968)</f>
        <v>26</v>
      </c>
      <c r="O968" t="str">
        <f>IF(ISNUMBER(SEARCH("$",A968)), "Money", IF(ISNUMBER(SEARCH("Win",A968)), "Challenge",IF(ISNUMBER(SEARCH("Challenge",A968)), "Challenge",IF(ISNUMBER(SEARCH("Last To Leave",A968)),"Challenge",IF(ISNUMBER(SEARCH("Giving Away", A968)),"Giveaway",IF(ISNUMBER(SEARCH("Stranded",A968)),"Survival", IF(ISNUMBER(SEARCH("Survive",A968)), "Survival", IF(ISNUMBER(SEARCH("Days",A968)),"Endurance","Other"))))))))</f>
        <v>Challenge</v>
      </c>
    </row>
    <row r="969" spans="1:15" x14ac:dyDescent="0.3">
      <c r="A969" t="s">
        <v>974</v>
      </c>
      <c r="B969" s="1">
        <v>46031</v>
      </c>
      <c r="C969" s="2">
        <v>103677747</v>
      </c>
      <c r="D969" s="3">
        <v>2034248</v>
      </c>
      <c r="E969" s="3">
        <v>13834</v>
      </c>
      <c r="F969">
        <f>YEAR(B969)</f>
        <v>2026</v>
      </c>
      <c r="G969" t="str">
        <f>TEXT(B969,"MMMM")</f>
        <v>January</v>
      </c>
      <c r="H969" t="str">
        <f>TEXT(B969, "DDDD")</f>
        <v>Friday</v>
      </c>
      <c r="I969">
        <f>((D969+E969)/C969)*100</f>
        <v>1.9754306582298709</v>
      </c>
      <c r="J969">
        <f>(D969/C969)*1000</f>
        <v>19.620873898812636</v>
      </c>
      <c r="K969">
        <f>(E969/C969)*1000</f>
        <v>0.13343268348607151</v>
      </c>
      <c r="L969">
        <f>CORREL(C969:C1467, D969:D1467)</f>
        <v>0.83239938109073031</v>
      </c>
      <c r="M969">
        <f>CORREL(C969:C1467,E969:E1467)</f>
        <v>0.53295788167706593</v>
      </c>
      <c r="N969">
        <f>LEN(A969)</f>
        <v>14</v>
      </c>
      <c r="O969" t="str">
        <f>IF(ISNUMBER(SEARCH("$",A969)), "Money", IF(ISNUMBER(SEARCH("Win",A969)), "Challenge",IF(ISNUMBER(SEARCH("Challenge",A969)), "Challenge",IF(ISNUMBER(SEARCH("Last To Leave",A969)),"Challenge",IF(ISNUMBER(SEARCH("Giving Away", A969)),"Giveaway",IF(ISNUMBER(SEARCH("Stranded",A969)),"Survival", IF(ISNUMBER(SEARCH("Survive",A969)), "Survival", IF(ISNUMBER(SEARCH("Days",A969)),"Endurance","Other"))))))))</f>
        <v>Other</v>
      </c>
    </row>
    <row r="970" spans="1:15" x14ac:dyDescent="0.3">
      <c r="A970" t="s">
        <v>975</v>
      </c>
      <c r="B970" s="1">
        <v>46157</v>
      </c>
      <c r="C970" s="2">
        <v>634740319</v>
      </c>
      <c r="D970" s="3">
        <v>3494242</v>
      </c>
      <c r="E970" s="3">
        <v>83407</v>
      </c>
      <c r="F970">
        <f>YEAR(B970)</f>
        <v>2026</v>
      </c>
      <c r="G970" t="str">
        <f>TEXT(B970,"MMMM")</f>
        <v>May</v>
      </c>
      <c r="H970" t="str">
        <f>TEXT(B970, "DDDD")</f>
        <v>Friday</v>
      </c>
      <c r="I970">
        <f>((D970+E970)/C970)*100</f>
        <v>0.56363978983348617</v>
      </c>
      <c r="J970">
        <f>(D970/C970)*1000</f>
        <v>5.5049945551040373</v>
      </c>
      <c r="K970">
        <f>(E970/C970)*1000</f>
        <v>0.13140334323082445</v>
      </c>
      <c r="L970">
        <f>CORREL(C970:C1468, D970:D1468)</f>
        <v>0.82586588047350895</v>
      </c>
      <c r="M970">
        <f>CORREL(C970:C1468,E970:E1468)</f>
        <v>0.5207172877262829</v>
      </c>
      <c r="N970">
        <f>LEN(A970)</f>
        <v>26</v>
      </c>
      <c r="O970" t="str">
        <f>IF(ISNUMBER(SEARCH("$",A970)), "Money", IF(ISNUMBER(SEARCH("Win",A970)), "Challenge",IF(ISNUMBER(SEARCH("Challenge",A970)), "Challenge",IF(ISNUMBER(SEARCH("Last To Leave",A970)),"Challenge",IF(ISNUMBER(SEARCH("Giving Away", A970)),"Giveaway",IF(ISNUMBER(SEARCH("Stranded",A970)),"Survival", IF(ISNUMBER(SEARCH("Survive",A970)), "Survival", IF(ISNUMBER(SEARCH("Days",A970)),"Endurance","Other"))))))))</f>
        <v>Money</v>
      </c>
    </row>
    <row r="971" spans="1:15" x14ac:dyDescent="0.3">
      <c r="A971" t="s">
        <v>976</v>
      </c>
      <c r="B971" s="1">
        <v>46087</v>
      </c>
      <c r="C971" s="2">
        <v>90026599</v>
      </c>
      <c r="D971" s="3">
        <v>2300242</v>
      </c>
      <c r="E971" s="3">
        <v>11347</v>
      </c>
      <c r="F971">
        <f>YEAR(B971)</f>
        <v>2026</v>
      </c>
      <c r="G971" t="str">
        <f>TEXT(B971,"MMMM")</f>
        <v>March</v>
      </c>
      <c r="H971" t="str">
        <f>TEXT(B971, "DDDD")</f>
        <v>Friday</v>
      </c>
      <c r="I971">
        <f>((D971+E971)/C971)*100</f>
        <v>2.5676733606253417</v>
      </c>
      <c r="J971">
        <f>(D971/C971)*1000</f>
        <v>25.550693079053225</v>
      </c>
      <c r="K971">
        <f>(E971/C971)*1000</f>
        <v>0.12604052720018891</v>
      </c>
      <c r="L971">
        <f>CORREL(C971:C1469, D971:D1469)</f>
        <v>0.85545749798365922</v>
      </c>
      <c r="M971">
        <f>CORREL(C971:C1469,E971:E1469)</f>
        <v>0.61066067651705158</v>
      </c>
      <c r="N971">
        <f>LEN(A971)</f>
        <v>38</v>
      </c>
      <c r="O971" t="str">
        <f>IF(ISNUMBER(SEARCH("$",A971)), "Money", IF(ISNUMBER(SEARCH("Win",A971)), "Challenge",IF(ISNUMBER(SEARCH("Challenge",A971)), "Challenge",IF(ISNUMBER(SEARCH("Last To Leave",A971)),"Challenge",IF(ISNUMBER(SEARCH("Giving Away", A971)),"Giveaway",IF(ISNUMBER(SEARCH("Stranded",A971)),"Survival", IF(ISNUMBER(SEARCH("Survive",A971)), "Survival", IF(ISNUMBER(SEARCH("Days",A971)),"Endurance","Other"))))))))</f>
        <v>Other</v>
      </c>
    </row>
    <row r="972" spans="1:15" x14ac:dyDescent="0.3">
      <c r="A972" t="s">
        <v>977</v>
      </c>
      <c r="B972" s="1">
        <v>46126</v>
      </c>
      <c r="C972" s="2">
        <v>97020419</v>
      </c>
      <c r="D972" s="3">
        <v>1917110</v>
      </c>
      <c r="E972" s="3">
        <v>11908</v>
      </c>
      <c r="F972">
        <f>YEAR(B972)</f>
        <v>2026</v>
      </c>
      <c r="G972" t="str">
        <f>TEXT(B972,"MMMM")</f>
        <v>April</v>
      </c>
      <c r="H972" t="str">
        <f>TEXT(B972, "DDDD")</f>
        <v>Tuesday</v>
      </c>
      <c r="I972">
        <f>((D972+E972)/C972)*100</f>
        <v>1.9882598115763654</v>
      </c>
      <c r="J972">
        <f>(D972/C972)*1000</f>
        <v>19.759861065947366</v>
      </c>
      <c r="K972">
        <f>(E972/C972)*1000</f>
        <v>0.12273704981628661</v>
      </c>
      <c r="L972">
        <f>CORREL(C972:C1470, D972:D1470)</f>
        <v>0.85200284055398678</v>
      </c>
      <c r="M972">
        <f>CORREL(C972:C1470,E972:E1470)</f>
        <v>0.58652260507261311</v>
      </c>
      <c r="N972">
        <f>LEN(A972)</f>
        <v>34</v>
      </c>
      <c r="O972" t="str">
        <f>IF(ISNUMBER(SEARCH("$",A972)), "Money", IF(ISNUMBER(SEARCH("Win",A972)), "Challenge",IF(ISNUMBER(SEARCH("Challenge",A972)), "Challenge",IF(ISNUMBER(SEARCH("Last To Leave",A972)),"Challenge",IF(ISNUMBER(SEARCH("Giving Away", A972)),"Giveaway",IF(ISNUMBER(SEARCH("Stranded",A972)),"Survival", IF(ISNUMBER(SEARCH("Survive",A972)), "Survival", IF(ISNUMBER(SEARCH("Days",A972)),"Endurance","Other"))))))))</f>
        <v>Challenge</v>
      </c>
    </row>
    <row r="973" spans="1:15" x14ac:dyDescent="0.3">
      <c r="A973" t="s">
        <v>978</v>
      </c>
      <c r="B973" s="1">
        <v>46164</v>
      </c>
      <c r="C973" s="2">
        <v>320768587</v>
      </c>
      <c r="D973" s="3">
        <v>3483909</v>
      </c>
      <c r="E973" s="3">
        <v>37637</v>
      </c>
      <c r="F973">
        <f>YEAR(B973)</f>
        <v>2026</v>
      </c>
      <c r="G973" t="str">
        <f>TEXT(B973,"MMMM")</f>
        <v>May</v>
      </c>
      <c r="H973" t="str">
        <f>TEXT(B973, "DDDD")</f>
        <v>Friday</v>
      </c>
      <c r="I973">
        <f>((D973+E973)/C973)*100</f>
        <v>1.0978462800660715</v>
      </c>
      <c r="J973">
        <f>(D973/C973)*1000</f>
        <v>10.861128992035619</v>
      </c>
      <c r="K973">
        <f>(E973/C973)*1000</f>
        <v>0.11733380862509457</v>
      </c>
      <c r="L973">
        <f>CORREL(C973:C1471, D973:D1471)</f>
        <v>0.8432010735235258</v>
      </c>
      <c r="M973">
        <f>CORREL(C973:C1471,E973:E1471)</f>
        <v>0.55823681930792657</v>
      </c>
      <c r="N973">
        <f>LEN(A973)</f>
        <v>33</v>
      </c>
      <c r="O973" t="str">
        <f>IF(ISNUMBER(SEARCH("$",A973)), "Money", IF(ISNUMBER(SEARCH("Win",A973)), "Challenge",IF(ISNUMBER(SEARCH("Challenge",A973)), "Challenge",IF(ISNUMBER(SEARCH("Last To Leave",A973)),"Challenge",IF(ISNUMBER(SEARCH("Giving Away", A973)),"Giveaway",IF(ISNUMBER(SEARCH("Stranded",A973)),"Survival", IF(ISNUMBER(SEARCH("Survive",A973)), "Survival", IF(ISNUMBER(SEARCH("Days",A973)),"Endurance","Other"))))))))</f>
        <v>Other</v>
      </c>
    </row>
    <row r="974" spans="1:15" x14ac:dyDescent="0.3">
      <c r="A974" t="s">
        <v>979</v>
      </c>
      <c r="B974" s="1">
        <v>46161</v>
      </c>
      <c r="C974" s="2">
        <v>354422379</v>
      </c>
      <c r="D974" s="3">
        <v>2706368</v>
      </c>
      <c r="E974" s="3">
        <v>36624</v>
      </c>
      <c r="F974">
        <f>YEAR(B974)</f>
        <v>2026</v>
      </c>
      <c r="G974" t="str">
        <f>TEXT(B974,"MMMM")</f>
        <v>May</v>
      </c>
      <c r="H974" t="str">
        <f>TEXT(B974, "DDDD")</f>
        <v>Tuesday</v>
      </c>
      <c r="I974">
        <f>((D974+E974)/C974)*100</f>
        <v>0.77393307040580528</v>
      </c>
      <c r="J974">
        <f>(D974/C974)*1000</f>
        <v>7.6359963714368044</v>
      </c>
      <c r="K974">
        <f>(E974/C974)*1000</f>
        <v>0.10333433262124794</v>
      </c>
      <c r="L974">
        <f>CORREL(C974:C1472, D974:D1472)</f>
        <v>0.8425924641889565</v>
      </c>
      <c r="M974">
        <f>CORREL(C974:C1472,E974:E1472)</f>
        <v>0.65118011273060805</v>
      </c>
      <c r="N974">
        <f>LEN(A974)</f>
        <v>25</v>
      </c>
      <c r="O974" t="str">
        <f>IF(ISNUMBER(SEARCH("$",A974)), "Money", IF(ISNUMBER(SEARCH("Win",A974)), "Challenge",IF(ISNUMBER(SEARCH("Challenge",A974)), "Challenge",IF(ISNUMBER(SEARCH("Last To Leave",A974)),"Challenge",IF(ISNUMBER(SEARCH("Giving Away", A974)),"Giveaway",IF(ISNUMBER(SEARCH("Stranded",A974)),"Survival", IF(ISNUMBER(SEARCH("Survive",A974)), "Survival", IF(ISNUMBER(SEARCH("Days",A974)),"Endurance","Other"))))))))</f>
        <v>Other</v>
      </c>
    </row>
    <row r="975" spans="1:15" x14ac:dyDescent="0.3">
      <c r="A975" t="s">
        <v>980</v>
      </c>
      <c r="B975" s="1">
        <v>46136</v>
      </c>
      <c r="C975" s="2">
        <v>127697094</v>
      </c>
      <c r="D975" s="3">
        <v>1411717</v>
      </c>
      <c r="E975" s="3">
        <v>13039</v>
      </c>
      <c r="F975">
        <f>YEAR(B975)</f>
        <v>2026</v>
      </c>
      <c r="G975" t="str">
        <f>TEXT(B975,"MMMM")</f>
        <v>April</v>
      </c>
      <c r="H975" t="str">
        <f>TEXT(B975, "DDDD")</f>
        <v>Friday</v>
      </c>
      <c r="I975">
        <f>((D975+E975)/C975)*100</f>
        <v>1.1157309499932708</v>
      </c>
      <c r="J975">
        <f>(D975/C975)*1000</f>
        <v>11.055200676688852</v>
      </c>
      <c r="K975">
        <f>(E975/C975)*1000</f>
        <v>0.10210882324385549</v>
      </c>
      <c r="L975">
        <f>CORREL(C975:C1473, D975:D1473)</f>
        <v>0.84672684945703725</v>
      </c>
      <c r="M975">
        <f>CORREL(C975:C1473,E975:E1473)</f>
        <v>0.76051894117643293</v>
      </c>
      <c r="N975">
        <f>LEN(A975)</f>
        <v>21</v>
      </c>
      <c r="O975" t="str">
        <f>IF(ISNUMBER(SEARCH("$",A975)), "Money", IF(ISNUMBER(SEARCH("Win",A975)), "Challenge",IF(ISNUMBER(SEARCH("Challenge",A975)), "Challenge",IF(ISNUMBER(SEARCH("Last To Leave",A975)),"Challenge",IF(ISNUMBER(SEARCH("Giving Away", A975)),"Giveaway",IF(ISNUMBER(SEARCH("Stranded",A975)),"Survival", IF(ISNUMBER(SEARCH("Survive",A975)), "Survival", IF(ISNUMBER(SEARCH("Days",A975)),"Endurance","Other"))))))))</f>
        <v>Other</v>
      </c>
    </row>
    <row r="976" spans="1:15" x14ac:dyDescent="0.3">
      <c r="A976" t="s">
        <v>981</v>
      </c>
      <c r="B976" s="1">
        <v>46122</v>
      </c>
      <c r="C976" s="2">
        <v>146632610</v>
      </c>
      <c r="D976" s="3">
        <v>2455195</v>
      </c>
      <c r="E976" s="3">
        <v>13495</v>
      </c>
      <c r="F976">
        <f>YEAR(B976)</f>
        <v>2026</v>
      </c>
      <c r="G976" t="str">
        <f>TEXT(B976,"MMMM")</f>
        <v>April</v>
      </c>
      <c r="H976" t="str">
        <f>TEXT(B976, "DDDD")</f>
        <v>Friday</v>
      </c>
      <c r="I976">
        <f>((D976+E976)/C976)*100</f>
        <v>1.6835886642132334</v>
      </c>
      <c r="J976">
        <f>(D976/C976)*1000</f>
        <v>16.74385390807679</v>
      </c>
      <c r="K976">
        <f>(E976/C976)*1000</f>
        <v>9.2032734055541937E-2</v>
      </c>
      <c r="L976">
        <f>CORREL(C976:C1474, D976:D1474)</f>
        <v>0.83309633647612102</v>
      </c>
      <c r="M976">
        <f>CORREL(C976:C1474,E976:E1474)</f>
        <v>0.74610056755116216</v>
      </c>
      <c r="N976">
        <f>LEN(A976)</f>
        <v>31</v>
      </c>
      <c r="O976" t="str">
        <f>IF(ISNUMBER(SEARCH("$",A976)), "Money", IF(ISNUMBER(SEARCH("Win",A976)), "Challenge",IF(ISNUMBER(SEARCH("Challenge",A976)), "Challenge",IF(ISNUMBER(SEARCH("Last To Leave",A976)),"Challenge",IF(ISNUMBER(SEARCH("Giving Away", A976)),"Giveaway",IF(ISNUMBER(SEARCH("Stranded",A976)),"Survival", IF(ISNUMBER(SEARCH("Survive",A976)), "Survival", IF(ISNUMBER(SEARCH("Days",A976)),"Endurance","Other"))))))))</f>
        <v>Other</v>
      </c>
    </row>
    <row r="977" spans="1:15" x14ac:dyDescent="0.3">
      <c r="A977" t="s">
        <v>982</v>
      </c>
      <c r="B977" s="1">
        <v>46062</v>
      </c>
      <c r="C977" s="2">
        <v>362606510</v>
      </c>
      <c r="D977" s="3">
        <v>4942868</v>
      </c>
      <c r="E977" s="3">
        <v>32337</v>
      </c>
      <c r="F977">
        <f>YEAR(B977)</f>
        <v>2026</v>
      </c>
      <c r="G977" t="str">
        <f>TEXT(B977,"MMMM")</f>
        <v>February</v>
      </c>
      <c r="H977" t="str">
        <f>TEXT(B977, "DDDD")</f>
        <v>Monday</v>
      </c>
      <c r="I977">
        <f>((D977+E977)/C977)*100</f>
        <v>1.3720672030957193</v>
      </c>
      <c r="J977">
        <f>(D977/C977)*1000</f>
        <v>13.631492716443507</v>
      </c>
      <c r="K977">
        <f>(E977/C977)*1000</f>
        <v>8.9179314513685923E-2</v>
      </c>
      <c r="L977">
        <f>CORREL(C977:C1475, D977:D1475)</f>
        <v>0.82155113198492269</v>
      </c>
      <c r="M977">
        <f>CORREL(C977:C1475,E977:E1475)</f>
        <v>0.72938389849995344</v>
      </c>
      <c r="N977">
        <f>LEN(A977)</f>
        <v>26</v>
      </c>
      <c r="O977" t="str">
        <f>IF(ISNUMBER(SEARCH("$",A977)), "Money", IF(ISNUMBER(SEARCH("Win",A977)), "Challenge",IF(ISNUMBER(SEARCH("Challenge",A977)), "Challenge",IF(ISNUMBER(SEARCH("Last To Leave",A977)),"Challenge",IF(ISNUMBER(SEARCH("Giving Away", A977)),"Giveaway",IF(ISNUMBER(SEARCH("Stranded",A977)),"Survival", IF(ISNUMBER(SEARCH("Survive",A977)), "Survival", IF(ISNUMBER(SEARCH("Days",A977)),"Endurance","Other"))))))))</f>
        <v>Other</v>
      </c>
    </row>
    <row r="978" spans="1:15" x14ac:dyDescent="0.3">
      <c r="A978" t="s">
        <v>983</v>
      </c>
      <c r="B978" s="1">
        <v>46081</v>
      </c>
      <c r="C978" s="2">
        <v>325367332</v>
      </c>
      <c r="D978" s="3">
        <v>2951349</v>
      </c>
      <c r="E978" s="3">
        <v>25039</v>
      </c>
      <c r="F978">
        <f>YEAR(B978)</f>
        <v>2026</v>
      </c>
      <c r="G978" t="str">
        <f>TEXT(B978,"MMMM")</f>
        <v>February</v>
      </c>
      <c r="H978" t="str">
        <f>TEXT(B978, "DDDD")</f>
        <v>Saturday</v>
      </c>
      <c r="I978">
        <f>((D978+E978)/C978)*100</f>
        <v>0.91477776263045374</v>
      </c>
      <c r="J978">
        <f>(D978/C978)*1000</f>
        <v>9.0708215291878158</v>
      </c>
      <c r="K978">
        <f>(E978/C978)*1000</f>
        <v>7.695609711671976E-2</v>
      </c>
      <c r="L978">
        <f>CORREL(C978:C1476, D978:D1476)</f>
        <v>0.83302857130810282</v>
      </c>
      <c r="M978">
        <f>CORREL(C978:C1476,E978:E1476)</f>
        <v>0.84468178577111641</v>
      </c>
      <c r="N978">
        <f>LEN(A978)</f>
        <v>42</v>
      </c>
      <c r="O978" t="str">
        <f>IF(ISNUMBER(SEARCH("$",A978)), "Money", IF(ISNUMBER(SEARCH("Win",A978)), "Challenge",IF(ISNUMBER(SEARCH("Challenge",A978)), "Challenge",IF(ISNUMBER(SEARCH("Last To Leave",A978)),"Challenge",IF(ISNUMBER(SEARCH("Giving Away", A978)),"Giveaway",IF(ISNUMBER(SEARCH("Stranded",A978)),"Survival", IF(ISNUMBER(SEARCH("Survive",A978)), "Survival", IF(ISNUMBER(SEARCH("Days",A978)),"Endurance","Other"))))))))</f>
        <v>Other</v>
      </c>
    </row>
    <row r="979" spans="1:15" x14ac:dyDescent="0.3">
      <c r="A979" t="s">
        <v>984</v>
      </c>
      <c r="B979" s="1">
        <v>46071</v>
      </c>
      <c r="C979" s="2">
        <v>125911907</v>
      </c>
      <c r="D979" s="3">
        <v>1675369</v>
      </c>
      <c r="E979" s="3">
        <v>9317</v>
      </c>
      <c r="F979">
        <f>YEAR(B979)</f>
        <v>2026</v>
      </c>
      <c r="G979" t="str">
        <f>TEXT(B979,"MMMM")</f>
        <v>February</v>
      </c>
      <c r="H979" t="str">
        <f>TEXT(B979, "DDDD")</f>
        <v>Wednesday</v>
      </c>
      <c r="I979">
        <f>((D979+E979)/C979)*100</f>
        <v>1.3379878362099622</v>
      </c>
      <c r="J979">
        <f>(D979/C979)*1000</f>
        <v>13.305882183167951</v>
      </c>
      <c r="K979">
        <f>(E979/C979)*1000</f>
        <v>7.3996178931671638E-2</v>
      </c>
      <c r="L979">
        <f>CORREL(C979:C1477, D979:D1477)</f>
        <v>0.82941889971524785</v>
      </c>
      <c r="M979">
        <f>CORREL(C979:C1477,E979:E1477)</f>
        <v>0.90288201110069199</v>
      </c>
      <c r="N979">
        <f>LEN(A979)</f>
        <v>31</v>
      </c>
      <c r="O979" t="str">
        <f>IF(ISNUMBER(SEARCH("$",A979)), "Money", IF(ISNUMBER(SEARCH("Win",A979)), "Challenge",IF(ISNUMBER(SEARCH("Challenge",A979)), "Challenge",IF(ISNUMBER(SEARCH("Last To Leave",A979)),"Challenge",IF(ISNUMBER(SEARCH("Giving Away", A979)),"Giveaway",IF(ISNUMBER(SEARCH("Stranded",A979)),"Survival", IF(ISNUMBER(SEARCH("Survive",A979)), "Survival", IF(ISNUMBER(SEARCH("Days",A979)),"Endurance","Other"))))))))</f>
        <v>Money</v>
      </c>
    </row>
    <row r="980" spans="1:15" x14ac:dyDescent="0.3">
      <c r="A980" t="s">
        <v>985</v>
      </c>
      <c r="B980" s="1">
        <v>46129</v>
      </c>
      <c r="C980" s="2">
        <v>180628523</v>
      </c>
      <c r="D980" s="3">
        <v>2622280</v>
      </c>
      <c r="E980" s="3">
        <v>12214</v>
      </c>
      <c r="F980">
        <f>YEAR(B980)</f>
        <v>2026</v>
      </c>
      <c r="G980" t="str">
        <f>TEXT(B980,"MMMM")</f>
        <v>April</v>
      </c>
      <c r="H980" t="str">
        <f>TEXT(B980, "DDDD")</f>
        <v>Friday</v>
      </c>
      <c r="I980">
        <f>((D980+E980)/C980)*100</f>
        <v>1.4585149434012699</v>
      </c>
      <c r="J980">
        <f>(D980/C980)*1000</f>
        <v>14.517529991650322</v>
      </c>
      <c r="K980">
        <f>(E980/C980)*1000</f>
        <v>6.7619442362378171E-2</v>
      </c>
      <c r="L980">
        <f>CORREL(C980:C1478, D980:D1478)</f>
        <v>0.79866234347149589</v>
      </c>
      <c r="M980">
        <f>CORREL(C980:C1478,E980:E1478)</f>
        <v>0.88577239340892711</v>
      </c>
      <c r="N980">
        <f>LEN(A980)</f>
        <v>16</v>
      </c>
      <c r="O980" t="str">
        <f>IF(ISNUMBER(SEARCH("$",A980)), "Money", IF(ISNUMBER(SEARCH("Win",A980)), "Challenge",IF(ISNUMBER(SEARCH("Challenge",A980)), "Challenge",IF(ISNUMBER(SEARCH("Last To Leave",A980)),"Challenge",IF(ISNUMBER(SEARCH("Giving Away", A980)),"Giveaway",IF(ISNUMBER(SEARCH("Stranded",A980)),"Survival", IF(ISNUMBER(SEARCH("Survive",A980)), "Survival", IF(ISNUMBER(SEARCH("Days",A980)),"Endurance","Other"))))))))</f>
        <v>Other</v>
      </c>
    </row>
    <row r="981" spans="1:15" x14ac:dyDescent="0.3">
      <c r="A981" t="s">
        <v>986</v>
      </c>
      <c r="B981" s="1">
        <v>46059</v>
      </c>
      <c r="C981" s="2">
        <v>156925389</v>
      </c>
      <c r="D981" s="3">
        <v>2774150</v>
      </c>
      <c r="E981" s="3">
        <v>10434</v>
      </c>
      <c r="F981">
        <f>YEAR(B981)</f>
        <v>2026</v>
      </c>
      <c r="G981" t="str">
        <f>TEXT(B981,"MMMM")</f>
        <v>February</v>
      </c>
      <c r="H981" t="str">
        <f>TEXT(B981, "DDDD")</f>
        <v>Friday</v>
      </c>
      <c r="I981">
        <f>((D981+E981)/C981)*100</f>
        <v>1.7744636592871534</v>
      </c>
      <c r="J981">
        <f>(D981/C981)*1000</f>
        <v>17.678146396055769</v>
      </c>
      <c r="K981">
        <f>(E981/C981)*1000</f>
        <v>6.6490196815761918E-2</v>
      </c>
      <c r="L981">
        <f>CORREL(C981:C1479, D981:D1479)</f>
        <v>0.7676699329130614</v>
      </c>
      <c r="M981">
        <f>CORREL(C981:C1479,E981:E1479)</f>
        <v>0.86817587748363245</v>
      </c>
      <c r="N981">
        <f>LEN(A981)</f>
        <v>32</v>
      </c>
      <c r="O981" t="str">
        <f>IF(ISNUMBER(SEARCH("$",A981)), "Money", IF(ISNUMBER(SEARCH("Win",A981)), "Challenge",IF(ISNUMBER(SEARCH("Challenge",A981)), "Challenge",IF(ISNUMBER(SEARCH("Last To Leave",A981)),"Challenge",IF(ISNUMBER(SEARCH("Giving Away", A981)),"Giveaway",IF(ISNUMBER(SEARCH("Stranded",A981)),"Survival", IF(ISNUMBER(SEARCH("Survive",A981)), "Survival", IF(ISNUMBER(SEARCH("Days",A981)),"Endurance","Other"))))))))</f>
        <v>Other</v>
      </c>
    </row>
    <row r="982" spans="1:15" x14ac:dyDescent="0.3">
      <c r="A982" t="s">
        <v>987</v>
      </c>
      <c r="B982" s="1">
        <v>46159</v>
      </c>
      <c r="C982" s="2">
        <v>318642383</v>
      </c>
      <c r="D982" s="3">
        <v>2146674</v>
      </c>
      <c r="E982" s="3">
        <v>21083</v>
      </c>
      <c r="F982">
        <f>YEAR(B982)</f>
        <v>2026</v>
      </c>
      <c r="G982" t="str">
        <f>TEXT(B982,"MMMM")</f>
        <v>May</v>
      </c>
      <c r="H982" t="str">
        <f>TEXT(B982, "DDDD")</f>
        <v>Sunday</v>
      </c>
      <c r="I982">
        <f>((D982+E982)/C982)*100</f>
        <v>0.68031031515352436</v>
      </c>
      <c r="J982">
        <f>(D982/C982)*1000</f>
        <v>6.736938067651848</v>
      </c>
      <c r="K982">
        <f>(E982/C982)*1000</f>
        <v>6.6165083883395384E-2</v>
      </c>
      <c r="L982">
        <f>CORREL(C982:C1480, D982:D1480)</f>
        <v>0.71618152808199942</v>
      </c>
      <c r="M982">
        <f>CORREL(C982:C1480,E982:E1480)</f>
        <v>0.82028193425170814</v>
      </c>
      <c r="N982">
        <f>LEN(A982)</f>
        <v>22</v>
      </c>
      <c r="O982" t="str">
        <f>IF(ISNUMBER(SEARCH("$",A982)), "Money", IF(ISNUMBER(SEARCH("Win",A982)), "Challenge",IF(ISNUMBER(SEARCH("Challenge",A982)), "Challenge",IF(ISNUMBER(SEARCH("Last To Leave",A982)),"Challenge",IF(ISNUMBER(SEARCH("Giving Away", A982)),"Giveaway",IF(ISNUMBER(SEARCH("Stranded",A982)),"Survival", IF(ISNUMBER(SEARCH("Survive",A982)), "Survival", IF(ISNUMBER(SEARCH("Days",A982)),"Endurance","Other"))))))))</f>
        <v>Other</v>
      </c>
    </row>
    <row r="983" spans="1:15" x14ac:dyDescent="0.3">
      <c r="A983" t="s">
        <v>988</v>
      </c>
      <c r="B983" s="1">
        <v>46154</v>
      </c>
      <c r="C983" s="2">
        <v>336785327</v>
      </c>
      <c r="D983" s="3">
        <v>4628087</v>
      </c>
      <c r="E983" s="3">
        <v>20137</v>
      </c>
      <c r="F983">
        <f>YEAR(B983)</f>
        <v>2026</v>
      </c>
      <c r="G983" t="str">
        <f>TEXT(B983,"MMMM")</f>
        <v>May</v>
      </c>
      <c r="H983" t="str">
        <f>TEXT(B983, "DDDD")</f>
        <v>Tuesday</v>
      </c>
      <c r="I983">
        <f>((D983+E983)/C983)*100</f>
        <v>1.380174142800467</v>
      </c>
      <c r="J983">
        <f>(D983/C983)*1000</f>
        <v>13.741949630721292</v>
      </c>
      <c r="K983">
        <f>(E983/C983)*1000</f>
        <v>5.9791797283377496E-2</v>
      </c>
      <c r="L983">
        <f>CORREL(C983:C1481, D983:D1481)</f>
        <v>0.6239286569783169</v>
      </c>
      <c r="M983">
        <f>CORREL(C983:C1481,E983:E1481)</f>
        <v>0.87255467544260368</v>
      </c>
      <c r="N983">
        <f>LEN(A983)</f>
        <v>20</v>
      </c>
      <c r="O983" t="str">
        <f>IF(ISNUMBER(SEARCH("$",A983)), "Money", IF(ISNUMBER(SEARCH("Win",A983)), "Challenge",IF(ISNUMBER(SEARCH("Challenge",A983)), "Challenge",IF(ISNUMBER(SEARCH("Last To Leave",A983)),"Challenge",IF(ISNUMBER(SEARCH("Giving Away", A983)),"Giveaway",IF(ISNUMBER(SEARCH("Stranded",A983)),"Survival", IF(ISNUMBER(SEARCH("Survive",A983)), "Survival", IF(ISNUMBER(SEARCH("Days",A983)),"Endurance","Other"))))))))</f>
        <v>Other</v>
      </c>
    </row>
    <row r="984" spans="1:15" x14ac:dyDescent="0.3">
      <c r="A984" t="s">
        <v>989</v>
      </c>
      <c r="B984" s="1">
        <v>46028</v>
      </c>
      <c r="C984" s="2">
        <v>491669636</v>
      </c>
      <c r="D984" s="3">
        <v>6084981</v>
      </c>
      <c r="E984" s="3">
        <v>20065</v>
      </c>
      <c r="F984">
        <f>YEAR(B984)</f>
        <v>2026</v>
      </c>
      <c r="G984" t="str">
        <f>TEXT(B984,"MMMM")</f>
        <v>January</v>
      </c>
      <c r="H984" t="str">
        <f>TEXT(B984, "DDDD")</f>
        <v>Tuesday</v>
      </c>
      <c r="I984">
        <f>((D984+E984)/C984)*100</f>
        <v>1.2416967721797652</v>
      </c>
      <c r="J984">
        <f>(D984/C984)*1000</f>
        <v>12.376157798770393</v>
      </c>
      <c r="K984">
        <f>(E984/C984)*1000</f>
        <v>4.0809923027258083E-2</v>
      </c>
      <c r="L984">
        <f>CORREL(C984:C1482, D984:D1482)</f>
        <v>0.55720866740999153</v>
      </c>
      <c r="M984">
        <f>CORREL(C984:C1482,E984:E1482)</f>
        <v>0.95346145467454113</v>
      </c>
      <c r="N984">
        <f>LEN(A984)</f>
        <v>16</v>
      </c>
      <c r="O984" t="str">
        <f>IF(ISNUMBER(SEARCH("$",A984)), "Money", IF(ISNUMBER(SEARCH("Win",A984)), "Challenge",IF(ISNUMBER(SEARCH("Challenge",A984)), "Challenge",IF(ISNUMBER(SEARCH("Last To Leave",A984)),"Challenge",IF(ISNUMBER(SEARCH("Giving Away", A984)),"Giveaway",IF(ISNUMBER(SEARCH("Stranded",A984)),"Survival", IF(ISNUMBER(SEARCH("Survive",A984)), "Survival", IF(ISNUMBER(SEARCH("Days",A984)),"Endurance","Other"))))))))</f>
        <v>Other</v>
      </c>
    </row>
    <row r="985" spans="1:15" x14ac:dyDescent="0.3">
      <c r="A985" t="s">
        <v>990</v>
      </c>
      <c r="B985" s="1">
        <v>46049</v>
      </c>
      <c r="C985" s="2">
        <v>1150823786</v>
      </c>
      <c r="D985" s="3">
        <v>8917138</v>
      </c>
      <c r="E985" s="3">
        <v>40603</v>
      </c>
      <c r="F985">
        <f>YEAR(B985)</f>
        <v>2026</v>
      </c>
      <c r="G985" t="str">
        <f>TEXT(B985,"MMMM")</f>
        <v>January</v>
      </c>
      <c r="H985" t="str">
        <f>TEXT(B985, "DDDD")</f>
        <v>Tuesday</v>
      </c>
      <c r="I985">
        <f>((D985+E985)/C985)*100</f>
        <v>0.77837642121866957</v>
      </c>
      <c r="J985">
        <f>(D985/C985)*1000</f>
        <v>7.748482529192354</v>
      </c>
      <c r="K985">
        <f>(E985/C985)*1000</f>
        <v>3.528168299434159E-2</v>
      </c>
      <c r="L985">
        <f>CORREL(C985:C1483, D985:D1483)</f>
        <v>0.60222652806956734</v>
      </c>
      <c r="M985">
        <f>CORREL(C985:C1483,E985:E1483)</f>
        <v>0.99847309973238019</v>
      </c>
      <c r="N985">
        <f>LEN(A985)</f>
        <v>24</v>
      </c>
      <c r="O985" t="str">
        <f>IF(ISNUMBER(SEARCH("$",A985)), "Money", IF(ISNUMBER(SEARCH("Win",A985)), "Challenge",IF(ISNUMBER(SEARCH("Challenge",A985)), "Challenge",IF(ISNUMBER(SEARCH("Last To Leave",A985)),"Challenge",IF(ISNUMBER(SEARCH("Giving Away", A985)),"Giveaway",IF(ISNUMBER(SEARCH("Stranded",A985)),"Survival", IF(ISNUMBER(SEARCH("Survive",A985)), "Survival", IF(ISNUMBER(SEARCH("Days",A985)),"Endurance","Other"))))))))</f>
        <v>Money</v>
      </c>
    </row>
    <row r="986" spans="1:15" x14ac:dyDescent="0.3">
      <c r="A986" t="s">
        <v>991</v>
      </c>
      <c r="B986" s="1">
        <v>46113</v>
      </c>
      <c r="C986" s="2">
        <v>706173056</v>
      </c>
      <c r="D986" s="3">
        <v>3333954</v>
      </c>
      <c r="E986" s="3">
        <v>21756</v>
      </c>
      <c r="F986">
        <f>YEAR(B986)</f>
        <v>2026</v>
      </c>
      <c r="G986" t="str">
        <f>TEXT(B986,"MMMM")</f>
        <v>April</v>
      </c>
      <c r="H986" t="str">
        <f>TEXT(B986, "DDDD")</f>
        <v>Wednesday</v>
      </c>
      <c r="I986">
        <f>((D986+E986)/C986)*100</f>
        <v>0.47519655012156109</v>
      </c>
      <c r="J986">
        <f>(D986/C986)*1000</f>
        <v>4.7211571889822999</v>
      </c>
      <c r="K986">
        <f>(E986/C986)*1000</f>
        <v>3.0808312233311833E-2</v>
      </c>
      <c r="L986">
        <f>CORREL(C986:C1484, D986:D1484)</f>
        <v>-0.15124943388692902</v>
      </c>
      <c r="M986">
        <f>CORREL(C986:C1484,E986:E1484)</f>
        <v>0.9782511076378626</v>
      </c>
      <c r="N986">
        <f>LEN(A986)</f>
        <v>29</v>
      </c>
      <c r="O986" t="str">
        <f>IF(ISNUMBER(SEARCH("$",A986)), "Money", IF(ISNUMBER(SEARCH("Win",A986)), "Challenge",IF(ISNUMBER(SEARCH("Challenge",A986)), "Challenge",IF(ISNUMBER(SEARCH("Last To Leave",A986)),"Challenge",IF(ISNUMBER(SEARCH("Giving Away", A986)),"Giveaway",IF(ISNUMBER(SEARCH("Stranded",A986)),"Survival", IF(ISNUMBER(SEARCH("Survive",A986)), "Survival", IF(ISNUMBER(SEARCH("Days",A986)),"Endurance","Other"))))))))</f>
        <v>Other</v>
      </c>
    </row>
    <row r="987" spans="1:15" x14ac:dyDescent="0.3">
      <c r="A987" t="s">
        <v>985</v>
      </c>
      <c r="B987" s="1">
        <v>46147</v>
      </c>
      <c r="C987" s="2">
        <v>574352236</v>
      </c>
      <c r="D987" s="3">
        <v>5439422</v>
      </c>
      <c r="E987" s="3">
        <v>16883</v>
      </c>
      <c r="F987">
        <f>YEAR(B987)</f>
        <v>2026</v>
      </c>
      <c r="G987" t="str">
        <f>TEXT(B987,"MMMM")</f>
        <v>May</v>
      </c>
      <c r="H987" t="str">
        <f>TEXT(B987, "DDDD")</f>
        <v>Tuesday</v>
      </c>
      <c r="I987">
        <f>((D987+E987)/C987)*100</f>
        <v>0.94999281938897162</v>
      </c>
      <c r="J987">
        <f>(D987/C987)*1000</f>
        <v>9.4705333401017686</v>
      </c>
      <c r="K987">
        <f>(E987/C987)*1000</f>
        <v>2.9394853787946252E-2</v>
      </c>
      <c r="L987">
        <f>CORREL(C987:C1485, D987:D1485)</f>
        <v>1</v>
      </c>
      <c r="M987">
        <f>CORREL(C987:C1485,E987:E1485)</f>
        <v>1</v>
      </c>
      <c r="N987">
        <f>LEN(A987)</f>
        <v>16</v>
      </c>
      <c r="O987" t="str">
        <f>IF(ISNUMBER(SEARCH("$",A987)), "Money", IF(ISNUMBER(SEARCH("Win",A987)), "Challenge",IF(ISNUMBER(SEARCH("Challenge",A987)), "Challenge",IF(ISNUMBER(SEARCH("Last To Leave",A987)),"Challenge",IF(ISNUMBER(SEARCH("Giving Away", A987)),"Giveaway",IF(ISNUMBER(SEARCH("Stranded",A987)),"Survival", IF(ISNUMBER(SEARCH("Survive",A987)), "Survival", IF(ISNUMBER(SEARCH("Days",A987)),"Endurance","Other"))))))))</f>
        <v>Other</v>
      </c>
    </row>
    <row r="988" spans="1:15" x14ac:dyDescent="0.3">
      <c r="A988" t="s">
        <v>992</v>
      </c>
      <c r="B988" s="1">
        <v>46115</v>
      </c>
      <c r="C988" s="2">
        <v>675992847</v>
      </c>
      <c r="D988" s="3">
        <v>8112213</v>
      </c>
      <c r="E988" s="3">
        <v>19719</v>
      </c>
      <c r="F988">
        <f>YEAR(B988)</f>
        <v>2026</v>
      </c>
      <c r="G988" t="str">
        <f>TEXT(B988,"MMMM")</f>
        <v>April</v>
      </c>
      <c r="H988" t="str">
        <f>TEXT(B988, "DDDD")</f>
        <v>Friday</v>
      </c>
      <c r="I988">
        <f>((D988+E988)/C988)*100</f>
        <v>1.2029612496772468</v>
      </c>
      <c r="J988">
        <f>(D988/C988)*1000</f>
        <v>12.000442069766457</v>
      </c>
      <c r="K988">
        <f>(E988/C988)*1000</f>
        <v>2.9170427006012387E-2</v>
      </c>
      <c r="L988" t="e">
        <f>CORREL(C988:C1486, D988:D1486)</f>
        <v>#DIV/0!</v>
      </c>
      <c r="M988" t="e">
        <f>CORREL(C988:C1486,E988:E1486)</f>
        <v>#DIV/0!</v>
      </c>
      <c r="N988">
        <f>LEN(A988)</f>
        <v>29</v>
      </c>
      <c r="O988" t="str">
        <f>IF(ISNUMBER(SEARCH("$",A988)), "Money", IF(ISNUMBER(SEARCH("Win",A988)), "Challenge",IF(ISNUMBER(SEARCH("Challenge",A988)), "Challenge",IF(ISNUMBER(SEARCH("Last To Leave",A988)),"Challenge",IF(ISNUMBER(SEARCH("Giving Away", A988)),"Giveaway",IF(ISNUMBER(SEARCH("Stranded",A988)),"Survival", IF(ISNUMBER(SEARCH("Survive",A988)), "Survival", IF(ISNUMBER(SEARCH("Days",A988)),"Endurance","Other"))))))))</f>
        <v>Other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Mahesh Palaki</dc:creator>
  <cp:lastModifiedBy>Uma Mahesh Palaki</cp:lastModifiedBy>
  <dcterms:created xsi:type="dcterms:W3CDTF">2026-06-30T14:17:43Z</dcterms:created>
  <dcterms:modified xsi:type="dcterms:W3CDTF">2026-06-30T14:19:27Z</dcterms:modified>
</cp:coreProperties>
</file>