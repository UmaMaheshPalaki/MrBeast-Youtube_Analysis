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e0e69d27fcb0f7/Desktop/"/>
    </mc:Choice>
  </mc:AlternateContent>
  <xr:revisionPtr revIDLastSave="1" documentId="13_ncr:1_{F7AA1B3D-4AF2-4951-9406-08A7BFE77A4E}" xr6:coauthVersionLast="47" xr6:coauthVersionMax="47" xr10:uidLastSave="{30E48B2C-8031-40F8-91FE-6CEC16B76DDA}"/>
  <bookViews>
    <workbookView xWindow="-108" yWindow="-108" windowWidth="23256" windowHeight="12456" firstSheet="11" activeTab="13" xr2:uid="{A8845327-F679-4A0A-AF7C-03BE2D700F0C}"/>
  </bookViews>
  <sheets>
    <sheet name="Most Views" sheetId="2" r:id="rId1"/>
    <sheet name="Highest Likes" sheetId="3" r:id="rId2"/>
    <sheet name="Highest Comments" sheetId="4" r:id="rId3"/>
    <sheet name="Year-Wise Views" sheetId="9" r:id="rId4"/>
    <sheet name="Upload per year" sheetId="10" r:id="rId5"/>
    <sheet name="Month wise views" sheetId="11" r:id="rId6"/>
    <sheet name="Day wise Views" sheetId="12" r:id="rId7"/>
    <sheet name="Top 10 Videos" sheetId="13" r:id="rId8"/>
    <sheet name="AVG_Views_category" sheetId="22" r:id="rId9"/>
    <sheet name="Likes_category" sheetId="23" r:id="rId10"/>
    <sheet name="Comments_category" sheetId="24" r:id="rId11"/>
    <sheet name="Count of Titles" sheetId="25" r:id="rId12"/>
    <sheet name="Avg_engagement_rate" sheetId="26" r:id="rId13"/>
    <sheet name="Most audience Interaction" sheetId="40" r:id="rId14"/>
    <sheet name="MrBeast_Cleaned_Dataset" sheetId="1" r:id="rId15"/>
    <sheet name="Sheet1" sheetId="14" r:id="rId16"/>
  </sheets>
  <calcPr calcId="191029"/>
  <pivotCaches>
    <pivotCache cacheId="0" r:id="rId17"/>
  </pivotCaches>
</workbook>
</file>

<file path=xl/calcChain.xml><?xml version="1.0" encoding="utf-8"?>
<calcChain xmlns="http://schemas.openxmlformats.org/spreadsheetml/2006/main">
  <c r="O575" i="1" l="1"/>
  <c r="O652" i="1"/>
  <c r="O808" i="1"/>
  <c r="O822" i="1"/>
  <c r="O665" i="1"/>
  <c r="O689" i="1"/>
  <c r="O869" i="1"/>
  <c r="O502" i="1"/>
  <c r="O729" i="1"/>
  <c r="O799" i="1"/>
  <c r="O956" i="1"/>
  <c r="O753" i="1"/>
  <c r="O726" i="1"/>
  <c r="O796" i="1"/>
  <c r="O810" i="1"/>
  <c r="O828" i="1"/>
  <c r="O920" i="1"/>
  <c r="O606" i="1"/>
  <c r="O618" i="1"/>
  <c r="O864" i="1"/>
  <c r="O334" i="1"/>
  <c r="O721" i="1"/>
  <c r="O780" i="1"/>
  <c r="O851" i="1"/>
  <c r="O620" i="1"/>
  <c r="O767" i="1"/>
  <c r="O848" i="1"/>
  <c r="O950" i="1"/>
  <c r="O364" i="1"/>
  <c r="O586" i="1"/>
  <c r="O657" i="1"/>
  <c r="O727" i="1"/>
  <c r="O962" i="1"/>
  <c r="O588" i="1"/>
  <c r="O703" i="1"/>
  <c r="O779" i="1"/>
  <c r="O842" i="1"/>
  <c r="O8" i="1"/>
  <c r="O523" i="1"/>
  <c r="O499" i="1"/>
  <c r="O449" i="1"/>
  <c r="O299" i="1"/>
  <c r="O461" i="1"/>
  <c r="O539" i="1"/>
  <c r="O626" i="1"/>
  <c r="O195" i="1"/>
  <c r="O276" i="1"/>
  <c r="O348" i="1"/>
  <c r="O404" i="1"/>
  <c r="O534" i="1"/>
  <c r="O638" i="1"/>
  <c r="O719" i="1"/>
  <c r="O798" i="1"/>
  <c r="O48" i="1"/>
  <c r="O89" i="1"/>
  <c r="O148" i="1"/>
  <c r="O243" i="1"/>
  <c r="O357" i="1"/>
  <c r="O583" i="1"/>
  <c r="O899" i="1"/>
  <c r="O44" i="1"/>
  <c r="O102" i="1"/>
  <c r="O157" i="1"/>
  <c r="O176" i="1"/>
  <c r="O229" i="1"/>
  <c r="O248" i="1"/>
  <c r="O319" i="1"/>
  <c r="O435" i="1"/>
  <c r="O625" i="1"/>
  <c r="O651" i="1"/>
  <c r="O662" i="1"/>
  <c r="O29" i="1"/>
  <c r="O498" i="1"/>
  <c r="O155" i="1"/>
  <c r="O170" i="1"/>
  <c r="O221" i="1"/>
  <c r="O321" i="1"/>
  <c r="O392" i="1"/>
  <c r="O542" i="1"/>
  <c r="O628" i="1"/>
  <c r="O707" i="1"/>
  <c r="O717" i="1"/>
  <c r="O817" i="1"/>
  <c r="O861" i="1"/>
  <c r="O877" i="1"/>
  <c r="O970" i="1"/>
  <c r="O974" i="1"/>
  <c r="O108" i="1"/>
  <c r="O280" i="1"/>
  <c r="O395" i="1"/>
  <c r="O351" i="1"/>
  <c r="O442" i="1"/>
  <c r="O456" i="1"/>
  <c r="O552" i="1"/>
  <c r="O624" i="1"/>
  <c r="O690" i="1"/>
  <c r="O706" i="1"/>
  <c r="O728" i="1"/>
  <c r="O806" i="1"/>
  <c r="O4" i="1"/>
  <c r="O79" i="1"/>
  <c r="O87" i="1"/>
  <c r="O88" i="1"/>
  <c r="O92" i="1"/>
  <c r="O138" i="1"/>
  <c r="O495" i="1"/>
  <c r="O152" i="1"/>
  <c r="O244" i="1"/>
  <c r="O325" i="1"/>
  <c r="O345" i="1"/>
  <c r="O530" i="1"/>
  <c r="O557" i="1"/>
  <c r="O616" i="1"/>
  <c r="O733" i="1"/>
  <c r="O768" i="1"/>
  <c r="O782" i="1"/>
  <c r="O835" i="1"/>
  <c r="O846" i="1"/>
  <c r="O921" i="1"/>
  <c r="O938" i="1"/>
  <c r="O979" i="1"/>
  <c r="O349" i="1"/>
  <c r="O10" i="1"/>
  <c r="O46" i="1"/>
  <c r="O56" i="1"/>
  <c r="O71" i="1"/>
  <c r="O105" i="1"/>
  <c r="O151" i="1"/>
  <c r="O173" i="1"/>
  <c r="O259" i="1"/>
  <c r="O307" i="1"/>
  <c r="O454" i="1"/>
  <c r="O518" i="1"/>
  <c r="O525" i="1"/>
  <c r="O574" i="1"/>
  <c r="O581" i="1"/>
  <c r="O587" i="1"/>
  <c r="O743" i="1"/>
  <c r="O769" i="1"/>
  <c r="O789" i="1"/>
  <c r="O821" i="1"/>
  <c r="O872" i="1"/>
  <c r="O885" i="1"/>
  <c r="O894" i="1"/>
  <c r="O918" i="1"/>
  <c r="O505" i="1"/>
  <c r="O20" i="1"/>
  <c r="O66" i="1"/>
  <c r="O86" i="1"/>
  <c r="O111" i="1"/>
  <c r="O168" i="1"/>
  <c r="O178" i="1"/>
  <c r="O185" i="1"/>
  <c r="O343" i="1"/>
  <c r="O372" i="1"/>
  <c r="O377" i="1"/>
  <c r="O293" i="1"/>
  <c r="O571" i="1"/>
  <c r="O756" i="1"/>
  <c r="O829" i="1"/>
  <c r="O867" i="1"/>
  <c r="O13" i="1"/>
  <c r="O93" i="1"/>
  <c r="O383" i="1"/>
  <c r="O121" i="1"/>
  <c r="O237" i="1"/>
  <c r="O249" i="1"/>
  <c r="O251" i="1"/>
  <c r="O262" i="1"/>
  <c r="O291" i="1"/>
  <c r="O472" i="1"/>
  <c r="O573" i="1"/>
  <c r="O576" i="1"/>
  <c r="O585" i="1"/>
  <c r="O614" i="1"/>
  <c r="O718" i="1"/>
  <c r="O761" i="1"/>
  <c r="O834" i="1"/>
  <c r="O840" i="1"/>
  <c r="O879" i="1"/>
  <c r="O882" i="1"/>
  <c r="O897" i="1"/>
  <c r="O900" i="1"/>
  <c r="O963" i="1"/>
  <c r="O967" i="1"/>
  <c r="O24" i="1"/>
  <c r="O371" i="1"/>
  <c r="O42" i="1"/>
  <c r="O45" i="1"/>
  <c r="O405" i="1"/>
  <c r="O359" i="1"/>
  <c r="O323" i="1"/>
  <c r="O407" i="1"/>
  <c r="O284" i="1"/>
  <c r="O503" i="1"/>
  <c r="O512" i="1"/>
  <c r="O673" i="1"/>
  <c r="O700" i="1"/>
  <c r="O741" i="1"/>
  <c r="O913" i="1"/>
  <c r="O55" i="1"/>
  <c r="O61" i="1"/>
  <c r="O78" i="1"/>
  <c r="O103" i="1"/>
  <c r="O142" i="1"/>
  <c r="O159" i="1"/>
  <c r="O163" i="1"/>
  <c r="O180" i="1"/>
  <c r="O186" i="1"/>
  <c r="O260" i="1"/>
  <c r="O470" i="1"/>
  <c r="O510" i="1"/>
  <c r="O535" i="1"/>
  <c r="O605" i="1"/>
  <c r="O612" i="1"/>
  <c r="O613" i="1"/>
  <c r="O637" i="1"/>
  <c r="O649" i="1"/>
  <c r="O659" i="1"/>
  <c r="O694" i="1"/>
  <c r="O701" i="1"/>
  <c r="O813" i="1"/>
  <c r="O928" i="1"/>
  <c r="O7" i="1"/>
  <c r="O30" i="1"/>
  <c r="O50" i="1"/>
  <c r="O57" i="1"/>
  <c r="O58" i="1"/>
  <c r="O75" i="1"/>
  <c r="O85" i="1"/>
  <c r="O106" i="1"/>
  <c r="O113" i="1"/>
  <c r="O122" i="1"/>
  <c r="O158" i="1"/>
  <c r="O179" i="1"/>
  <c r="O191" i="1"/>
  <c r="O207" i="1"/>
  <c r="O212" i="1"/>
  <c r="O263" i="1"/>
  <c r="O266" i="1"/>
  <c r="O347" i="1"/>
  <c r="O379" i="1"/>
  <c r="O420" i="1"/>
  <c r="O422" i="1"/>
  <c r="O134" i="1"/>
  <c r="O256" i="1"/>
  <c r="O541" i="1"/>
  <c r="O594" i="1"/>
  <c r="O599" i="1"/>
  <c r="O621" i="1"/>
  <c r="O629" i="1"/>
  <c r="O632" i="1"/>
  <c r="O705" i="1"/>
  <c r="O809" i="1"/>
  <c r="O833" i="1"/>
  <c r="O838" i="1"/>
  <c r="O862" i="1"/>
  <c r="O508" i="1"/>
  <c r="O528" i="1"/>
  <c r="O68" i="1"/>
  <c r="O125" i="1"/>
  <c r="O128" i="1"/>
  <c r="O141" i="1"/>
  <c r="O169" i="1"/>
  <c r="O203" i="1"/>
  <c r="O258" i="1"/>
  <c r="O269" i="1"/>
  <c r="O352" i="1"/>
  <c r="O120" i="1"/>
  <c r="O434" i="1"/>
  <c r="O486" i="1"/>
  <c r="O547" i="1"/>
  <c r="O568" i="1"/>
  <c r="O617" i="1"/>
  <c r="O667" i="1"/>
  <c r="O672" i="1"/>
  <c r="O709" i="1"/>
  <c r="O734" i="1"/>
  <c r="O746" i="1"/>
  <c r="O747" i="1"/>
  <c r="O825" i="1"/>
  <c r="O836" i="1"/>
  <c r="O859" i="1"/>
  <c r="O25" i="1"/>
  <c r="O38" i="1"/>
  <c r="O47" i="1"/>
  <c r="O99" i="1"/>
  <c r="O116" i="1"/>
  <c r="O252" i="1"/>
  <c r="O283" i="1"/>
  <c r="O296" i="1"/>
  <c r="O320" i="1"/>
  <c r="O346" i="1"/>
  <c r="O408" i="1"/>
  <c r="O409" i="1"/>
  <c r="O478" i="1"/>
  <c r="O531" i="1"/>
  <c r="O545" i="1"/>
  <c r="O570" i="1"/>
  <c r="O577" i="1"/>
  <c r="O589" i="1"/>
  <c r="O592" i="1"/>
  <c r="O660" i="1"/>
  <c r="O663" i="1"/>
  <c r="O685" i="1"/>
  <c r="O781" i="1"/>
  <c r="O886" i="1"/>
  <c r="O922" i="1"/>
  <c r="O941" i="1"/>
  <c r="O959" i="1"/>
  <c r="O17" i="1"/>
  <c r="O74" i="1"/>
  <c r="O81" i="1"/>
  <c r="O136" i="1"/>
  <c r="O145" i="1"/>
  <c r="O161" i="1"/>
  <c r="O197" i="1"/>
  <c r="O200" i="1"/>
  <c r="O217" i="1"/>
  <c r="O218" i="1"/>
  <c r="O222" i="1"/>
  <c r="O228" i="1"/>
  <c r="O275" i="1"/>
  <c r="O278" i="1"/>
  <c r="O403" i="1"/>
  <c r="O316" i="1"/>
  <c r="O264" i="1"/>
  <c r="O437" i="1"/>
  <c r="O324" i="1"/>
  <c r="O393" i="1"/>
  <c r="O412" i="1"/>
  <c r="O474" i="1"/>
  <c r="O487" i="1"/>
  <c r="O558" i="1"/>
  <c r="O723" i="1"/>
  <c r="O766" i="1"/>
  <c r="O797" i="1"/>
  <c r="O854" i="1"/>
  <c r="O889" i="1"/>
  <c r="O929" i="1"/>
  <c r="O968" i="1"/>
  <c r="O971" i="1"/>
  <c r="O31" i="1"/>
  <c r="O34" i="1"/>
  <c r="O39" i="1"/>
  <c r="O40" i="1"/>
  <c r="O73" i="1"/>
  <c r="O114" i="1"/>
  <c r="O160" i="1"/>
  <c r="O166" i="1"/>
  <c r="O230" i="1"/>
  <c r="O479" i="1"/>
  <c r="O304" i="1"/>
  <c r="O350" i="1"/>
  <c r="O363" i="1"/>
  <c r="O370" i="1"/>
  <c r="O387" i="1"/>
  <c r="O399" i="1"/>
  <c r="O424" i="1"/>
  <c r="O453" i="1"/>
  <c r="O466" i="1"/>
  <c r="O302" i="1"/>
  <c r="O509" i="1"/>
  <c r="O529" i="1"/>
  <c r="O582" i="1"/>
  <c r="O590" i="1"/>
  <c r="O602" i="1"/>
  <c r="O658" i="1"/>
  <c r="O661" i="1"/>
  <c r="O763" i="1"/>
  <c r="O807" i="1"/>
  <c r="O977" i="1"/>
  <c r="O982" i="1"/>
  <c r="O12" i="1"/>
  <c r="O18" i="1"/>
  <c r="O26" i="1"/>
  <c r="O27" i="1"/>
  <c r="O35" i="1"/>
  <c r="O43" i="1"/>
  <c r="O80" i="1"/>
  <c r="O382" i="1"/>
  <c r="O144" i="1"/>
  <c r="O184" i="1"/>
  <c r="O234" i="1"/>
  <c r="O245" i="1"/>
  <c r="O329" i="1"/>
  <c r="O54" i="1"/>
  <c r="O374" i="1"/>
  <c r="O389" i="1"/>
  <c r="O426" i="1"/>
  <c r="O480" i="1"/>
  <c r="O515" i="1"/>
  <c r="O550" i="1"/>
  <c r="O615" i="1"/>
  <c r="O635" i="1"/>
  <c r="O674" i="1"/>
  <c r="O691" i="1"/>
  <c r="O712" i="1"/>
  <c r="O742" i="1"/>
  <c r="O785" i="1"/>
  <c r="O891" i="1"/>
  <c r="O960" i="1"/>
  <c r="O961" i="1"/>
  <c r="O972" i="1"/>
  <c r="O980" i="1"/>
  <c r="O983" i="1"/>
  <c r="O11" i="1"/>
  <c r="O21" i="1"/>
  <c r="O22" i="1"/>
  <c r="O28" i="1"/>
  <c r="O60" i="1"/>
  <c r="O94" i="1"/>
  <c r="O95" i="1"/>
  <c r="O100" i="1"/>
  <c r="O104" i="1"/>
  <c r="O115" i="1"/>
  <c r="O135" i="1"/>
  <c r="O146" i="1"/>
  <c r="O165" i="1"/>
  <c r="O174" i="1"/>
  <c r="O206" i="1"/>
  <c r="O227" i="1"/>
  <c r="O255" i="1"/>
  <c r="O297" i="1"/>
  <c r="O381" i="1"/>
  <c r="O376" i="1"/>
  <c r="O431" i="1"/>
  <c r="O444" i="1"/>
  <c r="O563" i="1"/>
  <c r="O572" i="1"/>
  <c r="O598" i="1"/>
  <c r="O609" i="1"/>
  <c r="O722" i="1"/>
  <c r="O731" i="1"/>
  <c r="O776" i="1"/>
  <c r="O841" i="1"/>
  <c r="O887" i="1"/>
  <c r="O895" i="1"/>
  <c r="O904" i="1"/>
  <c r="O955" i="1"/>
  <c r="O969" i="1"/>
  <c r="O14" i="1"/>
  <c r="O67" i="1"/>
  <c r="O70" i="1"/>
  <c r="O98" i="1"/>
  <c r="O127" i="1"/>
  <c r="O164" i="1"/>
  <c r="O241" i="1"/>
  <c r="O253" i="1"/>
  <c r="O308" i="1"/>
  <c r="O342" i="1"/>
  <c r="O77" i="1"/>
  <c r="O425" i="1"/>
  <c r="O468" i="1"/>
  <c r="O488" i="1"/>
  <c r="O9" i="1"/>
  <c r="O538" i="1"/>
  <c r="O543" i="1"/>
  <c r="O564" i="1"/>
  <c r="O608" i="1"/>
  <c r="O636" i="1"/>
  <c r="O655" i="1"/>
  <c r="O681" i="1"/>
  <c r="O702" i="1"/>
  <c r="O720" i="1"/>
  <c r="O755" i="1"/>
  <c r="O784" i="1"/>
  <c r="O830" i="1"/>
  <c r="O837" i="1"/>
  <c r="O857" i="1"/>
  <c r="O866" i="1"/>
  <c r="O946" i="1"/>
  <c r="O16" i="1"/>
  <c r="O90" i="1"/>
  <c r="O101" i="1"/>
  <c r="O162" i="1"/>
  <c r="O190" i="1"/>
  <c r="O192" i="1"/>
  <c r="O193" i="1"/>
  <c r="O196" i="1"/>
  <c r="O235" i="1"/>
  <c r="O236" i="1"/>
  <c r="O254" i="1"/>
  <c r="O261" i="1"/>
  <c r="O279" i="1"/>
  <c r="O310" i="1"/>
  <c r="O137" i="1"/>
  <c r="O411" i="1"/>
  <c r="O416" i="1"/>
  <c r="O462" i="1"/>
  <c r="O481" i="1"/>
  <c r="O496" i="1"/>
  <c r="O519" i="1"/>
  <c r="O579" i="1"/>
  <c r="O619" i="1"/>
  <c r="O664" i="1"/>
  <c r="O683" i="1"/>
  <c r="O711" i="1"/>
  <c r="O732" i="1"/>
  <c r="O736" i="1"/>
  <c r="O823" i="1"/>
  <c r="O870" i="1"/>
  <c r="O898" i="1"/>
  <c r="O911" i="1"/>
  <c r="O923" i="1"/>
  <c r="O945" i="1"/>
  <c r="O951" i="1"/>
  <c r="O49" i="1"/>
  <c r="O133" i="1"/>
  <c r="O154" i="1"/>
  <c r="O183" i="1"/>
  <c r="O210" i="1"/>
  <c r="O220" i="1"/>
  <c r="O265" i="1"/>
  <c r="O272" i="1"/>
  <c r="O274" i="1"/>
  <c r="O288" i="1"/>
  <c r="O305" i="1"/>
  <c r="O335" i="1"/>
  <c r="O354" i="1"/>
  <c r="O361" i="1"/>
  <c r="O366" i="1"/>
  <c r="O367" i="1"/>
  <c r="O400" i="1"/>
  <c r="O326" i="1"/>
  <c r="O436" i="1"/>
  <c r="O446" i="1"/>
  <c r="O494" i="1"/>
  <c r="O497" i="1"/>
  <c r="O555" i="1"/>
  <c r="O569" i="1"/>
  <c r="O578" i="1"/>
  <c r="O671" i="1"/>
  <c r="O675" i="1"/>
  <c r="O783" i="1"/>
  <c r="O815" i="1"/>
  <c r="O902" i="1"/>
  <c r="O935" i="1"/>
  <c r="O942" i="1"/>
  <c r="O964" i="1"/>
  <c r="O3" i="1"/>
  <c r="O23" i="1"/>
  <c r="O32" i="1"/>
  <c r="O51" i="1"/>
  <c r="O53" i="1"/>
  <c r="O63" i="1"/>
  <c r="O84" i="1"/>
  <c r="O96" i="1"/>
  <c r="O107" i="1"/>
  <c r="O119" i="1"/>
  <c r="O150" i="1"/>
  <c r="O153" i="1"/>
  <c r="O182" i="1"/>
  <c r="O198" i="1"/>
  <c r="O205" i="1"/>
  <c r="O213" i="1"/>
  <c r="O231" i="1"/>
  <c r="O232" i="1"/>
  <c r="O247" i="1"/>
  <c r="O306" i="1"/>
  <c r="O318" i="1"/>
  <c r="O339" i="1"/>
  <c r="O378" i="1"/>
  <c r="O384" i="1"/>
  <c r="O391" i="1"/>
  <c r="O394" i="1"/>
  <c r="O402" i="1"/>
  <c r="O429" i="1"/>
  <c r="O513" i="1"/>
  <c r="O533" i="1"/>
  <c r="O544" i="1"/>
  <c r="O600" i="1"/>
  <c r="O630" i="1"/>
  <c r="O634" i="1"/>
  <c r="O640" i="1"/>
  <c r="O765" i="1"/>
  <c r="O801" i="1"/>
  <c r="O839" i="1"/>
  <c r="O858" i="1"/>
  <c r="O919" i="1"/>
  <c r="O932" i="1"/>
  <c r="O965" i="1"/>
  <c r="O973" i="1"/>
  <c r="O59" i="1"/>
  <c r="O110" i="1"/>
  <c r="O123" i="1"/>
  <c r="O189" i="1"/>
  <c r="O216" i="1"/>
  <c r="O240" i="1"/>
  <c r="O285" i="1"/>
  <c r="O294" i="1"/>
  <c r="O312" i="1"/>
  <c r="O315" i="1"/>
  <c r="O375" i="1"/>
  <c r="O33" i="1"/>
  <c r="O317" i="1"/>
  <c r="O471" i="1"/>
  <c r="O514" i="1"/>
  <c r="O551" i="1"/>
  <c r="O593" i="1"/>
  <c r="O611" i="1"/>
  <c r="O666" i="1"/>
  <c r="O686" i="1"/>
  <c r="O714" i="1"/>
  <c r="O740" i="1"/>
  <c r="O758" i="1"/>
  <c r="O760" i="1"/>
  <c r="O855" i="1"/>
  <c r="O873" i="1"/>
  <c r="O916" i="1"/>
  <c r="O933" i="1"/>
  <c r="O952" i="1"/>
  <c r="O41" i="1"/>
  <c r="O97" i="1"/>
  <c r="O112" i="1"/>
  <c r="O124" i="1"/>
  <c r="O126" i="1"/>
  <c r="O131" i="1"/>
  <c r="O175" i="1"/>
  <c r="O208" i="1"/>
  <c r="O224" i="1"/>
  <c r="O225" i="1"/>
  <c r="O239" i="1"/>
  <c r="O277" i="1"/>
  <c r="O282" i="1"/>
  <c r="O338" i="1"/>
  <c r="O421" i="1"/>
  <c r="O427" i="1"/>
  <c r="O460" i="1"/>
  <c r="O484" i="1"/>
  <c r="O526" i="1"/>
  <c r="O549" i="1"/>
  <c r="O561" i="1"/>
  <c r="O596" i="1"/>
  <c r="O622" i="1"/>
  <c r="O639" i="1"/>
  <c r="O641" i="1"/>
  <c r="O826" i="1"/>
  <c r="O844" i="1"/>
  <c r="O852" i="1"/>
  <c r="O853" i="1"/>
  <c r="O860" i="1"/>
  <c r="O883" i="1"/>
  <c r="O896" i="1"/>
  <c r="O924" i="1"/>
  <c r="O953" i="1"/>
  <c r="O64" i="1"/>
  <c r="O76" i="1"/>
  <c r="O82" i="1"/>
  <c r="O83" i="1"/>
  <c r="O214" i="1"/>
  <c r="O215" i="1"/>
  <c r="O219" i="1"/>
  <c r="O257" i="1"/>
  <c r="O268" i="1"/>
  <c r="O281" i="1"/>
  <c r="O295" i="1"/>
  <c r="O211" i="1"/>
  <c r="O309" i="1"/>
  <c r="O362" i="1"/>
  <c r="O439" i="1"/>
  <c r="O451" i="1"/>
  <c r="O469" i="1"/>
  <c r="O477" i="1"/>
  <c r="O517" i="1"/>
  <c r="O546" i="1"/>
  <c r="O548" i="1"/>
  <c r="O556" i="1"/>
  <c r="O565" i="1"/>
  <c r="O597" i="1"/>
  <c r="O642" i="1"/>
  <c r="O676" i="1"/>
  <c r="O677" i="1"/>
  <c r="O678" i="1"/>
  <c r="O698" i="1"/>
  <c r="O790" i="1"/>
  <c r="O793" i="1"/>
  <c r="O863" i="1"/>
  <c r="O871" i="1"/>
  <c r="O875" i="1"/>
  <c r="O876" i="1"/>
  <c r="O884" i="1"/>
  <c r="O901" i="1"/>
  <c r="O909" i="1"/>
  <c r="O910" i="1"/>
  <c r="O947" i="1"/>
  <c r="O978" i="1"/>
  <c r="O19" i="1"/>
  <c r="O62" i="1"/>
  <c r="O130" i="1"/>
  <c r="O418" i="1"/>
  <c r="O250" i="1"/>
  <c r="O267" i="1"/>
  <c r="O271" i="1"/>
  <c r="O132" i="1"/>
  <c r="O330" i="1"/>
  <c r="O482" i="1"/>
  <c r="O627" i="1"/>
  <c r="O650" i="1"/>
  <c r="O688" i="1"/>
  <c r="O716" i="1"/>
  <c r="O724" i="1"/>
  <c r="O725" i="1"/>
  <c r="O735" i="1"/>
  <c r="O751" i="1"/>
  <c r="O778" i="1"/>
  <c r="O824" i="1"/>
  <c r="O893" i="1"/>
  <c r="O915" i="1"/>
  <c r="O930" i="1"/>
  <c r="O931" i="1"/>
  <c r="O939" i="1"/>
  <c r="O943" i="1"/>
  <c r="O65" i="1"/>
  <c r="O172" i="1"/>
  <c r="O233" i="1"/>
  <c r="O287" i="1"/>
  <c r="O290" i="1"/>
  <c r="O331" i="1"/>
  <c r="O397" i="1"/>
  <c r="O433" i="1"/>
  <c r="O458" i="1"/>
  <c r="O524" i="1"/>
  <c r="O601" i="1"/>
  <c r="O647" i="1"/>
  <c r="O648" i="1"/>
  <c r="O656" i="1"/>
  <c r="O668" i="1"/>
  <c r="O777" i="1"/>
  <c r="O802" i="1"/>
  <c r="O890" i="1"/>
  <c r="O903" i="1"/>
  <c r="O906" i="1"/>
  <c r="O966" i="1"/>
  <c r="O984" i="1"/>
  <c r="O2" i="1"/>
  <c r="O322" i="1"/>
  <c r="O301" i="1"/>
  <c r="O353" i="1"/>
  <c r="O380" i="1"/>
  <c r="O386" i="1"/>
  <c r="O388" i="1"/>
  <c r="O390" i="1"/>
  <c r="O410" i="1"/>
  <c r="O415" i="1"/>
  <c r="O428" i="1"/>
  <c r="O443" i="1"/>
  <c r="O483" i="1"/>
  <c r="O500" i="1"/>
  <c r="O36" i="1"/>
  <c r="O645" i="1"/>
  <c r="O679" i="1"/>
  <c r="O792" i="1"/>
  <c r="O811" i="1"/>
  <c r="O850" i="1"/>
  <c r="O881" i="1"/>
  <c r="O888" i="1"/>
  <c r="O914" i="1"/>
  <c r="O985" i="1"/>
  <c r="O91" i="1"/>
  <c r="O139" i="1"/>
  <c r="O201" i="1"/>
  <c r="O246" i="1"/>
  <c r="O292" i="1"/>
  <c r="O344" i="1"/>
  <c r="O328" i="1"/>
  <c r="O358" i="1"/>
  <c r="O365" i="1"/>
  <c r="O440" i="1"/>
  <c r="O445" i="1"/>
  <c r="O455" i="1"/>
  <c r="O475" i="1"/>
  <c r="O489" i="1"/>
  <c r="O493" i="1"/>
  <c r="O140" i="1"/>
  <c r="O537" i="1"/>
  <c r="O540" i="1"/>
  <c r="O584" i="1"/>
  <c r="O623" i="1"/>
  <c r="O631" i="1"/>
  <c r="O713" i="1"/>
  <c r="O738" i="1"/>
  <c r="O788" i="1"/>
  <c r="O805" i="1"/>
  <c r="O912" i="1"/>
  <c r="O981" i="1"/>
  <c r="O300" i="1"/>
  <c r="O355" i="1"/>
  <c r="O369" i="1"/>
  <c r="O373" i="1"/>
  <c r="O465" i="1"/>
  <c r="O562" i="1"/>
  <c r="O580" i="1"/>
  <c r="O604" i="1"/>
  <c r="O643" i="1"/>
  <c r="O695" i="1"/>
  <c r="O745" i="1"/>
  <c r="O759" i="1"/>
  <c r="O791" i="1"/>
  <c r="O856" i="1"/>
  <c r="O934" i="1"/>
  <c r="O975" i="1"/>
  <c r="O109" i="1"/>
  <c r="O289" i="1"/>
  <c r="O336" i="1"/>
  <c r="O368" i="1"/>
  <c r="O417" i="1"/>
  <c r="O419" i="1"/>
  <c r="O464" i="1"/>
  <c r="O476" i="1"/>
  <c r="O501" i="1"/>
  <c r="O504" i="1"/>
  <c r="O566" i="1"/>
  <c r="O633" i="1"/>
  <c r="O715" i="1"/>
  <c r="O845" i="1"/>
  <c r="O926" i="1"/>
  <c r="O69" i="1"/>
  <c r="O118" i="1"/>
  <c r="O149" i="1"/>
  <c r="O187" i="1"/>
  <c r="O199" i="1"/>
  <c r="O226" i="1"/>
  <c r="O238" i="1"/>
  <c r="O242" i="1"/>
  <c r="O298" i="1"/>
  <c r="O303" i="1"/>
  <c r="O311" i="1"/>
  <c r="O313" i="1"/>
  <c r="O356" i="1"/>
  <c r="O414" i="1"/>
  <c r="O459" i="1"/>
  <c r="O467" i="1"/>
  <c r="O473" i="1"/>
  <c r="O511" i="1"/>
  <c r="O554" i="1"/>
  <c r="O567" i="1"/>
  <c r="O610" i="1"/>
  <c r="O708" i="1"/>
  <c r="O737" i="1"/>
  <c r="O794" i="1"/>
  <c r="O819" i="1"/>
  <c r="O843" i="1"/>
  <c r="O892" i="1"/>
  <c r="O908" i="1"/>
  <c r="O948" i="1"/>
  <c r="O954" i="1"/>
  <c r="O5" i="1"/>
  <c r="O15" i="1"/>
  <c r="O129" i="1"/>
  <c r="O209" i="1"/>
  <c r="O270" i="1"/>
  <c r="O398" i="1"/>
  <c r="O432" i="1"/>
  <c r="O521" i="1"/>
  <c r="O697" i="1"/>
  <c r="O770" i="1"/>
  <c r="O771" i="1"/>
  <c r="O804" i="1"/>
  <c r="O831" i="1"/>
  <c r="O874" i="1"/>
  <c r="O976" i="1"/>
  <c r="O188" i="1"/>
  <c r="O204" i="1"/>
  <c r="O223" i="1"/>
  <c r="O286" i="1"/>
  <c r="O385" i="1"/>
  <c r="O406" i="1"/>
  <c r="O413" i="1"/>
  <c r="O430" i="1"/>
  <c r="O438" i="1"/>
  <c r="O448" i="1"/>
  <c r="O491" i="1"/>
  <c r="O507" i="1"/>
  <c r="O516" i="1"/>
  <c r="O520" i="1"/>
  <c r="O595" i="1"/>
  <c r="O670" i="1"/>
  <c r="O800" i="1"/>
  <c r="O849" i="1"/>
  <c r="O878" i="1"/>
  <c r="O986" i="1"/>
  <c r="O156" i="1"/>
  <c r="O167" i="1"/>
  <c r="O171" i="1"/>
  <c r="O202" i="1"/>
  <c r="O117" i="1"/>
  <c r="O337" i="1"/>
  <c r="O401" i="1"/>
  <c r="O536" i="1"/>
  <c r="O603" i="1"/>
  <c r="O699" i="1"/>
  <c r="O816" i="1"/>
  <c r="O936" i="1"/>
  <c r="O147" i="1"/>
  <c r="O6" i="1"/>
  <c r="O340" i="1"/>
  <c r="O396" i="1"/>
  <c r="O803" i="1"/>
  <c r="O818" i="1"/>
  <c r="O832" i="1"/>
  <c r="O72" i="1"/>
  <c r="O273" i="1"/>
  <c r="O332" i="1"/>
  <c r="O452" i="1"/>
  <c r="O463" i="1"/>
  <c r="O527" i="1"/>
  <c r="O748" i="1"/>
  <c r="O52" i="1"/>
  <c r="O143" i="1"/>
  <c r="O560" i="1"/>
  <c r="O704" i="1"/>
  <c r="O762" i="1"/>
  <c r="O814" i="1"/>
  <c r="O927" i="1"/>
  <c r="O937" i="1"/>
  <c r="O194" i="1"/>
  <c r="O327" i="1"/>
  <c r="O360" i="1"/>
  <c r="O37" i="1"/>
  <c r="O447" i="1"/>
  <c r="O607" i="1"/>
  <c r="O682" i="1"/>
  <c r="O710" i="1"/>
  <c r="O754" i="1"/>
  <c r="O757" i="1"/>
  <c r="O772" i="1"/>
  <c r="O865" i="1"/>
  <c r="O868" i="1"/>
  <c r="O450" i="1"/>
  <c r="O744" i="1"/>
  <c r="O749" i="1"/>
  <c r="O987" i="1"/>
  <c r="O177" i="1"/>
  <c r="O646" i="1"/>
  <c r="O880" i="1"/>
  <c r="O553" i="1"/>
  <c r="O653" i="1"/>
  <c r="O764" i="1"/>
  <c r="O490" i="1"/>
  <c r="O492" i="1"/>
  <c r="O654" i="1"/>
  <c r="O693" i="1"/>
  <c r="O786" i="1"/>
  <c r="O820" i="1"/>
  <c r="O847" i="1"/>
  <c r="O341" i="1"/>
  <c r="O423" i="1"/>
  <c r="O441" i="1"/>
  <c r="O457" i="1"/>
  <c r="O669" i="1"/>
  <c r="O687" i="1"/>
  <c r="O591" i="1"/>
  <c r="O739" i="1"/>
  <c r="O787" i="1"/>
  <c r="O988" i="1"/>
  <c r="O314" i="1"/>
  <c r="O684" i="1"/>
  <c r="O692" i="1"/>
  <c r="O795" i="1"/>
  <c r="O181" i="1"/>
  <c r="O905" i="1"/>
  <c r="O907" i="1"/>
  <c r="O940" i="1"/>
  <c r="O680" i="1"/>
  <c r="O644" i="1"/>
  <c r="O775" i="1"/>
  <c r="O925" i="1"/>
  <c r="O506" i="1"/>
  <c r="O730" i="1"/>
  <c r="O958" i="1"/>
  <c r="O333" i="1"/>
  <c r="O750" i="1"/>
  <c r="O485" i="1"/>
  <c r="O752" i="1"/>
  <c r="O949" i="1"/>
  <c r="O696" i="1"/>
  <c r="O773" i="1"/>
  <c r="O774" i="1"/>
  <c r="O944" i="1"/>
  <c r="O957" i="1"/>
  <c r="O827" i="1"/>
  <c r="O917" i="1"/>
  <c r="O812" i="1"/>
  <c r="O522" i="1"/>
  <c r="O532" i="1"/>
  <c r="O559" i="1"/>
  <c r="M575" i="1"/>
  <c r="L532" i="1"/>
  <c r="L559" i="1"/>
  <c r="L522" i="1"/>
  <c r="L812" i="1"/>
  <c r="L917" i="1"/>
  <c r="L827" i="1"/>
  <c r="L696" i="1"/>
  <c r="L773" i="1"/>
  <c r="L774" i="1"/>
  <c r="L944" i="1"/>
  <c r="L957" i="1"/>
  <c r="L752" i="1"/>
  <c r="L949" i="1"/>
  <c r="L485" i="1"/>
  <c r="L333" i="1"/>
  <c r="L750" i="1"/>
  <c r="L506" i="1"/>
  <c r="L730" i="1"/>
  <c r="L958" i="1"/>
  <c r="L644" i="1"/>
  <c r="L775" i="1"/>
  <c r="L925" i="1"/>
  <c r="L680" i="1"/>
  <c r="L181" i="1"/>
  <c r="L905" i="1"/>
  <c r="L907" i="1"/>
  <c r="L940" i="1"/>
  <c r="L314" i="1"/>
  <c r="L684" i="1"/>
  <c r="L692" i="1"/>
  <c r="L795" i="1"/>
  <c r="L591" i="1"/>
  <c r="L739" i="1"/>
  <c r="L787" i="1"/>
  <c r="L988" i="1"/>
  <c r="L341" i="1"/>
  <c r="L423" i="1"/>
  <c r="L441" i="1"/>
  <c r="L457" i="1"/>
  <c r="L669" i="1"/>
  <c r="L687" i="1"/>
  <c r="L490" i="1"/>
  <c r="L492" i="1"/>
  <c r="L654" i="1"/>
  <c r="L693" i="1"/>
  <c r="L786" i="1"/>
  <c r="L820" i="1"/>
  <c r="L847" i="1"/>
  <c r="L553" i="1"/>
  <c r="L653" i="1"/>
  <c r="L764" i="1"/>
  <c r="L177" i="1"/>
  <c r="L646" i="1"/>
  <c r="L880" i="1"/>
  <c r="L450" i="1"/>
  <c r="L744" i="1"/>
  <c r="L749" i="1"/>
  <c r="L987" i="1"/>
  <c r="L194" i="1"/>
  <c r="L327" i="1"/>
  <c r="L360" i="1"/>
  <c r="L37" i="1"/>
  <c r="L447" i="1"/>
  <c r="L607" i="1"/>
  <c r="L682" i="1"/>
  <c r="L710" i="1"/>
  <c r="L754" i="1"/>
  <c r="L757" i="1"/>
  <c r="L772" i="1"/>
  <c r="L865" i="1"/>
  <c r="L868" i="1"/>
  <c r="L52" i="1"/>
  <c r="L143" i="1"/>
  <c r="L560" i="1"/>
  <c r="L704" i="1"/>
  <c r="L762" i="1"/>
  <c r="L814" i="1"/>
  <c r="L927" i="1"/>
  <c r="L937" i="1"/>
  <c r="L72" i="1"/>
  <c r="L273" i="1"/>
  <c r="L332" i="1"/>
  <c r="L452" i="1"/>
  <c r="L463" i="1"/>
  <c r="L527" i="1"/>
  <c r="L748" i="1"/>
  <c r="L147" i="1"/>
  <c r="L6" i="1"/>
  <c r="L340" i="1"/>
  <c r="L396" i="1"/>
  <c r="L803" i="1"/>
  <c r="L818" i="1"/>
  <c r="L832" i="1"/>
  <c r="L156" i="1"/>
  <c r="L167" i="1"/>
  <c r="L171" i="1"/>
  <c r="L202" i="1"/>
  <c r="L117" i="1"/>
  <c r="L337" i="1"/>
  <c r="L401" i="1"/>
  <c r="L536" i="1"/>
  <c r="L603" i="1"/>
  <c r="L699" i="1"/>
  <c r="L816" i="1"/>
  <c r="L936" i="1"/>
  <c r="L188" i="1"/>
  <c r="L204" i="1"/>
  <c r="L223" i="1"/>
  <c r="L286" i="1"/>
  <c r="L385" i="1"/>
  <c r="L406" i="1"/>
  <c r="L413" i="1"/>
  <c r="L430" i="1"/>
  <c r="L438" i="1"/>
  <c r="L448" i="1"/>
  <c r="L491" i="1"/>
  <c r="L507" i="1"/>
  <c r="L516" i="1"/>
  <c r="L520" i="1"/>
  <c r="L595" i="1"/>
  <c r="L670" i="1"/>
  <c r="L800" i="1"/>
  <c r="L849" i="1"/>
  <c r="L878" i="1"/>
  <c r="L986" i="1"/>
  <c r="L5" i="1"/>
  <c r="L15" i="1"/>
  <c r="L129" i="1"/>
  <c r="L209" i="1"/>
  <c r="L270" i="1"/>
  <c r="L398" i="1"/>
  <c r="L432" i="1"/>
  <c r="L521" i="1"/>
  <c r="L697" i="1"/>
  <c r="L770" i="1"/>
  <c r="L771" i="1"/>
  <c r="L804" i="1"/>
  <c r="L831" i="1"/>
  <c r="L874" i="1"/>
  <c r="L976" i="1"/>
  <c r="L69" i="1"/>
  <c r="L118" i="1"/>
  <c r="L149" i="1"/>
  <c r="L187" i="1"/>
  <c r="L199" i="1"/>
  <c r="L226" i="1"/>
  <c r="L238" i="1"/>
  <c r="L242" i="1"/>
  <c r="L298" i="1"/>
  <c r="L303" i="1"/>
  <c r="L311" i="1"/>
  <c r="L313" i="1"/>
  <c r="L356" i="1"/>
  <c r="L414" i="1"/>
  <c r="L459" i="1"/>
  <c r="L467" i="1"/>
  <c r="L473" i="1"/>
  <c r="L511" i="1"/>
  <c r="L554" i="1"/>
  <c r="L567" i="1"/>
  <c r="L610" i="1"/>
  <c r="L708" i="1"/>
  <c r="L737" i="1"/>
  <c r="L794" i="1"/>
  <c r="L819" i="1"/>
  <c r="L843" i="1"/>
  <c r="L892" i="1"/>
  <c r="L908" i="1"/>
  <c r="L948" i="1"/>
  <c r="L954" i="1"/>
  <c r="L109" i="1"/>
  <c r="L289" i="1"/>
  <c r="L336" i="1"/>
  <c r="L368" i="1"/>
  <c r="L417" i="1"/>
  <c r="L419" i="1"/>
  <c r="L464" i="1"/>
  <c r="L476" i="1"/>
  <c r="L501" i="1"/>
  <c r="L504" i="1"/>
  <c r="L566" i="1"/>
  <c r="L633" i="1"/>
  <c r="L715" i="1"/>
  <c r="L845" i="1"/>
  <c r="L926" i="1"/>
  <c r="L300" i="1"/>
  <c r="L355" i="1"/>
  <c r="L369" i="1"/>
  <c r="L373" i="1"/>
  <c r="L465" i="1"/>
  <c r="L562" i="1"/>
  <c r="L580" i="1"/>
  <c r="L604" i="1"/>
  <c r="L643" i="1"/>
  <c r="L695" i="1"/>
  <c r="L745" i="1"/>
  <c r="L759" i="1"/>
  <c r="L791" i="1"/>
  <c r="L856" i="1"/>
  <c r="L934" i="1"/>
  <c r="L975" i="1"/>
  <c r="L91" i="1"/>
  <c r="L139" i="1"/>
  <c r="L201" i="1"/>
  <c r="L246" i="1"/>
  <c r="L292" i="1"/>
  <c r="L344" i="1"/>
  <c r="L328" i="1"/>
  <c r="L358" i="1"/>
  <c r="L365" i="1"/>
  <c r="L440" i="1"/>
  <c r="L445" i="1"/>
  <c r="L455" i="1"/>
  <c r="L475" i="1"/>
  <c r="L489" i="1"/>
  <c r="L493" i="1"/>
  <c r="L140" i="1"/>
  <c r="L537" i="1"/>
  <c r="L540" i="1"/>
  <c r="L584" i="1"/>
  <c r="L623" i="1"/>
  <c r="L631" i="1"/>
  <c r="L713" i="1"/>
  <c r="L738" i="1"/>
  <c r="L788" i="1"/>
  <c r="L805" i="1"/>
  <c r="L912" i="1"/>
  <c r="L981" i="1"/>
  <c r="L2" i="1"/>
  <c r="L322" i="1"/>
  <c r="L301" i="1"/>
  <c r="L353" i="1"/>
  <c r="L380" i="1"/>
  <c r="L386" i="1"/>
  <c r="L388" i="1"/>
  <c r="L390" i="1"/>
  <c r="L410" i="1"/>
  <c r="L415" i="1"/>
  <c r="L428" i="1"/>
  <c r="L443" i="1"/>
  <c r="L483" i="1"/>
  <c r="L500" i="1"/>
  <c r="L36" i="1"/>
  <c r="L645" i="1"/>
  <c r="L679" i="1"/>
  <c r="L792" i="1"/>
  <c r="L811" i="1"/>
  <c r="L850" i="1"/>
  <c r="L881" i="1"/>
  <c r="L888" i="1"/>
  <c r="L914" i="1"/>
  <c r="L985" i="1"/>
  <c r="L65" i="1"/>
  <c r="L172" i="1"/>
  <c r="L233" i="1"/>
  <c r="L287" i="1"/>
  <c r="L290" i="1"/>
  <c r="L331" i="1"/>
  <c r="L397" i="1"/>
  <c r="L433" i="1"/>
  <c r="L458" i="1"/>
  <c r="L524" i="1"/>
  <c r="L601" i="1"/>
  <c r="L647" i="1"/>
  <c r="L648" i="1"/>
  <c r="L656" i="1"/>
  <c r="L668" i="1"/>
  <c r="L777" i="1"/>
  <c r="L802" i="1"/>
  <c r="L890" i="1"/>
  <c r="L903" i="1"/>
  <c r="L906" i="1"/>
  <c r="L966" i="1"/>
  <c r="L984" i="1"/>
  <c r="L19" i="1"/>
  <c r="L62" i="1"/>
  <c r="L130" i="1"/>
  <c r="L418" i="1"/>
  <c r="L250" i="1"/>
  <c r="L267" i="1"/>
  <c r="L271" i="1"/>
  <c r="L132" i="1"/>
  <c r="L330" i="1"/>
  <c r="L482" i="1"/>
  <c r="L627" i="1"/>
  <c r="L650" i="1"/>
  <c r="L688" i="1"/>
  <c r="L716" i="1"/>
  <c r="L724" i="1"/>
  <c r="L725" i="1"/>
  <c r="L735" i="1"/>
  <c r="L751" i="1"/>
  <c r="L778" i="1"/>
  <c r="L824" i="1"/>
  <c r="L893" i="1"/>
  <c r="L915" i="1"/>
  <c r="L930" i="1"/>
  <c r="L931" i="1"/>
  <c r="L939" i="1"/>
  <c r="L943" i="1"/>
  <c r="L64" i="1"/>
  <c r="L76" i="1"/>
  <c r="L82" i="1"/>
  <c r="L83" i="1"/>
  <c r="L214" i="1"/>
  <c r="L215" i="1"/>
  <c r="L219" i="1"/>
  <c r="L257" i="1"/>
  <c r="L268" i="1"/>
  <c r="L281" i="1"/>
  <c r="L295" i="1"/>
  <c r="L211" i="1"/>
  <c r="L309" i="1"/>
  <c r="L362" i="1"/>
  <c r="L439" i="1"/>
  <c r="L451" i="1"/>
  <c r="L469" i="1"/>
  <c r="L477" i="1"/>
  <c r="L517" i="1"/>
  <c r="L546" i="1"/>
  <c r="L548" i="1"/>
  <c r="L556" i="1"/>
  <c r="L565" i="1"/>
  <c r="L597" i="1"/>
  <c r="L642" i="1"/>
  <c r="L676" i="1"/>
  <c r="L677" i="1"/>
  <c r="L678" i="1"/>
  <c r="L698" i="1"/>
  <c r="L790" i="1"/>
  <c r="L793" i="1"/>
  <c r="L863" i="1"/>
  <c r="L871" i="1"/>
  <c r="L875" i="1"/>
  <c r="L876" i="1"/>
  <c r="L884" i="1"/>
  <c r="L901" i="1"/>
  <c r="L909" i="1"/>
  <c r="L910" i="1"/>
  <c r="L947" i="1"/>
  <c r="L978" i="1"/>
  <c r="L41" i="1"/>
  <c r="L97" i="1"/>
  <c r="L112" i="1"/>
  <c r="L124" i="1"/>
  <c r="L126" i="1"/>
  <c r="L131" i="1"/>
  <c r="L175" i="1"/>
  <c r="L208" i="1"/>
  <c r="L224" i="1"/>
  <c r="L225" i="1"/>
  <c r="L239" i="1"/>
  <c r="L277" i="1"/>
  <c r="L282" i="1"/>
  <c r="L338" i="1"/>
  <c r="L421" i="1"/>
  <c r="L427" i="1"/>
  <c r="L460" i="1"/>
  <c r="L484" i="1"/>
  <c r="L526" i="1"/>
  <c r="L549" i="1"/>
  <c r="L561" i="1"/>
  <c r="L596" i="1"/>
  <c r="L622" i="1"/>
  <c r="L639" i="1"/>
  <c r="L641" i="1"/>
  <c r="L826" i="1"/>
  <c r="L844" i="1"/>
  <c r="L852" i="1"/>
  <c r="L853" i="1"/>
  <c r="L860" i="1"/>
  <c r="L883" i="1"/>
  <c r="L896" i="1"/>
  <c r="L924" i="1"/>
  <c r="L953" i="1"/>
  <c r="L59" i="1"/>
  <c r="L110" i="1"/>
  <c r="L123" i="1"/>
  <c r="L189" i="1"/>
  <c r="L216" i="1"/>
  <c r="L240" i="1"/>
  <c r="L285" i="1"/>
  <c r="L294" i="1"/>
  <c r="L312" i="1"/>
  <c r="L315" i="1"/>
  <c r="L375" i="1"/>
  <c r="L33" i="1"/>
  <c r="L317" i="1"/>
  <c r="L471" i="1"/>
  <c r="L514" i="1"/>
  <c r="L551" i="1"/>
  <c r="L593" i="1"/>
  <c r="L611" i="1"/>
  <c r="L666" i="1"/>
  <c r="L686" i="1"/>
  <c r="L714" i="1"/>
  <c r="L740" i="1"/>
  <c r="L758" i="1"/>
  <c r="L760" i="1"/>
  <c r="L855" i="1"/>
  <c r="L873" i="1"/>
  <c r="L916" i="1"/>
  <c r="L933" i="1"/>
  <c r="L952" i="1"/>
  <c r="L3" i="1"/>
  <c r="L23" i="1"/>
  <c r="L32" i="1"/>
  <c r="L51" i="1"/>
  <c r="L53" i="1"/>
  <c r="L63" i="1"/>
  <c r="L84" i="1"/>
  <c r="L96" i="1"/>
  <c r="L107" i="1"/>
  <c r="L119" i="1"/>
  <c r="L150" i="1"/>
  <c r="L153" i="1"/>
  <c r="L182" i="1"/>
  <c r="L198" i="1"/>
  <c r="L205" i="1"/>
  <c r="L213" i="1"/>
  <c r="L231" i="1"/>
  <c r="L232" i="1"/>
  <c r="L247" i="1"/>
  <c r="L306" i="1"/>
  <c r="L318" i="1"/>
  <c r="L339" i="1"/>
  <c r="L378" i="1"/>
  <c r="L384" i="1"/>
  <c r="L391" i="1"/>
  <c r="L394" i="1"/>
  <c r="L402" i="1"/>
  <c r="L429" i="1"/>
  <c r="L513" i="1"/>
  <c r="L533" i="1"/>
  <c r="L544" i="1"/>
  <c r="L600" i="1"/>
  <c r="L630" i="1"/>
  <c r="L634" i="1"/>
  <c r="L640" i="1"/>
  <c r="L765" i="1"/>
  <c r="L801" i="1"/>
  <c r="L839" i="1"/>
  <c r="L858" i="1"/>
  <c r="L919" i="1"/>
  <c r="L932" i="1"/>
  <c r="L965" i="1"/>
  <c r="L973" i="1"/>
  <c r="L49" i="1"/>
  <c r="L133" i="1"/>
  <c r="L154" i="1"/>
  <c r="L183" i="1"/>
  <c r="L210" i="1"/>
  <c r="L220" i="1"/>
  <c r="L265" i="1"/>
  <c r="L272" i="1"/>
  <c r="L274" i="1"/>
  <c r="L288" i="1"/>
  <c r="L305" i="1"/>
  <c r="L335" i="1"/>
  <c r="L354" i="1"/>
  <c r="L361" i="1"/>
  <c r="L366" i="1"/>
  <c r="L367" i="1"/>
  <c r="L400" i="1"/>
  <c r="L326" i="1"/>
  <c r="L436" i="1"/>
  <c r="L446" i="1"/>
  <c r="L494" i="1"/>
  <c r="L497" i="1"/>
  <c r="L555" i="1"/>
  <c r="L569" i="1"/>
  <c r="L578" i="1"/>
  <c r="L671" i="1"/>
  <c r="L675" i="1"/>
  <c r="L783" i="1"/>
  <c r="L815" i="1"/>
  <c r="L902" i="1"/>
  <c r="L935" i="1"/>
  <c r="L942" i="1"/>
  <c r="L964" i="1"/>
  <c r="L16" i="1"/>
  <c r="L90" i="1"/>
  <c r="L101" i="1"/>
  <c r="L162" i="1"/>
  <c r="L190" i="1"/>
  <c r="L192" i="1"/>
  <c r="L193" i="1"/>
  <c r="L196" i="1"/>
  <c r="L235" i="1"/>
  <c r="L236" i="1"/>
  <c r="L254" i="1"/>
  <c r="L261" i="1"/>
  <c r="L279" i="1"/>
  <c r="L310" i="1"/>
  <c r="L137" i="1"/>
  <c r="L411" i="1"/>
  <c r="L416" i="1"/>
  <c r="L462" i="1"/>
  <c r="L481" i="1"/>
  <c r="L496" i="1"/>
  <c r="L519" i="1"/>
  <c r="L579" i="1"/>
  <c r="L619" i="1"/>
  <c r="L664" i="1"/>
  <c r="L683" i="1"/>
  <c r="L711" i="1"/>
  <c r="L732" i="1"/>
  <c r="L736" i="1"/>
  <c r="L823" i="1"/>
  <c r="L870" i="1"/>
  <c r="L898" i="1"/>
  <c r="L911" i="1"/>
  <c r="L923" i="1"/>
  <c r="L945" i="1"/>
  <c r="L951" i="1"/>
  <c r="L14" i="1"/>
  <c r="L67" i="1"/>
  <c r="L70" i="1"/>
  <c r="L98" i="1"/>
  <c r="L127" i="1"/>
  <c r="L164" i="1"/>
  <c r="L241" i="1"/>
  <c r="L253" i="1"/>
  <c r="L308" i="1"/>
  <c r="L342" i="1"/>
  <c r="L77" i="1"/>
  <c r="L425" i="1"/>
  <c r="L468" i="1"/>
  <c r="L488" i="1"/>
  <c r="L9" i="1"/>
  <c r="L538" i="1"/>
  <c r="L543" i="1"/>
  <c r="L564" i="1"/>
  <c r="L608" i="1"/>
  <c r="L636" i="1"/>
  <c r="L655" i="1"/>
  <c r="L681" i="1"/>
  <c r="L702" i="1"/>
  <c r="L720" i="1"/>
  <c r="L755" i="1"/>
  <c r="L784" i="1"/>
  <c r="L830" i="1"/>
  <c r="L837" i="1"/>
  <c r="L857" i="1"/>
  <c r="L866" i="1"/>
  <c r="L946" i="1"/>
  <c r="L11" i="1"/>
  <c r="L21" i="1"/>
  <c r="L22" i="1"/>
  <c r="L28" i="1"/>
  <c r="L60" i="1"/>
  <c r="L94" i="1"/>
  <c r="L95" i="1"/>
  <c r="L100" i="1"/>
  <c r="L104" i="1"/>
  <c r="L115" i="1"/>
  <c r="L135" i="1"/>
  <c r="L146" i="1"/>
  <c r="L165" i="1"/>
  <c r="L174" i="1"/>
  <c r="L206" i="1"/>
  <c r="L227" i="1"/>
  <c r="L255" i="1"/>
  <c r="L297" i="1"/>
  <c r="L381" i="1"/>
  <c r="L376" i="1"/>
  <c r="L431" i="1"/>
  <c r="L444" i="1"/>
  <c r="L563" i="1"/>
  <c r="L572" i="1"/>
  <c r="L598" i="1"/>
  <c r="L609" i="1"/>
  <c r="L722" i="1"/>
  <c r="L731" i="1"/>
  <c r="L776" i="1"/>
  <c r="L841" i="1"/>
  <c r="L887" i="1"/>
  <c r="L895" i="1"/>
  <c r="L904" i="1"/>
  <c r="L955" i="1"/>
  <c r="L969" i="1"/>
  <c r="L12" i="1"/>
  <c r="L18" i="1"/>
  <c r="L26" i="1"/>
  <c r="L27" i="1"/>
  <c r="L35" i="1"/>
  <c r="L43" i="1"/>
  <c r="L80" i="1"/>
  <c r="L382" i="1"/>
  <c r="L144" i="1"/>
  <c r="L184" i="1"/>
  <c r="L234" i="1"/>
  <c r="L245" i="1"/>
  <c r="L329" i="1"/>
  <c r="L54" i="1"/>
  <c r="L374" i="1"/>
  <c r="L389" i="1"/>
  <c r="L426" i="1"/>
  <c r="L480" i="1"/>
  <c r="L515" i="1"/>
  <c r="L550" i="1"/>
  <c r="L615" i="1"/>
  <c r="L635" i="1"/>
  <c r="L674" i="1"/>
  <c r="L691" i="1"/>
  <c r="L712" i="1"/>
  <c r="L742" i="1"/>
  <c r="L785" i="1"/>
  <c r="L891" i="1"/>
  <c r="L960" i="1"/>
  <c r="L961" i="1"/>
  <c r="L972" i="1"/>
  <c r="L980" i="1"/>
  <c r="L983" i="1"/>
  <c r="L31" i="1"/>
  <c r="L34" i="1"/>
  <c r="L39" i="1"/>
  <c r="L40" i="1"/>
  <c r="L73" i="1"/>
  <c r="L114" i="1"/>
  <c r="L160" i="1"/>
  <c r="L166" i="1"/>
  <c r="L230" i="1"/>
  <c r="L479" i="1"/>
  <c r="L304" i="1"/>
  <c r="L350" i="1"/>
  <c r="L363" i="1"/>
  <c r="L370" i="1"/>
  <c r="L387" i="1"/>
  <c r="L399" i="1"/>
  <c r="L424" i="1"/>
  <c r="L453" i="1"/>
  <c r="L466" i="1"/>
  <c r="L302" i="1"/>
  <c r="L509" i="1"/>
  <c r="L529" i="1"/>
  <c r="L582" i="1"/>
  <c r="L590" i="1"/>
  <c r="L602" i="1"/>
  <c r="L658" i="1"/>
  <c r="L661" i="1"/>
  <c r="L763" i="1"/>
  <c r="L807" i="1"/>
  <c r="L977" i="1"/>
  <c r="L982" i="1"/>
  <c r="L17" i="1"/>
  <c r="L74" i="1"/>
  <c r="L81" i="1"/>
  <c r="L136" i="1"/>
  <c r="L145" i="1"/>
  <c r="L161" i="1"/>
  <c r="L197" i="1"/>
  <c r="L200" i="1"/>
  <c r="L217" i="1"/>
  <c r="L218" i="1"/>
  <c r="L222" i="1"/>
  <c r="L228" i="1"/>
  <c r="L275" i="1"/>
  <c r="L278" i="1"/>
  <c r="L403" i="1"/>
  <c r="L316" i="1"/>
  <c r="L264" i="1"/>
  <c r="L437" i="1"/>
  <c r="L324" i="1"/>
  <c r="L393" i="1"/>
  <c r="L412" i="1"/>
  <c r="L474" i="1"/>
  <c r="L487" i="1"/>
  <c r="L558" i="1"/>
  <c r="L723" i="1"/>
  <c r="L766" i="1"/>
  <c r="L797" i="1"/>
  <c r="L854" i="1"/>
  <c r="L889" i="1"/>
  <c r="L929" i="1"/>
  <c r="L968" i="1"/>
  <c r="L971" i="1"/>
  <c r="L25" i="1"/>
  <c r="L38" i="1"/>
  <c r="L47" i="1"/>
  <c r="L99" i="1"/>
  <c r="L116" i="1"/>
  <c r="L252" i="1"/>
  <c r="L283" i="1"/>
  <c r="L296" i="1"/>
  <c r="L320" i="1"/>
  <c r="L346" i="1"/>
  <c r="L408" i="1"/>
  <c r="L409" i="1"/>
  <c r="L478" i="1"/>
  <c r="L531" i="1"/>
  <c r="L545" i="1"/>
  <c r="L570" i="1"/>
  <c r="L577" i="1"/>
  <c r="L589" i="1"/>
  <c r="L592" i="1"/>
  <c r="L660" i="1"/>
  <c r="L663" i="1"/>
  <c r="L685" i="1"/>
  <c r="L781" i="1"/>
  <c r="L886" i="1"/>
  <c r="L922" i="1"/>
  <c r="L941" i="1"/>
  <c r="L959" i="1"/>
  <c r="L508" i="1"/>
  <c r="L528" i="1"/>
  <c r="L68" i="1"/>
  <c r="L125" i="1"/>
  <c r="L128" i="1"/>
  <c r="L141" i="1"/>
  <c r="L169" i="1"/>
  <c r="L203" i="1"/>
  <c r="L258" i="1"/>
  <c r="L269" i="1"/>
  <c r="L352" i="1"/>
  <c r="L120" i="1"/>
  <c r="L434" i="1"/>
  <c r="L486" i="1"/>
  <c r="L547" i="1"/>
  <c r="L568" i="1"/>
  <c r="L617" i="1"/>
  <c r="L667" i="1"/>
  <c r="L672" i="1"/>
  <c r="L709" i="1"/>
  <c r="L734" i="1"/>
  <c r="L746" i="1"/>
  <c r="L747" i="1"/>
  <c r="L825" i="1"/>
  <c r="L836" i="1"/>
  <c r="L859" i="1"/>
  <c r="L7" i="1"/>
  <c r="L30" i="1"/>
  <c r="L50" i="1"/>
  <c r="L57" i="1"/>
  <c r="L58" i="1"/>
  <c r="L75" i="1"/>
  <c r="L85" i="1"/>
  <c r="L106" i="1"/>
  <c r="L113" i="1"/>
  <c r="L122" i="1"/>
  <c r="L158" i="1"/>
  <c r="L179" i="1"/>
  <c r="L191" i="1"/>
  <c r="L207" i="1"/>
  <c r="L212" i="1"/>
  <c r="L263" i="1"/>
  <c r="L266" i="1"/>
  <c r="L347" i="1"/>
  <c r="L379" i="1"/>
  <c r="L420" i="1"/>
  <c r="L422" i="1"/>
  <c r="L134" i="1"/>
  <c r="L256" i="1"/>
  <c r="L541" i="1"/>
  <c r="L594" i="1"/>
  <c r="L599" i="1"/>
  <c r="L621" i="1"/>
  <c r="L629" i="1"/>
  <c r="L632" i="1"/>
  <c r="L705" i="1"/>
  <c r="L809" i="1"/>
  <c r="L833" i="1"/>
  <c r="L838" i="1"/>
  <c r="L862" i="1"/>
  <c r="L55" i="1"/>
  <c r="L61" i="1"/>
  <c r="L78" i="1"/>
  <c r="L103" i="1"/>
  <c r="L142" i="1"/>
  <c r="L159" i="1"/>
  <c r="L163" i="1"/>
  <c r="L180" i="1"/>
  <c r="L186" i="1"/>
  <c r="L260" i="1"/>
  <c r="L470" i="1"/>
  <c r="L510" i="1"/>
  <c r="L535" i="1"/>
  <c r="L605" i="1"/>
  <c r="L612" i="1"/>
  <c r="L613" i="1"/>
  <c r="L637" i="1"/>
  <c r="L649" i="1"/>
  <c r="L659" i="1"/>
  <c r="L694" i="1"/>
  <c r="L701" i="1"/>
  <c r="L813" i="1"/>
  <c r="L928" i="1"/>
  <c r="L24" i="1"/>
  <c r="L371" i="1"/>
  <c r="L42" i="1"/>
  <c r="L45" i="1"/>
  <c r="L405" i="1"/>
  <c r="L359" i="1"/>
  <c r="L323" i="1"/>
  <c r="L407" i="1"/>
  <c r="L284" i="1"/>
  <c r="L503" i="1"/>
  <c r="L512" i="1"/>
  <c r="L673" i="1"/>
  <c r="L700" i="1"/>
  <c r="L741" i="1"/>
  <c r="L913" i="1"/>
  <c r="L13" i="1"/>
  <c r="L93" i="1"/>
  <c r="L383" i="1"/>
  <c r="L121" i="1"/>
  <c r="L237" i="1"/>
  <c r="L249" i="1"/>
  <c r="L251" i="1"/>
  <c r="L262" i="1"/>
  <c r="L291" i="1"/>
  <c r="L472" i="1"/>
  <c r="L573" i="1"/>
  <c r="L576" i="1"/>
  <c r="L585" i="1"/>
  <c r="L614" i="1"/>
  <c r="L718" i="1"/>
  <c r="L761" i="1"/>
  <c r="L834" i="1"/>
  <c r="L840" i="1"/>
  <c r="L879" i="1"/>
  <c r="L882" i="1"/>
  <c r="L897" i="1"/>
  <c r="L900" i="1"/>
  <c r="L963" i="1"/>
  <c r="L967" i="1"/>
  <c r="L505" i="1"/>
  <c r="L20" i="1"/>
  <c r="L66" i="1"/>
  <c r="L86" i="1"/>
  <c r="L111" i="1"/>
  <c r="L168" i="1"/>
  <c r="L178" i="1"/>
  <c r="L185" i="1"/>
  <c r="L343" i="1"/>
  <c r="L372" i="1"/>
  <c r="L377" i="1"/>
  <c r="L293" i="1"/>
  <c r="L571" i="1"/>
  <c r="L756" i="1"/>
  <c r="L829" i="1"/>
  <c r="L867" i="1"/>
  <c r="L349" i="1"/>
  <c r="L10" i="1"/>
  <c r="L46" i="1"/>
  <c r="L56" i="1"/>
  <c r="L71" i="1"/>
  <c r="L105" i="1"/>
  <c r="L151" i="1"/>
  <c r="L173" i="1"/>
  <c r="L259" i="1"/>
  <c r="L307" i="1"/>
  <c r="L454" i="1"/>
  <c r="L518" i="1"/>
  <c r="L525" i="1"/>
  <c r="L574" i="1"/>
  <c r="L581" i="1"/>
  <c r="L587" i="1"/>
  <c r="L743" i="1"/>
  <c r="L769" i="1"/>
  <c r="L789" i="1"/>
  <c r="L821" i="1"/>
  <c r="L872" i="1"/>
  <c r="L885" i="1"/>
  <c r="L894" i="1"/>
  <c r="L918" i="1"/>
  <c r="L4" i="1"/>
  <c r="L79" i="1"/>
  <c r="L87" i="1"/>
  <c r="L88" i="1"/>
  <c r="L92" i="1"/>
  <c r="L138" i="1"/>
  <c r="L495" i="1"/>
  <c r="L152" i="1"/>
  <c r="L244" i="1"/>
  <c r="L325" i="1"/>
  <c r="L345" i="1"/>
  <c r="L530" i="1"/>
  <c r="L557" i="1"/>
  <c r="L616" i="1"/>
  <c r="L733" i="1"/>
  <c r="L768" i="1"/>
  <c r="L782" i="1"/>
  <c r="L835" i="1"/>
  <c r="L846" i="1"/>
  <c r="L921" i="1"/>
  <c r="L938" i="1"/>
  <c r="L979" i="1"/>
  <c r="L108" i="1"/>
  <c r="L280" i="1"/>
  <c r="L395" i="1"/>
  <c r="L351" i="1"/>
  <c r="L442" i="1"/>
  <c r="L456" i="1"/>
  <c r="L552" i="1"/>
  <c r="L624" i="1"/>
  <c r="L690" i="1"/>
  <c r="L706" i="1"/>
  <c r="L728" i="1"/>
  <c r="L806" i="1"/>
  <c r="L29" i="1"/>
  <c r="L498" i="1"/>
  <c r="L155" i="1"/>
  <c r="L170" i="1"/>
  <c r="L221" i="1"/>
  <c r="L321" i="1"/>
  <c r="L392" i="1"/>
  <c r="L542" i="1"/>
  <c r="L628" i="1"/>
  <c r="L707" i="1"/>
  <c r="L717" i="1"/>
  <c r="L817" i="1"/>
  <c r="L861" i="1"/>
  <c r="L877" i="1"/>
  <c r="L970" i="1"/>
  <c r="L974" i="1"/>
  <c r="L44" i="1"/>
  <c r="L102" i="1"/>
  <c r="L157" i="1"/>
  <c r="L176" i="1"/>
  <c r="L229" i="1"/>
  <c r="L248" i="1"/>
  <c r="L319" i="1"/>
  <c r="L435" i="1"/>
  <c r="L625" i="1"/>
  <c r="L651" i="1"/>
  <c r="L662" i="1"/>
  <c r="L48" i="1"/>
  <c r="L89" i="1"/>
  <c r="L148" i="1"/>
  <c r="L243" i="1"/>
  <c r="L357" i="1"/>
  <c r="L583" i="1"/>
  <c r="L899" i="1"/>
  <c r="L195" i="1"/>
  <c r="L276" i="1"/>
  <c r="L348" i="1"/>
  <c r="L404" i="1"/>
  <c r="L534" i="1"/>
  <c r="L638" i="1"/>
  <c r="L719" i="1"/>
  <c r="L798" i="1"/>
  <c r="L8" i="1"/>
  <c r="L523" i="1"/>
  <c r="L499" i="1"/>
  <c r="L449" i="1"/>
  <c r="L299" i="1"/>
  <c r="L461" i="1"/>
  <c r="L539" i="1"/>
  <c r="L626" i="1"/>
  <c r="L588" i="1"/>
  <c r="L703" i="1"/>
  <c r="L779" i="1"/>
  <c r="L842" i="1"/>
  <c r="L364" i="1"/>
  <c r="L586" i="1"/>
  <c r="L657" i="1"/>
  <c r="L727" i="1"/>
  <c r="L962" i="1"/>
  <c r="L620" i="1"/>
  <c r="L767" i="1"/>
  <c r="L848" i="1"/>
  <c r="L950" i="1"/>
  <c r="L334" i="1"/>
  <c r="L721" i="1"/>
  <c r="L780" i="1"/>
  <c r="L851" i="1"/>
  <c r="L606" i="1"/>
  <c r="L618" i="1"/>
  <c r="L864" i="1"/>
  <c r="L726" i="1"/>
  <c r="L796" i="1"/>
  <c r="L810" i="1"/>
  <c r="L828" i="1"/>
  <c r="L920" i="1"/>
  <c r="L753" i="1"/>
  <c r="L502" i="1"/>
  <c r="L729" i="1"/>
  <c r="L799" i="1"/>
  <c r="L956" i="1"/>
  <c r="L869" i="1"/>
  <c r="L665" i="1"/>
  <c r="L689" i="1"/>
  <c r="L652" i="1"/>
  <c r="L808" i="1"/>
  <c r="L822" i="1"/>
  <c r="L575" i="1"/>
  <c r="N984" i="1"/>
  <c r="N987" i="1"/>
  <c r="N986" i="1"/>
  <c r="N289" i="1"/>
  <c r="N287" i="1"/>
  <c r="N232" i="1"/>
  <c r="N236" i="1"/>
  <c r="N230" i="1"/>
  <c r="N703" i="1"/>
  <c r="N704" i="1"/>
  <c r="N233" i="1"/>
  <c r="N666" i="1"/>
  <c r="N231" i="1"/>
  <c r="N237" i="1"/>
  <c r="N705" i="1"/>
  <c r="N706" i="1"/>
  <c r="N667" i="1"/>
  <c r="N240" i="1"/>
  <c r="N235" i="1"/>
  <c r="N665" i="1"/>
  <c r="N685" i="1"/>
  <c r="N654" i="1"/>
  <c r="N686" i="1"/>
  <c r="N228" i="1"/>
  <c r="N234" i="1"/>
  <c r="N244" i="1"/>
  <c r="N668" i="1"/>
  <c r="N229" i="1"/>
  <c r="N238" i="1"/>
  <c r="N223" i="1"/>
  <c r="N283" i="1"/>
  <c r="N227" i="1"/>
  <c r="N239" i="1"/>
  <c r="N241" i="1"/>
  <c r="N246" i="1"/>
  <c r="N242" i="1"/>
  <c r="N243" i="1"/>
  <c r="N245" i="1"/>
  <c r="N247" i="1"/>
  <c r="N262" i="1"/>
  <c r="N248" i="1"/>
  <c r="N249" i="1"/>
  <c r="N267" i="1"/>
  <c r="N717" i="1"/>
  <c r="N281" i="1"/>
  <c r="N282" i="1"/>
  <c r="N261" i="1"/>
  <c r="N268" i="1"/>
  <c r="N710" i="1"/>
  <c r="N263" i="1"/>
  <c r="N277" i="1"/>
  <c r="N325" i="1"/>
  <c r="N250" i="1"/>
  <c r="N255" i="1"/>
  <c r="N260" i="1"/>
  <c r="N251" i="1"/>
  <c r="N711" i="1"/>
  <c r="N265" i="1"/>
  <c r="N259" i="1"/>
  <c r="N707" i="1"/>
  <c r="N252" i="1"/>
  <c r="N269" i="1"/>
  <c r="N279" i="1"/>
  <c r="N132" i="1"/>
  <c r="N479" i="1"/>
  <c r="N266" i="1"/>
  <c r="N257" i="1"/>
  <c r="N449" i="1"/>
  <c r="N253" i="1"/>
  <c r="N258" i="1"/>
  <c r="N270" i="1"/>
  <c r="N712" i="1"/>
  <c r="N271" i="1"/>
  <c r="N709" i="1"/>
  <c r="N708" i="1"/>
  <c r="N254" i="1"/>
  <c r="N278" i="1"/>
  <c r="N713" i="1"/>
  <c r="N714" i="1"/>
  <c r="N280" i="1"/>
  <c r="N272" i="1"/>
  <c r="N273" i="1"/>
  <c r="N716" i="1"/>
  <c r="N276" i="1"/>
  <c r="N274" i="1"/>
  <c r="N285" i="1"/>
  <c r="N715" i="1"/>
  <c r="N275" i="1"/>
  <c r="N286" i="1"/>
  <c r="N673" i="1"/>
  <c r="N650" i="1"/>
  <c r="N219" i="1"/>
  <c r="N653" i="1"/>
  <c r="N675" i="1"/>
  <c r="N684" i="1"/>
  <c r="N676" i="1"/>
  <c r="N221" i="1"/>
  <c r="N218" i="1"/>
  <c r="N115" i="1"/>
  <c r="N405" i="1"/>
  <c r="N222" i="1"/>
  <c r="N664" i="1"/>
  <c r="N220" i="1"/>
  <c r="N119" i="1"/>
  <c r="N118" i="1"/>
  <c r="N682" i="1"/>
  <c r="N225" i="1"/>
  <c r="N383" i="1"/>
  <c r="N683" i="1"/>
  <c r="N224" i="1"/>
  <c r="N104" i="1"/>
  <c r="N702" i="1"/>
  <c r="N226" i="1"/>
  <c r="N124" i="1"/>
  <c r="N678" i="1"/>
  <c r="N101" i="1"/>
  <c r="N125" i="1"/>
  <c r="N111" i="1"/>
  <c r="N102" i="1"/>
  <c r="N210" i="1"/>
  <c r="N145" i="1"/>
  <c r="N681" i="1"/>
  <c r="N660" i="1"/>
  <c r="N136" i="1"/>
  <c r="N116" i="1"/>
  <c r="N680" i="1"/>
  <c r="N97" i="1"/>
  <c r="N133" i="1"/>
  <c r="N138" i="1"/>
  <c r="N143" i="1"/>
  <c r="N139" i="1"/>
  <c r="N647" i="1"/>
  <c r="N107" i="1"/>
  <c r="N147" i="1"/>
  <c r="N322" i="1"/>
  <c r="N649" i="1"/>
  <c r="N98" i="1"/>
  <c r="N146" i="1"/>
  <c r="N217" i="1"/>
  <c r="N95" i="1"/>
  <c r="N658" i="1"/>
  <c r="N151" i="1"/>
  <c r="N148" i="1"/>
  <c r="N418" i="1"/>
  <c r="N700" i="1"/>
  <c r="N108" i="1"/>
  <c r="N495" i="1"/>
  <c r="N212" i="1"/>
  <c r="N150" i="1"/>
  <c r="N213" i="1"/>
  <c r="N105" i="1"/>
  <c r="N671" i="1"/>
  <c r="N128" i="1"/>
  <c r="N214" i="1"/>
  <c r="N662" i="1"/>
  <c r="N142" i="1"/>
  <c r="N699" i="1"/>
  <c r="N206" i="1"/>
  <c r="N86" i="1"/>
  <c r="N106" i="1"/>
  <c r="N651" i="1"/>
  <c r="N90" i="1"/>
  <c r="N674" i="1"/>
  <c r="N198" i="1"/>
  <c r="N85" i="1"/>
  <c r="N84" i="1"/>
  <c r="N202" i="1"/>
  <c r="N204" i="1"/>
  <c r="N99" i="1"/>
  <c r="N207" i="1"/>
  <c r="N122" i="1"/>
  <c r="N209" i="1"/>
  <c r="N679" i="1"/>
  <c r="N196" i="1"/>
  <c r="N687" i="1"/>
  <c r="N96" i="1"/>
  <c r="N188" i="1"/>
  <c r="N205" i="1"/>
  <c r="N199" i="1"/>
  <c r="N672" i="1"/>
  <c r="N200" i="1"/>
  <c r="N216" i="1"/>
  <c r="N92" i="1"/>
  <c r="N670" i="1"/>
  <c r="N141" i="1"/>
  <c r="N135" i="1"/>
  <c r="N203" i="1"/>
  <c r="N93" i="1"/>
  <c r="N656" i="1"/>
  <c r="N103" i="1"/>
  <c r="N208" i="1"/>
  <c r="N197" i="1"/>
  <c r="N131" i="1"/>
  <c r="N669" i="1"/>
  <c r="N91" i="1"/>
  <c r="N144" i="1"/>
  <c r="N94" i="1"/>
  <c r="N201" i="1"/>
  <c r="N113" i="1"/>
  <c r="N646" i="1"/>
  <c r="N88" i="1"/>
  <c r="N149" i="1"/>
  <c r="N89" i="1"/>
  <c r="N184" i="1"/>
  <c r="N690" i="1"/>
  <c r="N121" i="1"/>
  <c r="N112" i="1"/>
  <c r="N80" i="1"/>
  <c r="N109" i="1"/>
  <c r="N87" i="1"/>
  <c r="N195" i="1"/>
  <c r="N186" i="1"/>
  <c r="N194" i="1"/>
  <c r="N655" i="1"/>
  <c r="N498" i="1"/>
  <c r="N81" i="1"/>
  <c r="N648" i="1"/>
  <c r="N187" i="1"/>
  <c r="N189" i="1"/>
  <c r="N657" i="1"/>
  <c r="N129" i="1"/>
  <c r="N701" i="1"/>
  <c r="N110" i="1"/>
  <c r="N175" i="1"/>
  <c r="N183" i="1"/>
  <c r="N698" i="1"/>
  <c r="N697" i="1"/>
  <c r="N185" i="1"/>
  <c r="N83" i="1"/>
  <c r="N71" i="1"/>
  <c r="N693" i="1"/>
  <c r="N645" i="1"/>
  <c r="N190" i="1"/>
  <c r="N82" i="1"/>
  <c r="N192" i="1"/>
  <c r="N677" i="1"/>
  <c r="N126" i="1"/>
  <c r="N191" i="1"/>
  <c r="N193" i="1"/>
  <c r="N663" i="1"/>
  <c r="N652" i="1"/>
  <c r="N114" i="1"/>
  <c r="N130" i="1"/>
  <c r="N68" i="1"/>
  <c r="N689" i="1"/>
  <c r="N659" i="1"/>
  <c r="N215" i="1"/>
  <c r="N382" i="1"/>
  <c r="N100" i="1"/>
  <c r="N661" i="1"/>
  <c r="N127" i="1"/>
  <c r="N123" i="1"/>
  <c r="N169" i="1"/>
  <c r="N79" i="1"/>
  <c r="N69" i="1"/>
  <c r="N174" i="1"/>
  <c r="N170" i="1"/>
  <c r="N694" i="1"/>
  <c r="N176" i="1"/>
  <c r="N173" i="1"/>
  <c r="N499" i="1"/>
  <c r="N167" i="1"/>
  <c r="N691" i="1"/>
  <c r="N182" i="1"/>
  <c r="N171" i="1"/>
  <c r="N696" i="1"/>
  <c r="N181" i="1"/>
  <c r="N168" i="1"/>
  <c r="N692" i="1"/>
  <c r="N70" i="1"/>
  <c r="N172" i="1"/>
  <c r="N72" i="1"/>
  <c r="N67" i="1"/>
  <c r="N78" i="1"/>
  <c r="N180" i="1"/>
  <c r="N177" i="1"/>
  <c r="N75" i="1"/>
  <c r="N179" i="1"/>
  <c r="N166" i="1"/>
  <c r="N644" i="1"/>
  <c r="N688" i="1"/>
  <c r="N178" i="1"/>
  <c r="N73" i="1"/>
  <c r="N165" i="1"/>
  <c r="N76" i="1"/>
  <c r="N164" i="1"/>
  <c r="N508" i="1"/>
  <c r="N162" i="1"/>
  <c r="N66" i="1"/>
  <c r="N163" i="1"/>
  <c r="N65" i="1"/>
  <c r="N695" i="1"/>
  <c r="N52" i="1"/>
  <c r="N64" i="1"/>
  <c r="N523" i="1"/>
  <c r="N74" i="1"/>
  <c r="N53" i="1"/>
  <c r="N161" i="1"/>
  <c r="N60" i="1"/>
  <c r="N50" i="1"/>
  <c r="N643" i="1"/>
  <c r="N51" i="1"/>
  <c r="N32" i="1"/>
  <c r="N41" i="1"/>
  <c r="N63" i="1"/>
  <c r="N31" i="1"/>
  <c r="N160" i="1"/>
  <c r="N156" i="1"/>
  <c r="N48" i="1"/>
  <c r="N55" i="1"/>
  <c r="N61" i="1"/>
  <c r="N5" i="1"/>
  <c r="N158" i="1"/>
  <c r="N49" i="1"/>
  <c r="N157" i="1"/>
  <c r="N35" i="1"/>
  <c r="N62" i="1"/>
  <c r="N159" i="1"/>
  <c r="N56" i="1"/>
  <c r="N59" i="1"/>
  <c r="N155" i="1"/>
  <c r="N154" i="1"/>
  <c r="N153" i="1"/>
  <c r="N371" i="1"/>
  <c r="N34" i="1"/>
  <c r="N40" i="1"/>
  <c r="N57" i="1"/>
  <c r="N47" i="1"/>
  <c r="N39" i="1"/>
  <c r="N30" i="1"/>
  <c r="N152" i="1"/>
  <c r="N58" i="1"/>
  <c r="N29" i="1"/>
  <c r="N528" i="1"/>
  <c r="N642" i="1"/>
  <c r="N46" i="1"/>
  <c r="N4" i="1"/>
  <c r="N38" i="1"/>
  <c r="N45" i="1"/>
  <c r="N28" i="1"/>
  <c r="N349" i="1"/>
  <c r="N641" i="1"/>
  <c r="N42" i="1"/>
  <c r="N27" i="1"/>
  <c r="N44" i="1"/>
  <c r="N43" i="1"/>
  <c r="N26" i="1"/>
  <c r="N25" i="1"/>
  <c r="N24" i="1"/>
  <c r="N640" i="1"/>
  <c r="N23" i="1"/>
  <c r="N12" i="1"/>
  <c r="N13" i="1"/>
  <c r="N639" i="1"/>
  <c r="N21" i="1"/>
  <c r="N22" i="1"/>
  <c r="N3" i="1"/>
  <c r="N18" i="1"/>
  <c r="N505" i="1"/>
  <c r="N14" i="1"/>
  <c r="N19" i="1"/>
  <c r="N7" i="1"/>
  <c r="N16" i="1"/>
  <c r="N20" i="1"/>
  <c r="N17" i="1"/>
  <c r="N638" i="1"/>
  <c r="N634" i="1"/>
  <c r="N11" i="1"/>
  <c r="N8" i="1"/>
  <c r="N633" i="1"/>
  <c r="N15" i="1"/>
  <c r="N2" i="1"/>
  <c r="N635" i="1"/>
  <c r="N632" i="1"/>
  <c r="N622" i="1"/>
  <c r="N624" i="1"/>
  <c r="N625" i="1"/>
  <c r="N631" i="1"/>
  <c r="N627" i="1"/>
  <c r="N629" i="1"/>
  <c r="N623" i="1"/>
  <c r="N630" i="1"/>
  <c r="N621" i="1"/>
  <c r="N628" i="1"/>
  <c r="N614" i="1"/>
  <c r="N626" i="1"/>
  <c r="N620" i="1"/>
  <c r="N618" i="1"/>
  <c r="N613" i="1"/>
  <c r="N619" i="1"/>
  <c r="N612" i="1"/>
  <c r="N611" i="1"/>
  <c r="N617" i="1"/>
  <c r="N609" i="1"/>
  <c r="N610" i="1"/>
  <c r="N593" i="1"/>
  <c r="N616" i="1"/>
  <c r="N594" i="1"/>
  <c r="N608" i="1"/>
  <c r="N592" i="1"/>
  <c r="N615" i="1"/>
  <c r="N607" i="1"/>
  <c r="N591" i="1"/>
  <c r="N567" i="1"/>
  <c r="N587" i="1"/>
  <c r="N536" i="1"/>
  <c r="N606" i="1"/>
  <c r="N588" i="1"/>
  <c r="N566" i="1"/>
  <c r="N10" i="1"/>
  <c r="N637" i="1"/>
  <c r="N636" i="1"/>
  <c r="N590" i="1"/>
  <c r="N605" i="1"/>
  <c r="N586" i="1"/>
  <c r="N604" i="1"/>
  <c r="N603" i="1"/>
  <c r="N535" i="1"/>
  <c r="N589" i="1"/>
  <c r="N565" i="1"/>
  <c r="N602" i="1"/>
  <c r="N585" i="1"/>
  <c r="N564" i="1"/>
  <c r="N568" i="1"/>
  <c r="N560" i="1"/>
  <c r="N601" i="1"/>
  <c r="N559" i="1"/>
  <c r="N581" i="1"/>
  <c r="N584" i="1"/>
  <c r="N569" i="1"/>
  <c r="N571" i="1"/>
  <c r="N595" i="1"/>
  <c r="N600" i="1"/>
  <c r="N563" i="1"/>
  <c r="N562" i="1"/>
  <c r="N534" i="1"/>
  <c r="N580" i="1"/>
  <c r="N572" i="1"/>
  <c r="N558" i="1"/>
  <c r="N583" i="1"/>
  <c r="N561" i="1"/>
  <c r="N570" i="1"/>
  <c r="N515" i="1"/>
  <c r="N599" i="1"/>
  <c r="N516" i="1"/>
  <c r="N557" i="1"/>
  <c r="N598" i="1"/>
  <c r="N555" i="1"/>
  <c r="N517" i="1"/>
  <c r="N551" i="1"/>
  <c r="N579" i="1"/>
  <c r="N582" i="1"/>
  <c r="N578" i="1"/>
  <c r="N540" i="1"/>
  <c r="N501" i="1"/>
  <c r="N597" i="1"/>
  <c r="N556" i="1"/>
  <c r="N500" i="1"/>
  <c r="N502" i="1"/>
  <c r="N554" i="1"/>
  <c r="N514" i="1"/>
  <c r="N596" i="1"/>
  <c r="N533" i="1"/>
  <c r="N497" i="1"/>
  <c r="N293" i="1"/>
  <c r="N140" i="1"/>
  <c r="N496" i="1"/>
  <c r="N577" i="1"/>
  <c r="N549" i="1"/>
  <c r="N550" i="1"/>
  <c r="N539" i="1"/>
  <c r="N507" i="1"/>
  <c r="N510" i="1"/>
  <c r="N387" i="1"/>
  <c r="N552" i="1"/>
  <c r="N513" i="1"/>
  <c r="N506" i="1"/>
  <c r="N553" i="1"/>
  <c r="N134" i="1"/>
  <c r="N529" i="1"/>
  <c r="N511" i="1"/>
  <c r="N520" i="1"/>
  <c r="N545" i="1"/>
  <c r="N524" i="1"/>
  <c r="N509" i="1"/>
  <c r="N494" i="1"/>
  <c r="N384" i="1"/>
  <c r="N521" i="1"/>
  <c r="N542" i="1"/>
  <c r="N527" i="1"/>
  <c r="N297" i="1"/>
  <c r="N296" i="1"/>
  <c r="N294" i="1"/>
  <c r="N574" i="1"/>
  <c r="N493" i="1"/>
  <c r="N37" i="1"/>
  <c r="N573" i="1"/>
  <c r="N386" i="1"/>
  <c r="N575" i="1"/>
  <c r="N522" i="1"/>
  <c r="N302" i="1"/>
  <c r="N256" i="1"/>
  <c r="N385" i="1"/>
  <c r="N532" i="1"/>
  <c r="N504" i="1"/>
  <c r="N120" i="1"/>
  <c r="N526" i="1"/>
  <c r="N541" i="1"/>
  <c r="N576" i="1"/>
  <c r="N512" i="1"/>
  <c r="N547" i="1"/>
  <c r="N359" i="1"/>
  <c r="N538" i="1"/>
  <c r="N323" i="1"/>
  <c r="N9" i="1"/>
  <c r="N388" i="1"/>
  <c r="N298" i="1"/>
  <c r="N353" i="1"/>
  <c r="N288" i="1"/>
  <c r="N295" i="1"/>
  <c r="N321" i="1"/>
  <c r="N503" i="1"/>
  <c r="N318" i="1"/>
  <c r="N389" i="1"/>
  <c r="N473" i="1"/>
  <c r="N548" i="1"/>
  <c r="N519" i="1"/>
  <c r="N299" i="1"/>
  <c r="N390" i="1"/>
  <c r="N292" i="1"/>
  <c r="N357" i="1"/>
  <c r="N525" i="1"/>
  <c r="N531" i="1"/>
  <c r="N381" i="1"/>
  <c r="N477" i="1"/>
  <c r="N291" i="1"/>
  <c r="N491" i="1"/>
  <c r="N36" i="1"/>
  <c r="N368" i="1"/>
  <c r="N356" i="1"/>
  <c r="N290" i="1"/>
  <c r="N392" i="1"/>
  <c r="N380" i="1"/>
  <c r="N544" i="1"/>
  <c r="N492" i="1"/>
  <c r="N372" i="1"/>
  <c r="N364" i="1"/>
  <c r="N358" i="1"/>
  <c r="N360" i="1"/>
  <c r="N391" i="1"/>
  <c r="N365" i="1"/>
  <c r="N379" i="1"/>
  <c r="N361" i="1"/>
  <c r="N369" i="1"/>
  <c r="N490" i="1"/>
  <c r="N474" i="1"/>
  <c r="N352" i="1"/>
  <c r="N378" i="1"/>
  <c r="N310" i="1"/>
  <c r="N367" i="1"/>
  <c r="N476" i="1"/>
  <c r="N362" i="1"/>
  <c r="N374" i="1"/>
  <c r="N395" i="1"/>
  <c r="N370" i="1"/>
  <c r="N366" i="1"/>
  <c r="N363" i="1"/>
  <c r="N489" i="1"/>
  <c r="N346" i="1"/>
  <c r="N543" i="1"/>
  <c r="N355" i="1"/>
  <c r="N478" i="1"/>
  <c r="N475" i="1"/>
  <c r="N375" i="1"/>
  <c r="N117" i="1"/>
  <c r="N373" i="1"/>
  <c r="N354" i="1"/>
  <c r="N311" i="1"/>
  <c r="N305" i="1"/>
  <c r="N518" i="1"/>
  <c r="N308" i="1"/>
  <c r="N309" i="1"/>
  <c r="N537" i="1"/>
  <c r="N376" i="1"/>
  <c r="N377" i="1"/>
  <c r="N137" i="1"/>
  <c r="N306" i="1"/>
  <c r="N304" i="1"/>
  <c r="N546" i="1"/>
  <c r="N315" i="1"/>
  <c r="N481" i="1"/>
  <c r="N211" i="1"/>
  <c r="N320" i="1"/>
  <c r="N719" i="1"/>
  <c r="N718" i="1"/>
  <c r="N720" i="1"/>
  <c r="N300" i="1"/>
  <c r="N6" i="1"/>
  <c r="N403" i="1"/>
  <c r="N316" i="1"/>
  <c r="N722" i="1"/>
  <c r="N488" i="1"/>
  <c r="N314" i="1"/>
  <c r="N264" i="1"/>
  <c r="N330" i="1"/>
  <c r="N331" i="1"/>
  <c r="N312" i="1"/>
  <c r="N471" i="1"/>
  <c r="N485" i="1"/>
  <c r="N721" i="1"/>
  <c r="N487" i="1"/>
  <c r="N351" i="1"/>
  <c r="N301" i="1"/>
  <c r="N329" i="1"/>
  <c r="N480" i="1"/>
  <c r="N470" i="1"/>
  <c r="N303" i="1"/>
  <c r="N472" i="1"/>
  <c r="N313" i="1"/>
  <c r="N334" i="1"/>
  <c r="N482" i="1"/>
  <c r="N327" i="1"/>
  <c r="N468" i="1"/>
  <c r="N335" i="1"/>
  <c r="N328" i="1"/>
  <c r="N332" i="1"/>
  <c r="N484" i="1"/>
  <c r="N350" i="1"/>
  <c r="N530" i="1"/>
  <c r="N486" i="1"/>
  <c r="N54" i="1"/>
  <c r="N483" i="1"/>
  <c r="N348" i="1"/>
  <c r="N437" i="1"/>
  <c r="N469" i="1"/>
  <c r="N333" i="1"/>
  <c r="N336" i="1"/>
  <c r="N284" i="1"/>
  <c r="N467" i="1"/>
  <c r="N345" i="1"/>
  <c r="N398" i="1"/>
  <c r="N338" i="1"/>
  <c r="N324" i="1"/>
  <c r="N396" i="1"/>
  <c r="N347" i="1"/>
  <c r="N339" i="1"/>
  <c r="N399" i="1"/>
  <c r="N337" i="1"/>
  <c r="N77" i="1"/>
  <c r="N342" i="1"/>
  <c r="N343" i="1"/>
  <c r="N344" i="1"/>
  <c r="N397" i="1"/>
  <c r="N466" i="1"/>
  <c r="N341" i="1"/>
  <c r="N394" i="1"/>
  <c r="N465" i="1"/>
  <c r="N340" i="1"/>
  <c r="N401" i="1"/>
  <c r="N402" i="1"/>
  <c r="N393" i="1"/>
  <c r="N317" i="1"/>
  <c r="N439" i="1"/>
  <c r="N326" i="1"/>
  <c r="N438" i="1"/>
  <c r="N434" i="1"/>
  <c r="N440" i="1"/>
  <c r="N463" i="1"/>
  <c r="N400" i="1"/>
  <c r="N464" i="1"/>
  <c r="N404" i="1"/>
  <c r="N436" i="1"/>
  <c r="N433" i="1"/>
  <c r="N461" i="1"/>
  <c r="N458" i="1"/>
  <c r="N432" i="1"/>
  <c r="N431" i="1"/>
  <c r="N462" i="1"/>
  <c r="N459" i="1"/>
  <c r="N430" i="1"/>
  <c r="N429" i="1"/>
  <c r="N435" i="1"/>
  <c r="N408" i="1"/>
  <c r="N409" i="1"/>
  <c r="N428" i="1"/>
  <c r="N454" i="1"/>
  <c r="N407" i="1"/>
  <c r="N455" i="1"/>
  <c r="N445" i="1"/>
  <c r="N427" i="1"/>
  <c r="N410" i="1"/>
  <c r="N447" i="1"/>
  <c r="N460" i="1"/>
  <c r="N456" i="1"/>
  <c r="N411" i="1"/>
  <c r="N446" i="1"/>
  <c r="N426" i="1"/>
  <c r="N457" i="1"/>
  <c r="N413" i="1"/>
  <c r="N451" i="1"/>
  <c r="N453" i="1"/>
  <c r="N452" i="1"/>
  <c r="N441" i="1"/>
  <c r="N307" i="1"/>
  <c r="N424" i="1"/>
  <c r="N425" i="1"/>
  <c r="N406" i="1"/>
  <c r="N444" i="1"/>
  <c r="N450" i="1"/>
  <c r="N723" i="1"/>
  <c r="N33" i="1"/>
  <c r="N443" i="1"/>
  <c r="N423" i="1"/>
  <c r="N415" i="1"/>
  <c r="N448" i="1"/>
  <c r="N414" i="1"/>
  <c r="N420" i="1"/>
  <c r="N442" i="1"/>
  <c r="N412" i="1"/>
  <c r="N422" i="1"/>
  <c r="N419" i="1"/>
  <c r="N724" i="1"/>
  <c r="N417" i="1"/>
  <c r="N421" i="1"/>
  <c r="N319" i="1"/>
  <c r="N416" i="1"/>
  <c r="N988" i="1"/>
  <c r="N725" i="1"/>
  <c r="N727" i="1"/>
  <c r="N726" i="1"/>
  <c r="N729" i="1"/>
  <c r="N730" i="1"/>
  <c r="N728" i="1"/>
  <c r="N731" i="1"/>
  <c r="N732" i="1"/>
  <c r="N733" i="1"/>
  <c r="N743" i="1"/>
  <c r="N737" i="1"/>
  <c r="N746" i="1"/>
  <c r="N745" i="1"/>
  <c r="N740" i="1"/>
  <c r="N734" i="1"/>
  <c r="N742" i="1"/>
  <c r="N738" i="1"/>
  <c r="N739" i="1"/>
  <c r="N748" i="1"/>
  <c r="N741" i="1"/>
  <c r="N747" i="1"/>
  <c r="N744" i="1"/>
  <c r="N736" i="1"/>
  <c r="N735" i="1"/>
  <c r="N749" i="1"/>
  <c r="N981" i="1"/>
  <c r="N753" i="1"/>
  <c r="N759" i="1"/>
  <c r="N751" i="1"/>
  <c r="N750" i="1"/>
  <c r="N754" i="1"/>
  <c r="N756" i="1"/>
  <c r="N757" i="1"/>
  <c r="N758" i="1"/>
  <c r="N760" i="1"/>
  <c r="N755" i="1"/>
  <c r="N752" i="1"/>
  <c r="N761" i="1"/>
  <c r="N763" i="1"/>
  <c r="N852" i="1"/>
  <c r="N762" i="1"/>
  <c r="N853" i="1"/>
  <c r="N764" i="1"/>
  <c r="N840" i="1"/>
  <c r="N768" i="1"/>
  <c r="N860" i="1"/>
  <c r="N861" i="1"/>
  <c r="N767" i="1"/>
  <c r="N766" i="1"/>
  <c r="N836" i="1"/>
  <c r="N769" i="1"/>
  <c r="N925" i="1"/>
  <c r="N833" i="1"/>
  <c r="N954" i="1"/>
  <c r="N765" i="1"/>
  <c r="N859" i="1"/>
  <c r="N834" i="1"/>
  <c r="N920" i="1"/>
  <c r="N835" i="1"/>
  <c r="N843" i="1"/>
  <c r="N916" i="1"/>
  <c r="N829" i="1"/>
  <c r="N830" i="1"/>
  <c r="N926" i="1"/>
  <c r="N918" i="1"/>
  <c r="N949" i="1"/>
  <c r="N927" i="1"/>
  <c r="N771" i="1"/>
  <c r="N772" i="1"/>
  <c r="N831" i="1"/>
  <c r="N770" i="1"/>
  <c r="N775" i="1"/>
  <c r="N774" i="1"/>
  <c r="N977" i="1"/>
  <c r="N828" i="1"/>
  <c r="N779" i="1"/>
  <c r="N930" i="1"/>
  <c r="N773" i="1"/>
  <c r="N816" i="1"/>
  <c r="N824" i="1"/>
  <c r="N979" i="1"/>
  <c r="N970" i="1"/>
  <c r="N846" i="1"/>
  <c r="N817" i="1"/>
  <c r="N974" i="1"/>
  <c r="N928" i="1"/>
  <c r="N814" i="1"/>
  <c r="N959" i="1"/>
  <c r="N938" i="1"/>
  <c r="N842" i="1"/>
  <c r="N812" i="1"/>
  <c r="N958" i="1"/>
  <c r="N776" i="1"/>
  <c r="N940" i="1"/>
  <c r="N919" i="1"/>
  <c r="N966" i="1"/>
  <c r="N813" i="1"/>
  <c r="N832" i="1"/>
  <c r="N946" i="1"/>
  <c r="N956" i="1"/>
  <c r="N962" i="1"/>
  <c r="N827" i="1"/>
  <c r="N932" i="1"/>
  <c r="N948" i="1"/>
  <c r="N939" i="1"/>
  <c r="N975" i="1"/>
  <c r="N980" i="1"/>
  <c r="N968" i="1"/>
  <c r="N960" i="1"/>
  <c r="N825" i="1"/>
  <c r="N934" i="1"/>
  <c r="N815" i="1"/>
  <c r="N955" i="1"/>
  <c r="N964" i="1"/>
  <c r="N826" i="1"/>
  <c r="N957" i="1"/>
  <c r="N936" i="1"/>
  <c r="N929" i="1"/>
  <c r="N935" i="1"/>
  <c r="N937" i="1"/>
  <c r="N931" i="1"/>
  <c r="N978" i="1"/>
  <c r="N777" i="1"/>
  <c r="N780" i="1"/>
  <c r="N820" i="1"/>
  <c r="N965" i="1"/>
  <c r="N821" i="1"/>
  <c r="N973" i="1"/>
  <c r="N778" i="1"/>
  <c r="N794" i="1"/>
  <c r="N811" i="1"/>
  <c r="N850" i="1"/>
  <c r="N961" i="1"/>
  <c r="N783" i="1"/>
  <c r="N914" i="1"/>
  <c r="N972" i="1"/>
  <c r="N818" i="1"/>
  <c r="N922" i="1"/>
  <c r="N904" i="1"/>
  <c r="N933" i="1"/>
  <c r="N819" i="1"/>
  <c r="N785" i="1"/>
  <c r="N952" i="1"/>
  <c r="N823" i="1"/>
  <c r="N845" i="1"/>
  <c r="N868" i="1"/>
  <c r="N792" i="1"/>
  <c r="N915" i="1"/>
  <c r="N789" i="1"/>
  <c r="N967" i="1"/>
  <c r="N822" i="1"/>
  <c r="N784" i="1"/>
  <c r="N786" i="1"/>
  <c r="N923" i="1"/>
  <c r="N945" i="1"/>
  <c r="N791" i="1"/>
  <c r="N848" i="1"/>
  <c r="N810" i="1"/>
  <c r="N951" i="1"/>
  <c r="N790" i="1"/>
  <c r="N924" i="1"/>
  <c r="N803" i="1"/>
  <c r="N950" i="1"/>
  <c r="N788" i="1"/>
  <c r="N947" i="1"/>
  <c r="N796" i="1"/>
  <c r="N943" i="1"/>
  <c r="N804" i="1"/>
  <c r="N841" i="1"/>
  <c r="N971" i="1"/>
  <c r="N781" i="1"/>
  <c r="N787" i="1"/>
  <c r="N782" i="1"/>
  <c r="N805" i="1"/>
  <c r="N838" i="1"/>
  <c r="N855" i="1"/>
  <c r="N849" i="1"/>
  <c r="N944" i="1"/>
  <c r="N844" i="1"/>
  <c r="N857" i="1"/>
  <c r="N856" i="1"/>
  <c r="N847" i="1"/>
  <c r="N942" i="1"/>
  <c r="N863" i="1"/>
  <c r="N801" i="1"/>
  <c r="N865" i="1"/>
  <c r="N795" i="1"/>
  <c r="N953" i="1"/>
  <c r="N917" i="1"/>
  <c r="N806" i="1"/>
  <c r="N921" i="1"/>
  <c r="N797" i="1"/>
  <c r="N854" i="1"/>
  <c r="N808" i="1"/>
  <c r="N976" i="1"/>
  <c r="N851" i="1"/>
  <c r="N864" i="1"/>
  <c r="N963" i="1"/>
  <c r="N839" i="1"/>
  <c r="N858" i="1"/>
  <c r="N837" i="1"/>
  <c r="N793" i="1"/>
  <c r="N807" i="1"/>
  <c r="N862" i="1"/>
  <c r="N809" i="1"/>
  <c r="N798" i="1"/>
  <c r="N969" i="1"/>
  <c r="N802" i="1"/>
  <c r="N799" i="1"/>
  <c r="N941" i="1"/>
  <c r="N800" i="1"/>
  <c r="N983" i="1"/>
  <c r="N893" i="1"/>
  <c r="N909" i="1"/>
  <c r="N878" i="1"/>
  <c r="N866" i="1"/>
  <c r="N908" i="1"/>
  <c r="N907" i="1"/>
  <c r="N901" i="1"/>
  <c r="N889" i="1"/>
  <c r="N900" i="1"/>
  <c r="N890" i="1"/>
  <c r="N885" i="1"/>
  <c r="N903" i="1"/>
  <c r="N887" i="1"/>
  <c r="N911" i="1"/>
  <c r="N886" i="1"/>
  <c r="N898" i="1"/>
  <c r="N906" i="1"/>
  <c r="N902" i="1"/>
  <c r="N892" i="1"/>
  <c r="N879" i="1"/>
  <c r="N985" i="1"/>
  <c r="N881" i="1"/>
  <c r="N876" i="1"/>
  <c r="N891" i="1"/>
  <c r="N874" i="1"/>
  <c r="N873" i="1"/>
  <c r="N912" i="1"/>
  <c r="N884" i="1"/>
  <c r="N905" i="1"/>
  <c r="N872" i="1"/>
  <c r="N913" i="1"/>
  <c r="N867" i="1"/>
  <c r="N869" i="1"/>
  <c r="N875" i="1"/>
  <c r="N888" i="1"/>
  <c r="N877" i="1"/>
  <c r="N870" i="1"/>
  <c r="N910" i="1"/>
  <c r="N871" i="1"/>
  <c r="N982" i="1"/>
  <c r="N897" i="1"/>
  <c r="N894" i="1"/>
  <c r="N899" i="1"/>
  <c r="N880" i="1"/>
  <c r="N895" i="1"/>
  <c r="N883" i="1"/>
  <c r="N896" i="1"/>
  <c r="N882" i="1"/>
  <c r="M988" i="1"/>
  <c r="M416" i="1"/>
  <c r="M319" i="1"/>
  <c r="M417" i="1"/>
  <c r="M421" i="1"/>
  <c r="M442" i="1"/>
  <c r="M419" i="1"/>
  <c r="M422" i="1"/>
  <c r="M420" i="1"/>
  <c r="M412" i="1"/>
  <c r="M414" i="1"/>
  <c r="M415" i="1"/>
  <c r="M448" i="1"/>
  <c r="M423" i="1"/>
  <c r="M443" i="1"/>
  <c r="M33" i="1"/>
  <c r="M307" i="1"/>
  <c r="M450" i="1"/>
  <c r="M413" i="1"/>
  <c r="M451" i="1"/>
  <c r="M425" i="1"/>
  <c r="M441" i="1"/>
  <c r="M424" i="1"/>
  <c r="M444" i="1"/>
  <c r="M406" i="1"/>
  <c r="M426" i="1"/>
  <c r="M452" i="1"/>
  <c r="M453" i="1"/>
  <c r="M447" i="1"/>
  <c r="M445" i="1"/>
  <c r="M427" i="1"/>
  <c r="M407" i="1"/>
  <c r="M455" i="1"/>
  <c r="M409" i="1"/>
  <c r="M454" i="1"/>
  <c r="M410" i="1"/>
  <c r="M411" i="1"/>
  <c r="M460" i="1"/>
  <c r="M457" i="1"/>
  <c r="M446" i="1"/>
  <c r="M456" i="1"/>
  <c r="M428" i="1"/>
  <c r="M408" i="1"/>
  <c r="M430" i="1"/>
  <c r="M429" i="1"/>
  <c r="M459" i="1"/>
  <c r="M461" i="1"/>
  <c r="M435" i="1"/>
  <c r="M432" i="1"/>
  <c r="M458" i="1"/>
  <c r="M431" i="1"/>
  <c r="M462" i="1"/>
  <c r="M433" i="1"/>
  <c r="M436" i="1"/>
  <c r="M404" i="1"/>
  <c r="M434" i="1"/>
  <c r="M326" i="1"/>
  <c r="M439" i="1"/>
  <c r="M317" i="1"/>
  <c r="M463" i="1"/>
  <c r="M464" i="1"/>
  <c r="M400" i="1"/>
  <c r="M438" i="1"/>
  <c r="M440" i="1"/>
  <c r="M465" i="1"/>
  <c r="M402" i="1"/>
  <c r="M401" i="1"/>
  <c r="M393" i="1"/>
  <c r="M340" i="1"/>
  <c r="M394" i="1"/>
  <c r="M341" i="1"/>
  <c r="M466" i="1"/>
  <c r="M343" i="1"/>
  <c r="M344" i="1"/>
  <c r="M397" i="1"/>
  <c r="M342" i="1"/>
  <c r="M77" i="1"/>
  <c r="M324" i="1"/>
  <c r="M339" i="1"/>
  <c r="M347" i="1"/>
  <c r="M345" i="1"/>
  <c r="M467" i="1"/>
  <c r="M398" i="1"/>
  <c r="M348" i="1"/>
  <c r="M337" i="1"/>
  <c r="M399" i="1"/>
  <c r="M396" i="1"/>
  <c r="M338" i="1"/>
  <c r="M284" i="1"/>
  <c r="M336" i="1"/>
  <c r="M54" i="1"/>
  <c r="M332" i="1"/>
  <c r="M468" i="1"/>
  <c r="M329" i="1"/>
  <c r="M335" i="1"/>
  <c r="M487" i="1"/>
  <c r="M330" i="1"/>
  <c r="M331" i="1"/>
  <c r="M485" i="1"/>
  <c r="M333" i="1"/>
  <c r="M530" i="1"/>
  <c r="M350" i="1"/>
  <c r="M334" i="1"/>
  <c r="M484" i="1"/>
  <c r="M483" i="1"/>
  <c r="M486" i="1"/>
  <c r="M437" i="1"/>
  <c r="M469" i="1"/>
  <c r="M472" i="1"/>
  <c r="M351" i="1"/>
  <c r="M471" i="1"/>
  <c r="M480" i="1"/>
  <c r="M327" i="1"/>
  <c r="M313" i="1"/>
  <c r="M482" i="1"/>
  <c r="M328" i="1"/>
  <c r="M470" i="1"/>
  <c r="M301" i="1"/>
  <c r="M303" i="1"/>
  <c r="M312" i="1"/>
  <c r="M264" i="1"/>
  <c r="M314" i="1"/>
  <c r="M403" i="1"/>
  <c r="M488" i="1"/>
  <c r="M316" i="1"/>
  <c r="M300" i="1"/>
  <c r="M6" i="1"/>
  <c r="M318" i="1"/>
  <c r="M473" i="1"/>
  <c r="M321" i="1"/>
  <c r="M353" i="1"/>
  <c r="M359" i="1"/>
  <c r="M481" i="1"/>
  <c r="M320" i="1"/>
  <c r="M211" i="1"/>
  <c r="M315" i="1"/>
  <c r="M546" i="1"/>
  <c r="M304" i="1"/>
  <c r="M377" i="1"/>
  <c r="M306" i="1"/>
  <c r="M376" i="1"/>
  <c r="M137" i="1"/>
  <c r="M537" i="1"/>
  <c r="M308" i="1"/>
  <c r="M518" i="1"/>
  <c r="M309" i="1"/>
  <c r="M305" i="1"/>
  <c r="M354" i="1"/>
  <c r="M311" i="1"/>
  <c r="M375" i="1"/>
  <c r="M117" i="1"/>
  <c r="M363" i="1"/>
  <c r="M346" i="1"/>
  <c r="M395" i="1"/>
  <c r="M310" i="1"/>
  <c r="M474" i="1"/>
  <c r="M378" i="1"/>
  <c r="M476" i="1"/>
  <c r="M366" i="1"/>
  <c r="M362" i="1"/>
  <c r="M374" i="1"/>
  <c r="M370" i="1"/>
  <c r="M489" i="1"/>
  <c r="M543" i="1"/>
  <c r="M475" i="1"/>
  <c r="M373" i="1"/>
  <c r="M355" i="1"/>
  <c r="M478" i="1"/>
  <c r="M369" i="1"/>
  <c r="M490" i="1"/>
  <c r="M365" i="1"/>
  <c r="M361" i="1"/>
  <c r="M367" i="1"/>
  <c r="M352" i="1"/>
  <c r="M379" i="1"/>
  <c r="M364" i="1"/>
  <c r="M358" i="1"/>
  <c r="M360" i="1"/>
  <c r="M372" i="1"/>
  <c r="M381" i="1"/>
  <c r="M368" i="1"/>
  <c r="M477" i="1"/>
  <c r="M36" i="1"/>
  <c r="M290" i="1"/>
  <c r="M531" i="1"/>
  <c r="M356" i="1"/>
  <c r="M525" i="1"/>
  <c r="M380" i="1"/>
  <c r="M357" i="1"/>
  <c r="M291" i="1"/>
  <c r="M491" i="1"/>
  <c r="M544" i="1"/>
  <c r="M391" i="1"/>
  <c r="M492" i="1"/>
  <c r="M392" i="1"/>
  <c r="M519" i="1"/>
  <c r="M390" i="1"/>
  <c r="M292" i="1"/>
  <c r="M299" i="1"/>
  <c r="M547" i="1"/>
  <c r="M9" i="1"/>
  <c r="M538" i="1"/>
  <c r="M298" i="1"/>
  <c r="M323" i="1"/>
  <c r="M288" i="1"/>
  <c r="M295" i="1"/>
  <c r="M493" i="1"/>
  <c r="M527" i="1"/>
  <c r="M294" i="1"/>
  <c r="M542" i="1"/>
  <c r="M296" i="1"/>
  <c r="M297" i="1"/>
  <c r="M37" i="1"/>
  <c r="M574" i="1"/>
  <c r="M573" i="1"/>
  <c r="M532" i="1"/>
  <c r="M120" i="1"/>
  <c r="M548" i="1"/>
  <c r="M389" i="1"/>
  <c r="M503" i="1"/>
  <c r="M388" i="1"/>
  <c r="M512" i="1"/>
  <c r="M576" i="1"/>
  <c r="M541" i="1"/>
  <c r="M526" i="1"/>
  <c r="M504" i="1"/>
  <c r="M385" i="1"/>
  <c r="M256" i="1"/>
  <c r="M302" i="1"/>
  <c r="M522" i="1"/>
  <c r="M386" i="1"/>
  <c r="M521" i="1"/>
  <c r="M384" i="1"/>
  <c r="M494" i="1"/>
  <c r="M509" i="1"/>
  <c r="M524" i="1"/>
  <c r="M545" i="1"/>
  <c r="M520" i="1"/>
  <c r="M511" i="1"/>
  <c r="M529" i="1"/>
  <c r="M134" i="1"/>
  <c r="M553" i="1"/>
  <c r="M506" i="1"/>
  <c r="M513" i="1"/>
  <c r="M552" i="1"/>
  <c r="M387" i="1"/>
  <c r="M510" i="1"/>
  <c r="M507" i="1"/>
  <c r="M539" i="1"/>
  <c r="M550" i="1"/>
  <c r="M549" i="1"/>
  <c r="M577" i="1"/>
  <c r="M496" i="1"/>
  <c r="M140" i="1"/>
  <c r="M293" i="1"/>
  <c r="M497" i="1"/>
  <c r="M533" i="1"/>
  <c r="M596" i="1"/>
  <c r="M514" i="1"/>
  <c r="M554" i="1"/>
  <c r="M502" i="1"/>
  <c r="M500" i="1"/>
  <c r="M556" i="1"/>
  <c r="M597" i="1"/>
  <c r="M501" i="1"/>
  <c r="M540" i="1"/>
  <c r="M578" i="1"/>
  <c r="M582" i="1"/>
  <c r="M579" i="1"/>
  <c r="M551" i="1"/>
  <c r="M517" i="1"/>
  <c r="M555" i="1"/>
  <c r="M598" i="1"/>
  <c r="M557" i="1"/>
  <c r="M516" i="1"/>
  <c r="M599" i="1"/>
  <c r="M515" i="1"/>
  <c r="M570" i="1"/>
  <c r="M561" i="1"/>
  <c r="M583" i="1"/>
  <c r="M558" i="1"/>
  <c r="M572" i="1"/>
  <c r="M580" i="1"/>
  <c r="M534" i="1"/>
  <c r="M562" i="1"/>
  <c r="M600" i="1"/>
  <c r="M563" i="1"/>
  <c r="M595" i="1"/>
  <c r="M571" i="1"/>
  <c r="M569" i="1"/>
  <c r="M584" i="1"/>
  <c r="M581" i="1"/>
  <c r="M559" i="1"/>
  <c r="M601" i="1"/>
  <c r="M560" i="1"/>
  <c r="M568" i="1"/>
  <c r="M564" i="1"/>
  <c r="M585" i="1"/>
  <c r="M602" i="1"/>
  <c r="M565" i="1"/>
  <c r="M589" i="1"/>
  <c r="M535" i="1"/>
  <c r="M603" i="1"/>
  <c r="M604" i="1"/>
  <c r="M586" i="1"/>
  <c r="M605" i="1"/>
  <c r="M590" i="1"/>
  <c r="M566" i="1"/>
  <c r="M588" i="1"/>
  <c r="M606" i="1"/>
  <c r="M536" i="1"/>
  <c r="M587" i="1"/>
  <c r="M567" i="1"/>
  <c r="M591" i="1"/>
  <c r="M607" i="1"/>
  <c r="M615" i="1"/>
  <c r="M592" i="1"/>
  <c r="M608" i="1"/>
  <c r="M594" i="1"/>
  <c r="M616" i="1"/>
  <c r="M593" i="1"/>
  <c r="M610" i="1"/>
  <c r="M609" i="1"/>
  <c r="M617" i="1"/>
  <c r="M611" i="1"/>
  <c r="M612" i="1"/>
  <c r="M619" i="1"/>
  <c r="M618" i="1"/>
  <c r="M613" i="1"/>
  <c r="M620" i="1"/>
  <c r="M626" i="1"/>
  <c r="M614" i="1"/>
  <c r="M628" i="1"/>
  <c r="M621" i="1"/>
  <c r="M630" i="1"/>
  <c r="M623" i="1"/>
  <c r="M629" i="1"/>
  <c r="M627" i="1"/>
  <c r="M631" i="1"/>
  <c r="M625" i="1"/>
  <c r="M624" i="1"/>
  <c r="M622" i="1"/>
  <c r="M632" i="1"/>
  <c r="M635" i="1"/>
  <c r="M2" i="1"/>
  <c r="M636" i="1"/>
  <c r="M637" i="1"/>
  <c r="M10" i="1"/>
  <c r="M633" i="1"/>
  <c r="M15" i="1"/>
  <c r="M8" i="1"/>
  <c r="M634" i="1"/>
  <c r="M11" i="1"/>
  <c r="M638" i="1"/>
  <c r="M17" i="1"/>
  <c r="M20" i="1"/>
  <c r="M16" i="1"/>
  <c r="M19" i="1"/>
  <c r="M14" i="1"/>
  <c r="M18" i="1"/>
  <c r="M3" i="1"/>
  <c r="M21" i="1"/>
  <c r="M12" i="1"/>
  <c r="M7" i="1"/>
  <c r="M505" i="1"/>
  <c r="M22" i="1"/>
  <c r="M639" i="1"/>
  <c r="M13" i="1"/>
  <c r="M23" i="1"/>
  <c r="M640" i="1"/>
  <c r="M24" i="1"/>
  <c r="M25" i="1"/>
  <c r="M26" i="1"/>
  <c r="M43" i="1"/>
  <c r="M27" i="1"/>
  <c r="M641" i="1"/>
  <c r="M349" i="1"/>
  <c r="M44" i="1"/>
  <c r="M42" i="1"/>
  <c r="M28" i="1"/>
  <c r="M45" i="1"/>
  <c r="M38" i="1"/>
  <c r="M4" i="1"/>
  <c r="M46" i="1"/>
  <c r="M642" i="1"/>
  <c r="M528" i="1"/>
  <c r="M29" i="1"/>
  <c r="M58" i="1"/>
  <c r="M152" i="1"/>
  <c r="M30" i="1"/>
  <c r="M39" i="1"/>
  <c r="M57" i="1"/>
  <c r="M47" i="1"/>
  <c r="M40" i="1"/>
  <c r="M34" i="1"/>
  <c r="M56" i="1"/>
  <c r="M153" i="1"/>
  <c r="M154" i="1"/>
  <c r="M371" i="1"/>
  <c r="M155" i="1"/>
  <c r="M59" i="1"/>
  <c r="M159" i="1"/>
  <c r="M62" i="1"/>
  <c r="M157" i="1"/>
  <c r="M158" i="1"/>
  <c r="M49" i="1"/>
  <c r="M61" i="1"/>
  <c r="M5" i="1"/>
  <c r="M35" i="1"/>
  <c r="M55" i="1"/>
  <c r="M156" i="1"/>
  <c r="M48" i="1"/>
  <c r="M31" i="1"/>
  <c r="M41" i="1"/>
  <c r="M160" i="1"/>
  <c r="M63" i="1"/>
  <c r="M32" i="1"/>
  <c r="M51" i="1"/>
  <c r="M60" i="1"/>
  <c r="M643" i="1"/>
  <c r="M50" i="1"/>
  <c r="M161" i="1"/>
  <c r="M53" i="1"/>
  <c r="M74" i="1"/>
  <c r="M523" i="1"/>
  <c r="M64" i="1"/>
  <c r="M52" i="1"/>
  <c r="M695" i="1"/>
  <c r="M65" i="1"/>
  <c r="M162" i="1"/>
  <c r="M163" i="1"/>
  <c r="M66" i="1"/>
  <c r="M164" i="1"/>
  <c r="M508" i="1"/>
  <c r="M178" i="1"/>
  <c r="M165" i="1"/>
  <c r="M76" i="1"/>
  <c r="M179" i="1"/>
  <c r="M688" i="1"/>
  <c r="M644" i="1"/>
  <c r="M166" i="1"/>
  <c r="M180" i="1"/>
  <c r="M177" i="1"/>
  <c r="M75" i="1"/>
  <c r="M73" i="1"/>
  <c r="M78" i="1"/>
  <c r="M67" i="1"/>
  <c r="M72" i="1"/>
  <c r="M172" i="1"/>
  <c r="M692" i="1"/>
  <c r="M168" i="1"/>
  <c r="M691" i="1"/>
  <c r="M167" i="1"/>
  <c r="M182" i="1"/>
  <c r="M696" i="1"/>
  <c r="M171" i="1"/>
  <c r="M181" i="1"/>
  <c r="M70" i="1"/>
  <c r="M173" i="1"/>
  <c r="M499" i="1"/>
  <c r="M694" i="1"/>
  <c r="M170" i="1"/>
  <c r="M174" i="1"/>
  <c r="M176" i="1"/>
  <c r="M69" i="1"/>
  <c r="M169" i="1"/>
  <c r="M79" i="1"/>
  <c r="M689" i="1"/>
  <c r="M68" i="1"/>
  <c r="M175" i="1"/>
  <c r="M698" i="1"/>
  <c r="M183" i="1"/>
  <c r="M190" i="1"/>
  <c r="M192" i="1"/>
  <c r="M191" i="1"/>
  <c r="M645" i="1"/>
  <c r="M693" i="1"/>
  <c r="M71" i="1"/>
  <c r="M690" i="1"/>
  <c r="M184" i="1"/>
  <c r="M80" i="1"/>
  <c r="M193" i="1"/>
  <c r="M82" i="1"/>
  <c r="M186" i="1"/>
  <c r="M194" i="1"/>
  <c r="M189" i="1"/>
  <c r="M81" i="1"/>
  <c r="M697" i="1"/>
  <c r="M185" i="1"/>
  <c r="M655" i="1"/>
  <c r="M648" i="1"/>
  <c r="M187" i="1"/>
  <c r="M83" i="1"/>
  <c r="M195" i="1"/>
  <c r="M87" i="1"/>
  <c r="M669" i="1"/>
  <c r="M91" i="1"/>
  <c r="M699" i="1"/>
  <c r="M86" i="1"/>
  <c r="M85" i="1"/>
  <c r="M687" i="1"/>
  <c r="M188" i="1"/>
  <c r="M90" i="1"/>
  <c r="M141" i="1"/>
  <c r="M651" i="1"/>
  <c r="M84" i="1"/>
  <c r="M202" i="1"/>
  <c r="M198" i="1"/>
  <c r="M679" i="1"/>
  <c r="M196" i="1"/>
  <c r="M670" i="1"/>
  <c r="M203" i="1"/>
  <c r="M197" i="1"/>
  <c r="M646" i="1"/>
  <c r="M88" i="1"/>
  <c r="M92" i="1"/>
  <c r="M201" i="1"/>
  <c r="M94" i="1"/>
  <c r="M204" i="1"/>
  <c r="M199" i="1"/>
  <c r="M200" i="1"/>
  <c r="M205" i="1"/>
  <c r="M93" i="1"/>
  <c r="M89" i="1"/>
  <c r="M206" i="1"/>
  <c r="M662" i="1"/>
  <c r="M142" i="1"/>
  <c r="M207" i="1"/>
  <c r="M209" i="1"/>
  <c r="M135" i="1"/>
  <c r="M656" i="1"/>
  <c r="M208" i="1"/>
  <c r="M144" i="1"/>
  <c r="M96" i="1"/>
  <c r="M495" i="1"/>
  <c r="M95" i="1"/>
  <c r="M143" i="1"/>
  <c r="M139" i="1"/>
  <c r="M647" i="1"/>
  <c r="M107" i="1"/>
  <c r="M700" i="1"/>
  <c r="M108" i="1"/>
  <c r="M322" i="1"/>
  <c r="M649" i="1"/>
  <c r="M98" i="1"/>
  <c r="M680" i="1"/>
  <c r="M138" i="1"/>
  <c r="M136" i="1"/>
  <c r="M210" i="1"/>
  <c r="M145" i="1"/>
  <c r="M97" i="1"/>
  <c r="M133" i="1"/>
  <c r="M147" i="1"/>
  <c r="M658" i="1"/>
  <c r="M148" i="1"/>
  <c r="M150" i="1"/>
  <c r="M106" i="1"/>
  <c r="M418" i="1"/>
  <c r="M146" i="1"/>
  <c r="M151" i="1"/>
  <c r="M214" i="1"/>
  <c r="M674" i="1"/>
  <c r="M99" i="1"/>
  <c r="M212" i="1"/>
  <c r="M213" i="1"/>
  <c r="M671" i="1"/>
  <c r="M128" i="1"/>
  <c r="M131" i="1"/>
  <c r="M149" i="1"/>
  <c r="M112" i="1"/>
  <c r="M498" i="1"/>
  <c r="M121" i="1"/>
  <c r="M122" i="1"/>
  <c r="M113" i="1"/>
  <c r="M109" i="1"/>
  <c r="M382" i="1"/>
  <c r="M130" i="1"/>
  <c r="M661" i="1"/>
  <c r="M127" i="1"/>
  <c r="M123" i="1"/>
  <c r="M659" i="1"/>
  <c r="M215" i="1"/>
  <c r="M100" i="1"/>
  <c r="M129" i="1"/>
  <c r="M677" i="1"/>
  <c r="M126" i="1"/>
  <c r="M663" i="1"/>
  <c r="M652" i="1"/>
  <c r="M114" i="1"/>
  <c r="M657" i="1"/>
  <c r="M701" i="1"/>
  <c r="M110" i="1"/>
  <c r="M672" i="1"/>
  <c r="M216" i="1"/>
  <c r="M103" i="1"/>
  <c r="M217" i="1"/>
  <c r="M105" i="1"/>
  <c r="M102" i="1"/>
  <c r="M681" i="1"/>
  <c r="M660" i="1"/>
  <c r="M116" i="1"/>
  <c r="M125" i="1"/>
  <c r="M104" i="1"/>
  <c r="M124" i="1"/>
  <c r="M118" i="1"/>
  <c r="M119" i="1"/>
  <c r="M678" i="1"/>
  <c r="M101" i="1"/>
  <c r="M111" i="1"/>
  <c r="M383" i="1"/>
  <c r="M115" i="1"/>
  <c r="M218" i="1"/>
  <c r="M405" i="1"/>
  <c r="M673" i="1"/>
  <c r="M650" i="1"/>
  <c r="M219" i="1"/>
  <c r="M653" i="1"/>
  <c r="M675" i="1"/>
  <c r="M684" i="1"/>
  <c r="M676" i="1"/>
  <c r="M221" i="1"/>
  <c r="M664" i="1"/>
  <c r="M220" i="1"/>
  <c r="M222" i="1"/>
  <c r="M682" i="1"/>
  <c r="M225" i="1"/>
  <c r="M683" i="1"/>
  <c r="M224" i="1"/>
  <c r="M702" i="1"/>
  <c r="M226" i="1"/>
  <c r="M223" i="1"/>
  <c r="M227" i="1"/>
  <c r="M665" i="1"/>
  <c r="M685" i="1"/>
  <c r="M654" i="1"/>
  <c r="M686" i="1"/>
  <c r="M228" i="1"/>
  <c r="M668" i="1"/>
  <c r="M229" i="1"/>
  <c r="M230" i="1"/>
  <c r="M666" i="1"/>
  <c r="M231" i="1"/>
  <c r="M232" i="1"/>
  <c r="M703" i="1"/>
  <c r="M704" i="1"/>
  <c r="M233" i="1"/>
  <c r="M234" i="1"/>
  <c r="M235" i="1"/>
  <c r="M236" i="1"/>
  <c r="M237" i="1"/>
  <c r="M705" i="1"/>
  <c r="M706" i="1"/>
  <c r="M667" i="1"/>
  <c r="M240" i="1"/>
  <c r="M244" i="1"/>
  <c r="M239" i="1"/>
  <c r="M241" i="1"/>
  <c r="M243" i="1"/>
  <c r="M238" i="1"/>
  <c r="M246" i="1"/>
  <c r="M242" i="1"/>
  <c r="M245" i="1"/>
  <c r="M247" i="1"/>
  <c r="M248" i="1"/>
  <c r="M249" i="1"/>
  <c r="M250" i="1"/>
  <c r="M251" i="1"/>
  <c r="M707" i="1"/>
  <c r="M252" i="1"/>
  <c r="M253" i="1"/>
  <c r="M709" i="1"/>
  <c r="M708" i="1"/>
  <c r="M254" i="1"/>
  <c r="M258" i="1"/>
  <c r="M257" i="1"/>
  <c r="M449" i="1"/>
  <c r="M255" i="1"/>
  <c r="M260" i="1"/>
  <c r="M259" i="1"/>
  <c r="M261" i="1"/>
  <c r="M262" i="1"/>
  <c r="M710" i="1"/>
  <c r="M263" i="1"/>
  <c r="M325" i="1"/>
  <c r="M267" i="1"/>
  <c r="M711" i="1"/>
  <c r="M265" i="1"/>
  <c r="M266" i="1"/>
  <c r="M268" i="1"/>
  <c r="M269" i="1"/>
  <c r="M270" i="1"/>
  <c r="M712" i="1"/>
  <c r="M271" i="1"/>
  <c r="M272" i="1"/>
  <c r="M273" i="1"/>
  <c r="M274" i="1"/>
  <c r="M715" i="1"/>
  <c r="M275" i="1"/>
  <c r="M716" i="1"/>
  <c r="M276" i="1"/>
  <c r="M278" i="1"/>
  <c r="M277" i="1"/>
  <c r="M279" i="1"/>
  <c r="M713" i="1"/>
  <c r="M714" i="1"/>
  <c r="M280" i="1"/>
  <c r="M717" i="1"/>
  <c r="M281" i="1"/>
  <c r="M282" i="1"/>
  <c r="M283" i="1"/>
  <c r="M132" i="1"/>
  <c r="M286" i="1"/>
  <c r="M285" i="1"/>
  <c r="M287" i="1"/>
  <c r="M479" i="1"/>
  <c r="M289" i="1"/>
  <c r="M718" i="1"/>
  <c r="M719" i="1"/>
  <c r="M720" i="1"/>
  <c r="M721" i="1"/>
  <c r="M722" i="1"/>
  <c r="M723" i="1"/>
  <c r="M724" i="1"/>
  <c r="M725" i="1"/>
  <c r="M727" i="1"/>
  <c r="M726" i="1"/>
  <c r="M729" i="1"/>
  <c r="M728" i="1"/>
  <c r="M730" i="1"/>
  <c r="M731" i="1"/>
  <c r="M732" i="1"/>
  <c r="M733" i="1"/>
  <c r="M743" i="1"/>
  <c r="M737" i="1"/>
  <c r="M742" i="1"/>
  <c r="M734" i="1"/>
  <c r="M739" i="1"/>
  <c r="M736" i="1"/>
  <c r="M735" i="1"/>
  <c r="M744" i="1"/>
  <c r="M741" i="1"/>
  <c r="M738" i="1"/>
  <c r="M745" i="1"/>
  <c r="M740" i="1"/>
  <c r="M746" i="1"/>
  <c r="M747" i="1"/>
  <c r="M748" i="1"/>
  <c r="M749" i="1"/>
  <c r="M753" i="1"/>
  <c r="M750" i="1"/>
  <c r="M751" i="1"/>
  <c r="M754" i="1"/>
  <c r="M758" i="1"/>
  <c r="M755" i="1"/>
  <c r="M752" i="1"/>
  <c r="M756" i="1"/>
  <c r="M757" i="1"/>
  <c r="M759" i="1"/>
  <c r="M760" i="1"/>
  <c r="M761" i="1"/>
  <c r="M762" i="1"/>
  <c r="M763" i="1"/>
  <c r="M764" i="1"/>
  <c r="M766" i="1"/>
  <c r="M767" i="1"/>
  <c r="M768" i="1"/>
  <c r="M765" i="1"/>
  <c r="M769" i="1"/>
  <c r="M770" i="1"/>
  <c r="M771" i="1"/>
  <c r="M772" i="1"/>
  <c r="M979" i="1"/>
  <c r="M773" i="1"/>
  <c r="M774" i="1"/>
  <c r="M775" i="1"/>
  <c r="M977" i="1"/>
  <c r="M779" i="1"/>
  <c r="M776" i="1"/>
  <c r="M778" i="1"/>
  <c r="M777" i="1"/>
  <c r="M978" i="1"/>
  <c r="M780" i="1"/>
  <c r="M782" i="1"/>
  <c r="M781" i="1"/>
  <c r="M947" i="1"/>
  <c r="M783" i="1"/>
  <c r="M785" i="1"/>
  <c r="M784" i="1"/>
  <c r="M786" i="1"/>
  <c r="M789" i="1"/>
  <c r="M971" i="1"/>
  <c r="M787" i="1"/>
  <c r="M788" i="1"/>
  <c r="M791" i="1"/>
  <c r="M945" i="1"/>
  <c r="M790" i="1"/>
  <c r="M792" i="1"/>
  <c r="M794" i="1"/>
  <c r="M796" i="1"/>
  <c r="M793" i="1"/>
  <c r="M976" i="1"/>
  <c r="M795" i="1"/>
  <c r="M801" i="1"/>
  <c r="M797" i="1"/>
  <c r="M941" i="1"/>
  <c r="M800" i="1"/>
  <c r="M799" i="1"/>
  <c r="M969" i="1"/>
  <c r="M802" i="1"/>
  <c r="M798" i="1"/>
  <c r="M809" i="1"/>
  <c r="M807" i="1"/>
  <c r="M963" i="1"/>
  <c r="M808" i="1"/>
  <c r="M806" i="1"/>
  <c r="M944" i="1"/>
  <c r="M942" i="1"/>
  <c r="M805" i="1"/>
  <c r="M943" i="1"/>
  <c r="M804" i="1"/>
  <c r="M803" i="1"/>
  <c r="M810" i="1"/>
  <c r="M967" i="1"/>
  <c r="M972" i="1"/>
  <c r="M811" i="1"/>
  <c r="M961" i="1"/>
  <c r="M965" i="1"/>
  <c r="M968" i="1"/>
  <c r="M980" i="1"/>
  <c r="M812" i="1"/>
  <c r="M974" i="1"/>
  <c r="M813" i="1"/>
  <c r="M940" i="1"/>
  <c r="M948" i="1"/>
  <c r="M959" i="1"/>
  <c r="M966" i="1"/>
  <c r="M814" i="1"/>
  <c r="M964" i="1"/>
  <c r="M939" i="1"/>
  <c r="M960" i="1"/>
  <c r="M975" i="1"/>
  <c r="M962" i="1"/>
  <c r="M946" i="1"/>
  <c r="M938" i="1"/>
  <c r="M816" i="1"/>
  <c r="M973" i="1"/>
  <c r="M815" i="1"/>
  <c r="M934" i="1"/>
  <c r="M970" i="1"/>
  <c r="M824" i="1"/>
  <c r="M817" i="1"/>
  <c r="M823" i="1"/>
  <c r="M819" i="1"/>
  <c r="M822" i="1"/>
  <c r="M821" i="1"/>
  <c r="M933" i="1"/>
  <c r="M818" i="1"/>
  <c r="M820" i="1"/>
  <c r="M932" i="1"/>
  <c r="M825" i="1"/>
  <c r="M937" i="1"/>
  <c r="M936" i="1"/>
  <c r="M957" i="1"/>
  <c r="M826" i="1"/>
  <c r="M931" i="1"/>
  <c r="M955" i="1"/>
  <c r="M827" i="1"/>
  <c r="M958" i="1"/>
  <c r="M956" i="1"/>
  <c r="M928" i="1"/>
  <c r="M832" i="1"/>
  <c r="M935" i="1"/>
  <c r="M929" i="1"/>
  <c r="M828" i="1"/>
  <c r="M930" i="1"/>
  <c r="M831" i="1"/>
  <c r="M829" i="1"/>
  <c r="M830" i="1"/>
  <c r="M833" i="1"/>
  <c r="M834" i="1"/>
  <c r="M927" i="1"/>
  <c r="M926" i="1"/>
  <c r="M949" i="1"/>
  <c r="M835" i="1"/>
  <c r="M836" i="1"/>
  <c r="M861" i="1"/>
  <c r="M859" i="1"/>
  <c r="M925" i="1"/>
  <c r="M954" i="1"/>
  <c r="M860" i="1"/>
  <c r="M852" i="1"/>
  <c r="M853" i="1"/>
  <c r="M840" i="1"/>
  <c r="M858" i="1"/>
  <c r="M854" i="1"/>
  <c r="M839" i="1"/>
  <c r="M855" i="1"/>
  <c r="M856" i="1"/>
  <c r="M863" i="1"/>
  <c r="M851" i="1"/>
  <c r="M857" i="1"/>
  <c r="M838" i="1"/>
  <c r="M924" i="1"/>
  <c r="M848" i="1"/>
  <c r="M862" i="1"/>
  <c r="M837" i="1"/>
  <c r="M864" i="1"/>
  <c r="M865" i="1"/>
  <c r="M917" i="1"/>
  <c r="M950" i="1"/>
  <c r="M841" i="1"/>
  <c r="M849" i="1"/>
  <c r="M847" i="1"/>
  <c r="M923" i="1"/>
  <c r="M922" i="1"/>
  <c r="M850" i="1"/>
  <c r="M842" i="1"/>
  <c r="M919" i="1"/>
  <c r="M846" i="1"/>
  <c r="M918" i="1"/>
  <c r="M916" i="1"/>
  <c r="M920" i="1"/>
  <c r="M843" i="1"/>
  <c r="M845" i="1"/>
  <c r="M921" i="1"/>
  <c r="M953" i="1"/>
  <c r="M844" i="1"/>
  <c r="M915" i="1"/>
  <c r="M951" i="1"/>
  <c r="M952" i="1"/>
  <c r="M914" i="1"/>
  <c r="M904" i="1"/>
  <c r="M868" i="1"/>
  <c r="M866" i="1"/>
  <c r="M913" i="1"/>
  <c r="M874" i="1"/>
  <c r="M912" i="1"/>
  <c r="M905" i="1"/>
  <c r="M867" i="1"/>
  <c r="M872" i="1"/>
  <c r="M873" i="1"/>
  <c r="M890" i="1"/>
  <c r="M911" i="1"/>
  <c r="M903" i="1"/>
  <c r="M891" i="1"/>
  <c r="M888" i="1"/>
  <c r="M869" i="1"/>
  <c r="M871" i="1"/>
  <c r="M910" i="1"/>
  <c r="M870" i="1"/>
  <c r="M875" i="1"/>
  <c r="M887" i="1"/>
  <c r="M889" i="1"/>
  <c r="M901" i="1"/>
  <c r="M902" i="1"/>
  <c r="M876" i="1"/>
  <c r="M906" i="1"/>
  <c r="M892" i="1"/>
  <c r="M877" i="1"/>
  <c r="M886" i="1"/>
  <c r="M878" i="1"/>
  <c r="M909" i="1"/>
  <c r="M900" i="1"/>
  <c r="M884" i="1"/>
  <c r="M898" i="1"/>
  <c r="M885" i="1"/>
  <c r="M907" i="1"/>
  <c r="M908" i="1"/>
  <c r="M879" i="1"/>
  <c r="M893" i="1"/>
  <c r="M881" i="1"/>
  <c r="M899" i="1"/>
  <c r="M880" i="1"/>
  <c r="M897" i="1"/>
  <c r="M895" i="1"/>
  <c r="M896" i="1"/>
  <c r="M882" i="1"/>
  <c r="M883" i="1"/>
  <c r="M894" i="1"/>
  <c r="M981" i="1"/>
  <c r="M982" i="1"/>
  <c r="M985" i="1"/>
  <c r="M983" i="1"/>
  <c r="M984" i="1"/>
  <c r="M987" i="1"/>
  <c r="M986" i="1"/>
  <c r="K2" i="1"/>
  <c r="K3" i="1"/>
  <c r="K4" i="1"/>
  <c r="K5" i="1"/>
  <c r="K349" i="1"/>
  <c r="K7" i="1"/>
  <c r="K8" i="1"/>
  <c r="K505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508" i="1"/>
  <c r="K34" i="1"/>
  <c r="K35" i="1"/>
  <c r="K41" i="1"/>
  <c r="K528" i="1"/>
  <c r="K38" i="1"/>
  <c r="K39" i="1"/>
  <c r="K40" i="1"/>
  <c r="K371" i="1"/>
  <c r="K42" i="1"/>
  <c r="K43" i="1"/>
  <c r="K44" i="1"/>
  <c r="K45" i="1"/>
  <c r="K46" i="1"/>
  <c r="K47" i="1"/>
  <c r="K48" i="1"/>
  <c r="K49" i="1"/>
  <c r="K50" i="1"/>
  <c r="K51" i="1"/>
  <c r="K52" i="1"/>
  <c r="K53" i="1"/>
  <c r="K523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499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405" i="1"/>
  <c r="K118" i="1"/>
  <c r="K119" i="1"/>
  <c r="K383" i="1"/>
  <c r="K121" i="1"/>
  <c r="K122" i="1"/>
  <c r="K123" i="1"/>
  <c r="K124" i="1"/>
  <c r="K125" i="1"/>
  <c r="K126" i="1"/>
  <c r="K127" i="1"/>
  <c r="K128" i="1"/>
  <c r="K129" i="1"/>
  <c r="K130" i="1"/>
  <c r="K131" i="1"/>
  <c r="K498" i="1"/>
  <c r="K133" i="1"/>
  <c r="K418" i="1"/>
  <c r="K135" i="1"/>
  <c r="K136" i="1"/>
  <c r="K382" i="1"/>
  <c r="K138" i="1"/>
  <c r="K139" i="1"/>
  <c r="K495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322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449" i="1"/>
  <c r="K257" i="1"/>
  <c r="K258" i="1"/>
  <c r="K259" i="1"/>
  <c r="K260" i="1"/>
  <c r="K261" i="1"/>
  <c r="K262" i="1"/>
  <c r="K263" i="1"/>
  <c r="K325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132" i="1"/>
  <c r="K285" i="1"/>
  <c r="K286" i="1"/>
  <c r="K287" i="1"/>
  <c r="K479" i="1"/>
  <c r="K289" i="1"/>
  <c r="K290" i="1"/>
  <c r="K291" i="1"/>
  <c r="K292" i="1"/>
  <c r="K288" i="1"/>
  <c r="K294" i="1"/>
  <c r="K295" i="1"/>
  <c r="K296" i="1"/>
  <c r="K297" i="1"/>
  <c r="K298" i="1"/>
  <c r="K299" i="1"/>
  <c r="K300" i="1"/>
  <c r="K301" i="1"/>
  <c r="K403" i="1"/>
  <c r="K303" i="1"/>
  <c r="K304" i="1"/>
  <c r="K305" i="1"/>
  <c r="K306" i="1"/>
  <c r="K211" i="1"/>
  <c r="K308" i="1"/>
  <c r="K309" i="1"/>
  <c r="K310" i="1"/>
  <c r="K311" i="1"/>
  <c r="K312" i="1"/>
  <c r="K313" i="1"/>
  <c r="K314" i="1"/>
  <c r="K315" i="1"/>
  <c r="K316" i="1"/>
  <c r="K359" i="1"/>
  <c r="K318" i="1"/>
  <c r="K6" i="1"/>
  <c r="K320" i="1"/>
  <c r="K321" i="1"/>
  <c r="K137" i="1"/>
  <c r="K117" i="1"/>
  <c r="K346" i="1"/>
  <c r="K395" i="1"/>
  <c r="K264" i="1"/>
  <c r="K327" i="1"/>
  <c r="K437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24" i="1"/>
  <c r="K347" i="1"/>
  <c r="K348" i="1"/>
  <c r="K54" i="1"/>
  <c r="K350" i="1"/>
  <c r="K351" i="1"/>
  <c r="K328" i="1"/>
  <c r="K353" i="1"/>
  <c r="K354" i="1"/>
  <c r="K355" i="1"/>
  <c r="K356" i="1"/>
  <c r="K357" i="1"/>
  <c r="K358" i="1"/>
  <c r="K364" i="1"/>
  <c r="K360" i="1"/>
  <c r="K361" i="1"/>
  <c r="K362" i="1"/>
  <c r="K363" i="1"/>
  <c r="K352" i="1"/>
  <c r="K365" i="1"/>
  <c r="K366" i="1"/>
  <c r="K367" i="1"/>
  <c r="K368" i="1"/>
  <c r="K369" i="1"/>
  <c r="K370" i="1"/>
  <c r="K381" i="1"/>
  <c r="K372" i="1"/>
  <c r="K373" i="1"/>
  <c r="K374" i="1"/>
  <c r="K375" i="1"/>
  <c r="K376" i="1"/>
  <c r="K377" i="1"/>
  <c r="K378" i="1"/>
  <c r="K379" i="1"/>
  <c r="K380" i="1"/>
  <c r="K323" i="1"/>
  <c r="K37" i="1"/>
  <c r="K120" i="1"/>
  <c r="K384" i="1"/>
  <c r="K385" i="1"/>
  <c r="K386" i="1"/>
  <c r="K387" i="1"/>
  <c r="K388" i="1"/>
  <c r="K389" i="1"/>
  <c r="K390" i="1"/>
  <c r="K391" i="1"/>
  <c r="K392" i="1"/>
  <c r="K393" i="1"/>
  <c r="K394" i="1"/>
  <c r="K77" i="1"/>
  <c r="K396" i="1"/>
  <c r="K397" i="1"/>
  <c r="K398" i="1"/>
  <c r="K399" i="1"/>
  <c r="K400" i="1"/>
  <c r="K401" i="1"/>
  <c r="K402" i="1"/>
  <c r="K326" i="1"/>
  <c r="K404" i="1"/>
  <c r="K33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319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317" i="1"/>
  <c r="K438" i="1"/>
  <c r="K439" i="1"/>
  <c r="K440" i="1"/>
  <c r="K441" i="1"/>
  <c r="K442" i="1"/>
  <c r="K443" i="1"/>
  <c r="K444" i="1"/>
  <c r="K445" i="1"/>
  <c r="K446" i="1"/>
  <c r="K447" i="1"/>
  <c r="K448" i="1"/>
  <c r="K307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284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134" i="1"/>
  <c r="K496" i="1"/>
  <c r="K497" i="1"/>
  <c r="K293" i="1"/>
  <c r="K140" i="1"/>
  <c r="K500" i="1"/>
  <c r="K501" i="1"/>
  <c r="K502" i="1"/>
  <c r="K503" i="1"/>
  <c r="K504" i="1"/>
  <c r="K302" i="1"/>
  <c r="K506" i="1"/>
  <c r="K507" i="1"/>
  <c r="K256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36" i="1"/>
  <c r="K524" i="1"/>
  <c r="K525" i="1"/>
  <c r="K526" i="1"/>
  <c r="K527" i="1"/>
  <c r="K9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3" i="1"/>
  <c r="K862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2" i="1"/>
  <c r="K921" i="1"/>
  <c r="K923" i="1"/>
  <c r="K924" i="1"/>
  <c r="K925" i="1"/>
  <c r="K927" i="1"/>
  <c r="K926" i="1"/>
  <c r="K929" i="1"/>
  <c r="K930" i="1"/>
  <c r="K928" i="1"/>
  <c r="K931" i="1"/>
  <c r="K933" i="1"/>
  <c r="K932" i="1"/>
  <c r="K934" i="1"/>
  <c r="K935" i="1"/>
  <c r="K936" i="1"/>
  <c r="K937" i="1"/>
  <c r="K938" i="1"/>
  <c r="K939" i="1"/>
  <c r="K940" i="1"/>
  <c r="K942" i="1"/>
  <c r="K941" i="1"/>
  <c r="K943" i="1"/>
  <c r="K944" i="1"/>
  <c r="K945" i="1"/>
  <c r="K947" i="1"/>
  <c r="K946" i="1"/>
  <c r="K948" i="1"/>
  <c r="K949" i="1"/>
  <c r="K954" i="1"/>
  <c r="K953" i="1"/>
  <c r="K951" i="1"/>
  <c r="K952" i="1"/>
  <c r="K950" i="1"/>
  <c r="K955" i="1"/>
  <c r="K956" i="1"/>
  <c r="K957" i="1"/>
  <c r="K958" i="1"/>
  <c r="K961" i="1"/>
  <c r="K960" i="1"/>
  <c r="K959" i="1"/>
  <c r="K965" i="1"/>
  <c r="K964" i="1"/>
  <c r="K963" i="1"/>
  <c r="K966" i="1"/>
  <c r="K962" i="1"/>
  <c r="K967" i="1"/>
  <c r="K968" i="1"/>
  <c r="K969" i="1"/>
  <c r="K973" i="1"/>
  <c r="K972" i="1"/>
  <c r="K970" i="1"/>
  <c r="K971" i="1"/>
  <c r="K976" i="1"/>
  <c r="K975" i="1"/>
  <c r="K974" i="1"/>
  <c r="K978" i="1"/>
  <c r="K977" i="1"/>
  <c r="K980" i="1"/>
  <c r="K979" i="1"/>
  <c r="K981" i="1"/>
  <c r="K983" i="1"/>
  <c r="K982" i="1"/>
  <c r="K985" i="1"/>
  <c r="K984" i="1"/>
  <c r="K987" i="1"/>
  <c r="K986" i="1"/>
  <c r="K988" i="1"/>
  <c r="J2" i="1"/>
  <c r="J3" i="1"/>
  <c r="J4" i="1"/>
  <c r="J5" i="1"/>
  <c r="J349" i="1"/>
  <c r="J7" i="1"/>
  <c r="J8" i="1"/>
  <c r="J505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508" i="1"/>
  <c r="J34" i="1"/>
  <c r="J35" i="1"/>
  <c r="J41" i="1"/>
  <c r="J528" i="1"/>
  <c r="J38" i="1"/>
  <c r="J39" i="1"/>
  <c r="J40" i="1"/>
  <c r="J371" i="1"/>
  <c r="J42" i="1"/>
  <c r="J43" i="1"/>
  <c r="J44" i="1"/>
  <c r="J45" i="1"/>
  <c r="J46" i="1"/>
  <c r="J47" i="1"/>
  <c r="J48" i="1"/>
  <c r="J49" i="1"/>
  <c r="J50" i="1"/>
  <c r="J51" i="1"/>
  <c r="J52" i="1"/>
  <c r="J53" i="1"/>
  <c r="J523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499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405" i="1"/>
  <c r="J118" i="1"/>
  <c r="J119" i="1"/>
  <c r="J383" i="1"/>
  <c r="J121" i="1"/>
  <c r="J122" i="1"/>
  <c r="J123" i="1"/>
  <c r="J124" i="1"/>
  <c r="J125" i="1"/>
  <c r="J126" i="1"/>
  <c r="J127" i="1"/>
  <c r="J128" i="1"/>
  <c r="J129" i="1"/>
  <c r="J130" i="1"/>
  <c r="J131" i="1"/>
  <c r="J498" i="1"/>
  <c r="J133" i="1"/>
  <c r="J418" i="1"/>
  <c r="J135" i="1"/>
  <c r="J136" i="1"/>
  <c r="J382" i="1"/>
  <c r="J138" i="1"/>
  <c r="J139" i="1"/>
  <c r="J495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322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449" i="1"/>
  <c r="J257" i="1"/>
  <c r="J258" i="1"/>
  <c r="J259" i="1"/>
  <c r="J260" i="1"/>
  <c r="J261" i="1"/>
  <c r="J262" i="1"/>
  <c r="J263" i="1"/>
  <c r="J325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132" i="1"/>
  <c r="J285" i="1"/>
  <c r="J286" i="1"/>
  <c r="J287" i="1"/>
  <c r="J479" i="1"/>
  <c r="J289" i="1"/>
  <c r="J290" i="1"/>
  <c r="J291" i="1"/>
  <c r="J292" i="1"/>
  <c r="J288" i="1"/>
  <c r="J294" i="1"/>
  <c r="J295" i="1"/>
  <c r="J296" i="1"/>
  <c r="J297" i="1"/>
  <c r="J298" i="1"/>
  <c r="J299" i="1"/>
  <c r="J300" i="1"/>
  <c r="J301" i="1"/>
  <c r="J403" i="1"/>
  <c r="J303" i="1"/>
  <c r="J304" i="1"/>
  <c r="J305" i="1"/>
  <c r="J306" i="1"/>
  <c r="J211" i="1"/>
  <c r="J308" i="1"/>
  <c r="J309" i="1"/>
  <c r="J310" i="1"/>
  <c r="J311" i="1"/>
  <c r="J312" i="1"/>
  <c r="J313" i="1"/>
  <c r="J314" i="1"/>
  <c r="J315" i="1"/>
  <c r="J316" i="1"/>
  <c r="J359" i="1"/>
  <c r="J318" i="1"/>
  <c r="J6" i="1"/>
  <c r="J320" i="1"/>
  <c r="J321" i="1"/>
  <c r="J137" i="1"/>
  <c r="J117" i="1"/>
  <c r="J346" i="1"/>
  <c r="J395" i="1"/>
  <c r="J264" i="1"/>
  <c r="J327" i="1"/>
  <c r="J437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24" i="1"/>
  <c r="J347" i="1"/>
  <c r="J348" i="1"/>
  <c r="J54" i="1"/>
  <c r="J350" i="1"/>
  <c r="J351" i="1"/>
  <c r="J328" i="1"/>
  <c r="J353" i="1"/>
  <c r="J354" i="1"/>
  <c r="J355" i="1"/>
  <c r="J356" i="1"/>
  <c r="J357" i="1"/>
  <c r="J358" i="1"/>
  <c r="J364" i="1"/>
  <c r="J360" i="1"/>
  <c r="J361" i="1"/>
  <c r="J362" i="1"/>
  <c r="J363" i="1"/>
  <c r="J352" i="1"/>
  <c r="J365" i="1"/>
  <c r="J366" i="1"/>
  <c r="J367" i="1"/>
  <c r="J368" i="1"/>
  <c r="J369" i="1"/>
  <c r="J370" i="1"/>
  <c r="J381" i="1"/>
  <c r="J372" i="1"/>
  <c r="J373" i="1"/>
  <c r="J374" i="1"/>
  <c r="J375" i="1"/>
  <c r="J376" i="1"/>
  <c r="J377" i="1"/>
  <c r="J378" i="1"/>
  <c r="J379" i="1"/>
  <c r="J380" i="1"/>
  <c r="J323" i="1"/>
  <c r="J37" i="1"/>
  <c r="J120" i="1"/>
  <c r="J384" i="1"/>
  <c r="J385" i="1"/>
  <c r="J386" i="1"/>
  <c r="J387" i="1"/>
  <c r="J388" i="1"/>
  <c r="J389" i="1"/>
  <c r="J390" i="1"/>
  <c r="J391" i="1"/>
  <c r="J392" i="1"/>
  <c r="J393" i="1"/>
  <c r="J394" i="1"/>
  <c r="J77" i="1"/>
  <c r="J396" i="1"/>
  <c r="J397" i="1"/>
  <c r="J398" i="1"/>
  <c r="J399" i="1"/>
  <c r="J400" i="1"/>
  <c r="J401" i="1"/>
  <c r="J402" i="1"/>
  <c r="J326" i="1"/>
  <c r="J404" i="1"/>
  <c r="J33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319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317" i="1"/>
  <c r="J438" i="1"/>
  <c r="J439" i="1"/>
  <c r="J440" i="1"/>
  <c r="J441" i="1"/>
  <c r="J442" i="1"/>
  <c r="J443" i="1"/>
  <c r="J444" i="1"/>
  <c r="J445" i="1"/>
  <c r="J446" i="1"/>
  <c r="J447" i="1"/>
  <c r="J448" i="1"/>
  <c r="J307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284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134" i="1"/>
  <c r="J496" i="1"/>
  <c r="J497" i="1"/>
  <c r="J293" i="1"/>
  <c r="J140" i="1"/>
  <c r="J500" i="1"/>
  <c r="J501" i="1"/>
  <c r="J502" i="1"/>
  <c r="J503" i="1"/>
  <c r="J504" i="1"/>
  <c r="J302" i="1"/>
  <c r="J506" i="1"/>
  <c r="J507" i="1"/>
  <c r="J256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36" i="1"/>
  <c r="J524" i="1"/>
  <c r="J525" i="1"/>
  <c r="J526" i="1"/>
  <c r="J527" i="1"/>
  <c r="J9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3" i="1"/>
  <c r="J862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2" i="1"/>
  <c r="J921" i="1"/>
  <c r="J923" i="1"/>
  <c r="J924" i="1"/>
  <c r="J925" i="1"/>
  <c r="J927" i="1"/>
  <c r="J926" i="1"/>
  <c r="J929" i="1"/>
  <c r="J930" i="1"/>
  <c r="J928" i="1"/>
  <c r="J931" i="1"/>
  <c r="J933" i="1"/>
  <c r="J932" i="1"/>
  <c r="J934" i="1"/>
  <c r="J935" i="1"/>
  <c r="J936" i="1"/>
  <c r="J937" i="1"/>
  <c r="J938" i="1"/>
  <c r="J939" i="1"/>
  <c r="J940" i="1"/>
  <c r="J942" i="1"/>
  <c r="J941" i="1"/>
  <c r="J943" i="1"/>
  <c r="J944" i="1"/>
  <c r="J945" i="1"/>
  <c r="J947" i="1"/>
  <c r="J946" i="1"/>
  <c r="J948" i="1"/>
  <c r="J949" i="1"/>
  <c r="J954" i="1"/>
  <c r="J953" i="1"/>
  <c r="J951" i="1"/>
  <c r="J952" i="1"/>
  <c r="J950" i="1"/>
  <c r="J955" i="1"/>
  <c r="J956" i="1"/>
  <c r="J957" i="1"/>
  <c r="J958" i="1"/>
  <c r="J961" i="1"/>
  <c r="J960" i="1"/>
  <c r="J959" i="1"/>
  <c r="J965" i="1"/>
  <c r="J964" i="1"/>
  <c r="J963" i="1"/>
  <c r="J966" i="1"/>
  <c r="J962" i="1"/>
  <c r="J967" i="1"/>
  <c r="J968" i="1"/>
  <c r="J969" i="1"/>
  <c r="J973" i="1"/>
  <c r="J972" i="1"/>
  <c r="J970" i="1"/>
  <c r="J971" i="1"/>
  <c r="J976" i="1"/>
  <c r="J975" i="1"/>
  <c r="J974" i="1"/>
  <c r="J978" i="1"/>
  <c r="J977" i="1"/>
  <c r="J980" i="1"/>
  <c r="J979" i="1"/>
  <c r="J981" i="1"/>
  <c r="J983" i="1"/>
  <c r="J982" i="1"/>
  <c r="J985" i="1"/>
  <c r="J984" i="1"/>
  <c r="J987" i="1"/>
  <c r="J986" i="1"/>
  <c r="J988" i="1"/>
  <c r="I2" i="1"/>
  <c r="I3" i="1"/>
  <c r="I4" i="1"/>
  <c r="I5" i="1"/>
  <c r="I349" i="1"/>
  <c r="I7" i="1"/>
  <c r="I8" i="1"/>
  <c r="I505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508" i="1"/>
  <c r="I34" i="1"/>
  <c r="I35" i="1"/>
  <c r="I41" i="1"/>
  <c r="I528" i="1"/>
  <c r="I38" i="1"/>
  <c r="I39" i="1"/>
  <c r="I40" i="1"/>
  <c r="I371" i="1"/>
  <c r="I42" i="1"/>
  <c r="I43" i="1"/>
  <c r="I44" i="1"/>
  <c r="I45" i="1"/>
  <c r="I46" i="1"/>
  <c r="I47" i="1"/>
  <c r="I48" i="1"/>
  <c r="I49" i="1"/>
  <c r="I50" i="1"/>
  <c r="I51" i="1"/>
  <c r="I52" i="1"/>
  <c r="I53" i="1"/>
  <c r="I523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499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405" i="1"/>
  <c r="I118" i="1"/>
  <c r="I119" i="1"/>
  <c r="I383" i="1"/>
  <c r="I121" i="1"/>
  <c r="I122" i="1"/>
  <c r="I123" i="1"/>
  <c r="I124" i="1"/>
  <c r="I125" i="1"/>
  <c r="I126" i="1"/>
  <c r="I127" i="1"/>
  <c r="I128" i="1"/>
  <c r="I129" i="1"/>
  <c r="I130" i="1"/>
  <c r="I131" i="1"/>
  <c r="I498" i="1"/>
  <c r="I133" i="1"/>
  <c r="I418" i="1"/>
  <c r="I135" i="1"/>
  <c r="I136" i="1"/>
  <c r="I382" i="1"/>
  <c r="I138" i="1"/>
  <c r="I139" i="1"/>
  <c r="I495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322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449" i="1"/>
  <c r="I257" i="1"/>
  <c r="I258" i="1"/>
  <c r="I259" i="1"/>
  <c r="I260" i="1"/>
  <c r="I261" i="1"/>
  <c r="I262" i="1"/>
  <c r="I263" i="1"/>
  <c r="I325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132" i="1"/>
  <c r="I285" i="1"/>
  <c r="I286" i="1"/>
  <c r="I287" i="1"/>
  <c r="I479" i="1"/>
  <c r="I289" i="1"/>
  <c r="I290" i="1"/>
  <c r="I291" i="1"/>
  <c r="I292" i="1"/>
  <c r="I288" i="1"/>
  <c r="I294" i="1"/>
  <c r="I295" i="1"/>
  <c r="I296" i="1"/>
  <c r="I297" i="1"/>
  <c r="I298" i="1"/>
  <c r="I299" i="1"/>
  <c r="I300" i="1"/>
  <c r="I301" i="1"/>
  <c r="I403" i="1"/>
  <c r="I303" i="1"/>
  <c r="I304" i="1"/>
  <c r="I305" i="1"/>
  <c r="I306" i="1"/>
  <c r="I211" i="1"/>
  <c r="I308" i="1"/>
  <c r="I309" i="1"/>
  <c r="I310" i="1"/>
  <c r="I311" i="1"/>
  <c r="I312" i="1"/>
  <c r="I313" i="1"/>
  <c r="I314" i="1"/>
  <c r="I315" i="1"/>
  <c r="I316" i="1"/>
  <c r="I359" i="1"/>
  <c r="I318" i="1"/>
  <c r="I6" i="1"/>
  <c r="I320" i="1"/>
  <c r="I321" i="1"/>
  <c r="I137" i="1"/>
  <c r="I117" i="1"/>
  <c r="I346" i="1"/>
  <c r="I395" i="1"/>
  <c r="I264" i="1"/>
  <c r="I327" i="1"/>
  <c r="I437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24" i="1"/>
  <c r="I347" i="1"/>
  <c r="I348" i="1"/>
  <c r="I54" i="1"/>
  <c r="I350" i="1"/>
  <c r="I351" i="1"/>
  <c r="I328" i="1"/>
  <c r="I353" i="1"/>
  <c r="I354" i="1"/>
  <c r="I355" i="1"/>
  <c r="I356" i="1"/>
  <c r="I357" i="1"/>
  <c r="I358" i="1"/>
  <c r="I364" i="1"/>
  <c r="I360" i="1"/>
  <c r="I361" i="1"/>
  <c r="I362" i="1"/>
  <c r="I363" i="1"/>
  <c r="I352" i="1"/>
  <c r="I365" i="1"/>
  <c r="I366" i="1"/>
  <c r="I367" i="1"/>
  <c r="I368" i="1"/>
  <c r="I369" i="1"/>
  <c r="I370" i="1"/>
  <c r="I381" i="1"/>
  <c r="I372" i="1"/>
  <c r="I373" i="1"/>
  <c r="I374" i="1"/>
  <c r="I375" i="1"/>
  <c r="I376" i="1"/>
  <c r="I377" i="1"/>
  <c r="I378" i="1"/>
  <c r="I379" i="1"/>
  <c r="I380" i="1"/>
  <c r="I323" i="1"/>
  <c r="I37" i="1"/>
  <c r="I120" i="1"/>
  <c r="I384" i="1"/>
  <c r="I385" i="1"/>
  <c r="I386" i="1"/>
  <c r="I387" i="1"/>
  <c r="I388" i="1"/>
  <c r="I389" i="1"/>
  <c r="I390" i="1"/>
  <c r="I391" i="1"/>
  <c r="I392" i="1"/>
  <c r="I393" i="1"/>
  <c r="I394" i="1"/>
  <c r="I77" i="1"/>
  <c r="I396" i="1"/>
  <c r="I397" i="1"/>
  <c r="I398" i="1"/>
  <c r="I399" i="1"/>
  <c r="I400" i="1"/>
  <c r="I401" i="1"/>
  <c r="I402" i="1"/>
  <c r="I326" i="1"/>
  <c r="I404" i="1"/>
  <c r="I33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319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317" i="1"/>
  <c r="I438" i="1"/>
  <c r="I439" i="1"/>
  <c r="I440" i="1"/>
  <c r="I441" i="1"/>
  <c r="I442" i="1"/>
  <c r="I443" i="1"/>
  <c r="I444" i="1"/>
  <c r="I445" i="1"/>
  <c r="I446" i="1"/>
  <c r="I447" i="1"/>
  <c r="I448" i="1"/>
  <c r="I307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284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134" i="1"/>
  <c r="I496" i="1"/>
  <c r="I497" i="1"/>
  <c r="I293" i="1"/>
  <c r="I140" i="1"/>
  <c r="I500" i="1"/>
  <c r="I501" i="1"/>
  <c r="I502" i="1"/>
  <c r="I503" i="1"/>
  <c r="I504" i="1"/>
  <c r="I302" i="1"/>
  <c r="I506" i="1"/>
  <c r="I507" i="1"/>
  <c r="I256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36" i="1"/>
  <c r="I524" i="1"/>
  <c r="I525" i="1"/>
  <c r="I526" i="1"/>
  <c r="I527" i="1"/>
  <c r="I9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3" i="1"/>
  <c r="I862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2" i="1"/>
  <c r="I921" i="1"/>
  <c r="I923" i="1"/>
  <c r="I924" i="1"/>
  <c r="I925" i="1"/>
  <c r="I927" i="1"/>
  <c r="I926" i="1"/>
  <c r="I929" i="1"/>
  <c r="I930" i="1"/>
  <c r="I928" i="1"/>
  <c r="I931" i="1"/>
  <c r="I933" i="1"/>
  <c r="I932" i="1"/>
  <c r="I934" i="1"/>
  <c r="I935" i="1"/>
  <c r="I936" i="1"/>
  <c r="I937" i="1"/>
  <c r="I938" i="1"/>
  <c r="I939" i="1"/>
  <c r="I940" i="1"/>
  <c r="I942" i="1"/>
  <c r="I941" i="1"/>
  <c r="I943" i="1"/>
  <c r="I944" i="1"/>
  <c r="I945" i="1"/>
  <c r="I947" i="1"/>
  <c r="I946" i="1"/>
  <c r="I948" i="1"/>
  <c r="I949" i="1"/>
  <c r="I954" i="1"/>
  <c r="I953" i="1"/>
  <c r="I951" i="1"/>
  <c r="I952" i="1"/>
  <c r="I950" i="1"/>
  <c r="I955" i="1"/>
  <c r="I956" i="1"/>
  <c r="I957" i="1"/>
  <c r="I958" i="1"/>
  <c r="I961" i="1"/>
  <c r="I960" i="1"/>
  <c r="I959" i="1"/>
  <c r="I965" i="1"/>
  <c r="I964" i="1"/>
  <c r="I963" i="1"/>
  <c r="I966" i="1"/>
  <c r="I962" i="1"/>
  <c r="I967" i="1"/>
  <c r="I968" i="1"/>
  <c r="I969" i="1"/>
  <c r="I973" i="1"/>
  <c r="I972" i="1"/>
  <c r="I970" i="1"/>
  <c r="I971" i="1"/>
  <c r="I976" i="1"/>
  <c r="I975" i="1"/>
  <c r="I974" i="1"/>
  <c r="I978" i="1"/>
  <c r="I977" i="1"/>
  <c r="I980" i="1"/>
  <c r="I979" i="1"/>
  <c r="I981" i="1"/>
  <c r="I983" i="1"/>
  <c r="I982" i="1"/>
  <c r="I985" i="1"/>
  <c r="I984" i="1"/>
  <c r="I987" i="1"/>
  <c r="I986" i="1"/>
  <c r="I988" i="1"/>
  <c r="H2" i="1"/>
  <c r="H3" i="1"/>
  <c r="H4" i="1"/>
  <c r="H5" i="1"/>
  <c r="H349" i="1"/>
  <c r="H7" i="1"/>
  <c r="H8" i="1"/>
  <c r="H505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508" i="1"/>
  <c r="H34" i="1"/>
  <c r="H35" i="1"/>
  <c r="H41" i="1"/>
  <c r="H528" i="1"/>
  <c r="H38" i="1"/>
  <c r="H39" i="1"/>
  <c r="H40" i="1"/>
  <c r="H371" i="1"/>
  <c r="H42" i="1"/>
  <c r="H43" i="1"/>
  <c r="H44" i="1"/>
  <c r="H45" i="1"/>
  <c r="H46" i="1"/>
  <c r="H47" i="1"/>
  <c r="H48" i="1"/>
  <c r="H49" i="1"/>
  <c r="H50" i="1"/>
  <c r="H51" i="1"/>
  <c r="H52" i="1"/>
  <c r="H53" i="1"/>
  <c r="H52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499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405" i="1"/>
  <c r="H118" i="1"/>
  <c r="H119" i="1"/>
  <c r="H383" i="1"/>
  <c r="H121" i="1"/>
  <c r="H122" i="1"/>
  <c r="H123" i="1"/>
  <c r="H124" i="1"/>
  <c r="H125" i="1"/>
  <c r="H126" i="1"/>
  <c r="H127" i="1"/>
  <c r="H128" i="1"/>
  <c r="H129" i="1"/>
  <c r="H130" i="1"/>
  <c r="H131" i="1"/>
  <c r="H498" i="1"/>
  <c r="H133" i="1"/>
  <c r="H418" i="1"/>
  <c r="H135" i="1"/>
  <c r="H136" i="1"/>
  <c r="H382" i="1"/>
  <c r="H138" i="1"/>
  <c r="H139" i="1"/>
  <c r="H495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322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449" i="1"/>
  <c r="H257" i="1"/>
  <c r="H258" i="1"/>
  <c r="H259" i="1"/>
  <c r="H260" i="1"/>
  <c r="H261" i="1"/>
  <c r="H262" i="1"/>
  <c r="H263" i="1"/>
  <c r="H325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132" i="1"/>
  <c r="H285" i="1"/>
  <c r="H286" i="1"/>
  <c r="H287" i="1"/>
  <c r="H479" i="1"/>
  <c r="H289" i="1"/>
  <c r="H290" i="1"/>
  <c r="H291" i="1"/>
  <c r="H292" i="1"/>
  <c r="H288" i="1"/>
  <c r="H294" i="1"/>
  <c r="H295" i="1"/>
  <c r="H296" i="1"/>
  <c r="H297" i="1"/>
  <c r="H298" i="1"/>
  <c r="H299" i="1"/>
  <c r="H300" i="1"/>
  <c r="H301" i="1"/>
  <c r="H403" i="1"/>
  <c r="H303" i="1"/>
  <c r="H304" i="1"/>
  <c r="H305" i="1"/>
  <c r="H306" i="1"/>
  <c r="H211" i="1"/>
  <c r="H308" i="1"/>
  <c r="H309" i="1"/>
  <c r="H310" i="1"/>
  <c r="H311" i="1"/>
  <c r="H312" i="1"/>
  <c r="H313" i="1"/>
  <c r="H314" i="1"/>
  <c r="H315" i="1"/>
  <c r="H316" i="1"/>
  <c r="H359" i="1"/>
  <c r="H318" i="1"/>
  <c r="H6" i="1"/>
  <c r="H320" i="1"/>
  <c r="H321" i="1"/>
  <c r="H137" i="1"/>
  <c r="H117" i="1"/>
  <c r="H346" i="1"/>
  <c r="H395" i="1"/>
  <c r="H264" i="1"/>
  <c r="H327" i="1"/>
  <c r="H437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24" i="1"/>
  <c r="H347" i="1"/>
  <c r="H348" i="1"/>
  <c r="H54" i="1"/>
  <c r="H350" i="1"/>
  <c r="H351" i="1"/>
  <c r="H328" i="1"/>
  <c r="H353" i="1"/>
  <c r="H354" i="1"/>
  <c r="H355" i="1"/>
  <c r="H356" i="1"/>
  <c r="H357" i="1"/>
  <c r="H358" i="1"/>
  <c r="H364" i="1"/>
  <c r="H360" i="1"/>
  <c r="H361" i="1"/>
  <c r="H362" i="1"/>
  <c r="H363" i="1"/>
  <c r="H352" i="1"/>
  <c r="H365" i="1"/>
  <c r="H366" i="1"/>
  <c r="H367" i="1"/>
  <c r="H368" i="1"/>
  <c r="H369" i="1"/>
  <c r="H370" i="1"/>
  <c r="H381" i="1"/>
  <c r="H372" i="1"/>
  <c r="H373" i="1"/>
  <c r="H374" i="1"/>
  <c r="H375" i="1"/>
  <c r="H376" i="1"/>
  <c r="H377" i="1"/>
  <c r="H378" i="1"/>
  <c r="H379" i="1"/>
  <c r="H380" i="1"/>
  <c r="H323" i="1"/>
  <c r="H37" i="1"/>
  <c r="H120" i="1"/>
  <c r="H384" i="1"/>
  <c r="H385" i="1"/>
  <c r="H386" i="1"/>
  <c r="H387" i="1"/>
  <c r="H388" i="1"/>
  <c r="H389" i="1"/>
  <c r="H390" i="1"/>
  <c r="H391" i="1"/>
  <c r="H392" i="1"/>
  <c r="H393" i="1"/>
  <c r="H394" i="1"/>
  <c r="H77" i="1"/>
  <c r="H396" i="1"/>
  <c r="H397" i="1"/>
  <c r="H398" i="1"/>
  <c r="H399" i="1"/>
  <c r="H400" i="1"/>
  <c r="H401" i="1"/>
  <c r="H402" i="1"/>
  <c r="H326" i="1"/>
  <c r="H404" i="1"/>
  <c r="H33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319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317" i="1"/>
  <c r="H438" i="1"/>
  <c r="H439" i="1"/>
  <c r="H440" i="1"/>
  <c r="H441" i="1"/>
  <c r="H442" i="1"/>
  <c r="H443" i="1"/>
  <c r="H444" i="1"/>
  <c r="H445" i="1"/>
  <c r="H446" i="1"/>
  <c r="H447" i="1"/>
  <c r="H448" i="1"/>
  <c r="H307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284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134" i="1"/>
  <c r="H496" i="1"/>
  <c r="H497" i="1"/>
  <c r="H293" i="1"/>
  <c r="H140" i="1"/>
  <c r="H500" i="1"/>
  <c r="H501" i="1"/>
  <c r="H502" i="1"/>
  <c r="H503" i="1"/>
  <c r="H504" i="1"/>
  <c r="H302" i="1"/>
  <c r="H506" i="1"/>
  <c r="H507" i="1"/>
  <c r="H256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36" i="1"/>
  <c r="H524" i="1"/>
  <c r="H525" i="1"/>
  <c r="H526" i="1"/>
  <c r="H527" i="1"/>
  <c r="H9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3" i="1"/>
  <c r="H862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2" i="1"/>
  <c r="H921" i="1"/>
  <c r="H923" i="1"/>
  <c r="H924" i="1"/>
  <c r="H925" i="1"/>
  <c r="H927" i="1"/>
  <c r="H926" i="1"/>
  <c r="H929" i="1"/>
  <c r="H930" i="1"/>
  <c r="H928" i="1"/>
  <c r="H931" i="1"/>
  <c r="H933" i="1"/>
  <c r="H932" i="1"/>
  <c r="H934" i="1"/>
  <c r="H935" i="1"/>
  <c r="H936" i="1"/>
  <c r="H937" i="1"/>
  <c r="H938" i="1"/>
  <c r="H939" i="1"/>
  <c r="H940" i="1"/>
  <c r="H942" i="1"/>
  <c r="H941" i="1"/>
  <c r="H943" i="1"/>
  <c r="H944" i="1"/>
  <c r="H945" i="1"/>
  <c r="H947" i="1"/>
  <c r="H946" i="1"/>
  <c r="H948" i="1"/>
  <c r="H949" i="1"/>
  <c r="H954" i="1"/>
  <c r="H953" i="1"/>
  <c r="H951" i="1"/>
  <c r="H952" i="1"/>
  <c r="H950" i="1"/>
  <c r="H955" i="1"/>
  <c r="H956" i="1"/>
  <c r="H957" i="1"/>
  <c r="H958" i="1"/>
  <c r="H961" i="1"/>
  <c r="H960" i="1"/>
  <c r="H959" i="1"/>
  <c r="H965" i="1"/>
  <c r="H964" i="1"/>
  <c r="H963" i="1"/>
  <c r="H966" i="1"/>
  <c r="H962" i="1"/>
  <c r="H967" i="1"/>
  <c r="H968" i="1"/>
  <c r="H969" i="1"/>
  <c r="H973" i="1"/>
  <c r="H972" i="1"/>
  <c r="H970" i="1"/>
  <c r="H971" i="1"/>
  <c r="H976" i="1"/>
  <c r="H975" i="1"/>
  <c r="H974" i="1"/>
  <c r="H978" i="1"/>
  <c r="H977" i="1"/>
  <c r="H980" i="1"/>
  <c r="H979" i="1"/>
  <c r="H981" i="1"/>
  <c r="H983" i="1"/>
  <c r="H982" i="1"/>
  <c r="H985" i="1"/>
  <c r="H984" i="1"/>
  <c r="H987" i="1"/>
  <c r="H986" i="1"/>
  <c r="H988" i="1"/>
  <c r="G2" i="1"/>
  <c r="G3" i="1"/>
  <c r="G4" i="1"/>
  <c r="G5" i="1"/>
  <c r="G349" i="1"/>
  <c r="G7" i="1"/>
  <c r="G8" i="1"/>
  <c r="G505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508" i="1"/>
  <c r="G34" i="1"/>
  <c r="G35" i="1"/>
  <c r="G41" i="1"/>
  <c r="G528" i="1"/>
  <c r="G38" i="1"/>
  <c r="G39" i="1"/>
  <c r="G40" i="1"/>
  <c r="G371" i="1"/>
  <c r="G42" i="1"/>
  <c r="G43" i="1"/>
  <c r="G44" i="1"/>
  <c r="G45" i="1"/>
  <c r="G46" i="1"/>
  <c r="G47" i="1"/>
  <c r="G48" i="1"/>
  <c r="G49" i="1"/>
  <c r="G50" i="1"/>
  <c r="G51" i="1"/>
  <c r="G52" i="1"/>
  <c r="G53" i="1"/>
  <c r="G523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499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405" i="1"/>
  <c r="G118" i="1"/>
  <c r="G119" i="1"/>
  <c r="G383" i="1"/>
  <c r="G121" i="1"/>
  <c r="G122" i="1"/>
  <c r="G123" i="1"/>
  <c r="G124" i="1"/>
  <c r="G125" i="1"/>
  <c r="G126" i="1"/>
  <c r="G127" i="1"/>
  <c r="G128" i="1"/>
  <c r="G129" i="1"/>
  <c r="G130" i="1"/>
  <c r="G131" i="1"/>
  <c r="G498" i="1"/>
  <c r="G133" i="1"/>
  <c r="G418" i="1"/>
  <c r="G135" i="1"/>
  <c r="G136" i="1"/>
  <c r="G382" i="1"/>
  <c r="G138" i="1"/>
  <c r="G139" i="1"/>
  <c r="G495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322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449" i="1"/>
  <c r="G257" i="1"/>
  <c r="G258" i="1"/>
  <c r="G259" i="1"/>
  <c r="G260" i="1"/>
  <c r="G261" i="1"/>
  <c r="G262" i="1"/>
  <c r="G263" i="1"/>
  <c r="G325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132" i="1"/>
  <c r="G285" i="1"/>
  <c r="G286" i="1"/>
  <c r="G287" i="1"/>
  <c r="G479" i="1"/>
  <c r="G289" i="1"/>
  <c r="G290" i="1"/>
  <c r="G291" i="1"/>
  <c r="G292" i="1"/>
  <c r="G288" i="1"/>
  <c r="G294" i="1"/>
  <c r="G295" i="1"/>
  <c r="G296" i="1"/>
  <c r="G297" i="1"/>
  <c r="G298" i="1"/>
  <c r="G299" i="1"/>
  <c r="G300" i="1"/>
  <c r="G301" i="1"/>
  <c r="G403" i="1"/>
  <c r="G303" i="1"/>
  <c r="G304" i="1"/>
  <c r="G305" i="1"/>
  <c r="G306" i="1"/>
  <c r="G211" i="1"/>
  <c r="G308" i="1"/>
  <c r="G309" i="1"/>
  <c r="G310" i="1"/>
  <c r="G311" i="1"/>
  <c r="G312" i="1"/>
  <c r="G313" i="1"/>
  <c r="G314" i="1"/>
  <c r="G315" i="1"/>
  <c r="G316" i="1"/>
  <c r="G359" i="1"/>
  <c r="G318" i="1"/>
  <c r="G6" i="1"/>
  <c r="G320" i="1"/>
  <c r="G321" i="1"/>
  <c r="G137" i="1"/>
  <c r="G117" i="1"/>
  <c r="G346" i="1"/>
  <c r="G395" i="1"/>
  <c r="G264" i="1"/>
  <c r="G327" i="1"/>
  <c r="G437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24" i="1"/>
  <c r="G347" i="1"/>
  <c r="G348" i="1"/>
  <c r="G54" i="1"/>
  <c r="G350" i="1"/>
  <c r="G351" i="1"/>
  <c r="G328" i="1"/>
  <c r="G353" i="1"/>
  <c r="G354" i="1"/>
  <c r="G355" i="1"/>
  <c r="G356" i="1"/>
  <c r="G357" i="1"/>
  <c r="G358" i="1"/>
  <c r="G364" i="1"/>
  <c r="G360" i="1"/>
  <c r="G361" i="1"/>
  <c r="G362" i="1"/>
  <c r="G363" i="1"/>
  <c r="G352" i="1"/>
  <c r="G365" i="1"/>
  <c r="G366" i="1"/>
  <c r="G367" i="1"/>
  <c r="G368" i="1"/>
  <c r="G369" i="1"/>
  <c r="G370" i="1"/>
  <c r="G381" i="1"/>
  <c r="G372" i="1"/>
  <c r="G373" i="1"/>
  <c r="G374" i="1"/>
  <c r="G375" i="1"/>
  <c r="G376" i="1"/>
  <c r="G377" i="1"/>
  <c r="G378" i="1"/>
  <c r="G379" i="1"/>
  <c r="G380" i="1"/>
  <c r="G323" i="1"/>
  <c r="G37" i="1"/>
  <c r="G120" i="1"/>
  <c r="G384" i="1"/>
  <c r="G385" i="1"/>
  <c r="G386" i="1"/>
  <c r="G387" i="1"/>
  <c r="G388" i="1"/>
  <c r="G389" i="1"/>
  <c r="G390" i="1"/>
  <c r="G391" i="1"/>
  <c r="G392" i="1"/>
  <c r="G393" i="1"/>
  <c r="G394" i="1"/>
  <c r="G77" i="1"/>
  <c r="G396" i="1"/>
  <c r="G397" i="1"/>
  <c r="G398" i="1"/>
  <c r="G399" i="1"/>
  <c r="G400" i="1"/>
  <c r="G401" i="1"/>
  <c r="G402" i="1"/>
  <c r="G326" i="1"/>
  <c r="G404" i="1"/>
  <c r="G33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319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317" i="1"/>
  <c r="G438" i="1"/>
  <c r="G439" i="1"/>
  <c r="G440" i="1"/>
  <c r="G441" i="1"/>
  <c r="G442" i="1"/>
  <c r="G443" i="1"/>
  <c r="G444" i="1"/>
  <c r="G445" i="1"/>
  <c r="G446" i="1"/>
  <c r="G447" i="1"/>
  <c r="G448" i="1"/>
  <c r="G307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284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134" i="1"/>
  <c r="G496" i="1"/>
  <c r="G497" i="1"/>
  <c r="G293" i="1"/>
  <c r="G140" i="1"/>
  <c r="G500" i="1"/>
  <c r="G501" i="1"/>
  <c r="G502" i="1"/>
  <c r="G503" i="1"/>
  <c r="G504" i="1"/>
  <c r="G302" i="1"/>
  <c r="G506" i="1"/>
  <c r="G507" i="1"/>
  <c r="G256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36" i="1"/>
  <c r="G524" i="1"/>
  <c r="G525" i="1"/>
  <c r="G526" i="1"/>
  <c r="G527" i="1"/>
  <c r="G9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3" i="1"/>
  <c r="G862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2" i="1"/>
  <c r="G921" i="1"/>
  <c r="G923" i="1"/>
  <c r="G924" i="1"/>
  <c r="G925" i="1"/>
  <c r="G927" i="1"/>
  <c r="G926" i="1"/>
  <c r="G929" i="1"/>
  <c r="G930" i="1"/>
  <c r="G928" i="1"/>
  <c r="G931" i="1"/>
  <c r="G933" i="1"/>
  <c r="G932" i="1"/>
  <c r="G934" i="1"/>
  <c r="G935" i="1"/>
  <c r="G936" i="1"/>
  <c r="G937" i="1"/>
  <c r="G938" i="1"/>
  <c r="G939" i="1"/>
  <c r="G940" i="1"/>
  <c r="G942" i="1"/>
  <c r="G941" i="1"/>
  <c r="G943" i="1"/>
  <c r="G944" i="1"/>
  <c r="G945" i="1"/>
  <c r="G947" i="1"/>
  <c r="G946" i="1"/>
  <c r="G948" i="1"/>
  <c r="G949" i="1"/>
  <c r="G954" i="1"/>
  <c r="G953" i="1"/>
  <c r="G951" i="1"/>
  <c r="G952" i="1"/>
  <c r="G950" i="1"/>
  <c r="G955" i="1"/>
  <c r="G956" i="1"/>
  <c r="G957" i="1"/>
  <c r="G958" i="1"/>
  <c r="G961" i="1"/>
  <c r="G960" i="1"/>
  <c r="G959" i="1"/>
  <c r="G965" i="1"/>
  <c r="G964" i="1"/>
  <c r="G963" i="1"/>
  <c r="G966" i="1"/>
  <c r="G962" i="1"/>
  <c r="G967" i="1"/>
  <c r="G968" i="1"/>
  <c r="G969" i="1"/>
  <c r="G973" i="1"/>
  <c r="G972" i="1"/>
  <c r="G970" i="1"/>
  <c r="G971" i="1"/>
  <c r="G976" i="1"/>
  <c r="G975" i="1"/>
  <c r="G974" i="1"/>
  <c r="G978" i="1"/>
  <c r="G977" i="1"/>
  <c r="G980" i="1"/>
  <c r="G979" i="1"/>
  <c r="G981" i="1"/>
  <c r="G983" i="1"/>
  <c r="G982" i="1"/>
  <c r="G985" i="1"/>
  <c r="G984" i="1"/>
  <c r="G987" i="1"/>
  <c r="G986" i="1"/>
  <c r="G988" i="1"/>
  <c r="F2" i="1"/>
  <c r="F3" i="1"/>
  <c r="F4" i="1"/>
  <c r="F5" i="1"/>
  <c r="F349" i="1"/>
  <c r="F7" i="1"/>
  <c r="F8" i="1"/>
  <c r="F505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508" i="1"/>
  <c r="F34" i="1"/>
  <c r="F35" i="1"/>
  <c r="F41" i="1"/>
  <c r="F528" i="1"/>
  <c r="F38" i="1"/>
  <c r="F39" i="1"/>
  <c r="F40" i="1"/>
  <c r="F371" i="1"/>
  <c r="F42" i="1"/>
  <c r="F43" i="1"/>
  <c r="F44" i="1"/>
  <c r="F45" i="1"/>
  <c r="F46" i="1"/>
  <c r="F47" i="1"/>
  <c r="F48" i="1"/>
  <c r="F49" i="1"/>
  <c r="F50" i="1"/>
  <c r="F51" i="1"/>
  <c r="F52" i="1"/>
  <c r="F53" i="1"/>
  <c r="F52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499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405" i="1"/>
  <c r="F118" i="1"/>
  <c r="F119" i="1"/>
  <c r="F383" i="1"/>
  <c r="F121" i="1"/>
  <c r="F122" i="1"/>
  <c r="F123" i="1"/>
  <c r="F124" i="1"/>
  <c r="F125" i="1"/>
  <c r="F126" i="1"/>
  <c r="F127" i="1"/>
  <c r="F128" i="1"/>
  <c r="F129" i="1"/>
  <c r="F130" i="1"/>
  <c r="F131" i="1"/>
  <c r="F498" i="1"/>
  <c r="F133" i="1"/>
  <c r="F418" i="1"/>
  <c r="F135" i="1"/>
  <c r="F136" i="1"/>
  <c r="F382" i="1"/>
  <c r="F138" i="1"/>
  <c r="F139" i="1"/>
  <c r="F495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322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449" i="1"/>
  <c r="F257" i="1"/>
  <c r="F258" i="1"/>
  <c r="F259" i="1"/>
  <c r="F260" i="1"/>
  <c r="F261" i="1"/>
  <c r="F262" i="1"/>
  <c r="F263" i="1"/>
  <c r="F325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132" i="1"/>
  <c r="F285" i="1"/>
  <c r="F286" i="1"/>
  <c r="F287" i="1"/>
  <c r="F479" i="1"/>
  <c r="F289" i="1"/>
  <c r="F290" i="1"/>
  <c r="F291" i="1"/>
  <c r="F292" i="1"/>
  <c r="F288" i="1"/>
  <c r="F294" i="1"/>
  <c r="F295" i="1"/>
  <c r="F296" i="1"/>
  <c r="F297" i="1"/>
  <c r="F298" i="1"/>
  <c r="F299" i="1"/>
  <c r="F300" i="1"/>
  <c r="F301" i="1"/>
  <c r="F403" i="1"/>
  <c r="F303" i="1"/>
  <c r="F304" i="1"/>
  <c r="F305" i="1"/>
  <c r="F306" i="1"/>
  <c r="F211" i="1"/>
  <c r="F308" i="1"/>
  <c r="F309" i="1"/>
  <c r="F310" i="1"/>
  <c r="F311" i="1"/>
  <c r="F312" i="1"/>
  <c r="F313" i="1"/>
  <c r="F314" i="1"/>
  <c r="F315" i="1"/>
  <c r="F316" i="1"/>
  <c r="F359" i="1"/>
  <c r="F318" i="1"/>
  <c r="F6" i="1"/>
  <c r="F320" i="1"/>
  <c r="F321" i="1"/>
  <c r="F137" i="1"/>
  <c r="F117" i="1"/>
  <c r="F346" i="1"/>
  <c r="F395" i="1"/>
  <c r="F264" i="1"/>
  <c r="F327" i="1"/>
  <c r="F437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24" i="1"/>
  <c r="F347" i="1"/>
  <c r="F348" i="1"/>
  <c r="F54" i="1"/>
  <c r="F350" i="1"/>
  <c r="F351" i="1"/>
  <c r="F328" i="1"/>
  <c r="F353" i="1"/>
  <c r="F354" i="1"/>
  <c r="F355" i="1"/>
  <c r="F356" i="1"/>
  <c r="F357" i="1"/>
  <c r="F358" i="1"/>
  <c r="F364" i="1"/>
  <c r="F360" i="1"/>
  <c r="F361" i="1"/>
  <c r="F362" i="1"/>
  <c r="F363" i="1"/>
  <c r="F352" i="1"/>
  <c r="F365" i="1"/>
  <c r="F366" i="1"/>
  <c r="F367" i="1"/>
  <c r="F368" i="1"/>
  <c r="F369" i="1"/>
  <c r="F370" i="1"/>
  <c r="F381" i="1"/>
  <c r="F372" i="1"/>
  <c r="F373" i="1"/>
  <c r="F374" i="1"/>
  <c r="F375" i="1"/>
  <c r="F376" i="1"/>
  <c r="F377" i="1"/>
  <c r="F378" i="1"/>
  <c r="F379" i="1"/>
  <c r="F380" i="1"/>
  <c r="F323" i="1"/>
  <c r="F37" i="1"/>
  <c r="F120" i="1"/>
  <c r="F384" i="1"/>
  <c r="F385" i="1"/>
  <c r="F386" i="1"/>
  <c r="F387" i="1"/>
  <c r="F388" i="1"/>
  <c r="F389" i="1"/>
  <c r="F390" i="1"/>
  <c r="F391" i="1"/>
  <c r="F392" i="1"/>
  <c r="F393" i="1"/>
  <c r="F394" i="1"/>
  <c r="F77" i="1"/>
  <c r="F396" i="1"/>
  <c r="F397" i="1"/>
  <c r="F398" i="1"/>
  <c r="F399" i="1"/>
  <c r="F400" i="1"/>
  <c r="F401" i="1"/>
  <c r="F402" i="1"/>
  <c r="F326" i="1"/>
  <c r="F404" i="1"/>
  <c r="F33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319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317" i="1"/>
  <c r="F438" i="1"/>
  <c r="F439" i="1"/>
  <c r="F440" i="1"/>
  <c r="F441" i="1"/>
  <c r="F442" i="1"/>
  <c r="F443" i="1"/>
  <c r="F444" i="1"/>
  <c r="F445" i="1"/>
  <c r="F446" i="1"/>
  <c r="F447" i="1"/>
  <c r="F448" i="1"/>
  <c r="F307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284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134" i="1"/>
  <c r="F496" i="1"/>
  <c r="F497" i="1"/>
  <c r="F293" i="1"/>
  <c r="F140" i="1"/>
  <c r="F500" i="1"/>
  <c r="F501" i="1"/>
  <c r="F502" i="1"/>
  <c r="F503" i="1"/>
  <c r="F504" i="1"/>
  <c r="F302" i="1"/>
  <c r="F506" i="1"/>
  <c r="F507" i="1"/>
  <c r="F256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36" i="1"/>
  <c r="F524" i="1"/>
  <c r="F525" i="1"/>
  <c r="F526" i="1"/>
  <c r="F527" i="1"/>
  <c r="F9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3" i="1"/>
  <c r="F862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2" i="1"/>
  <c r="F921" i="1"/>
  <c r="F923" i="1"/>
  <c r="F924" i="1"/>
  <c r="F925" i="1"/>
  <c r="F927" i="1"/>
  <c r="F926" i="1"/>
  <c r="F929" i="1"/>
  <c r="F930" i="1"/>
  <c r="F928" i="1"/>
  <c r="F931" i="1"/>
  <c r="F933" i="1"/>
  <c r="F932" i="1"/>
  <c r="F934" i="1"/>
  <c r="F935" i="1"/>
  <c r="F936" i="1"/>
  <c r="F937" i="1"/>
  <c r="F938" i="1"/>
  <c r="F939" i="1"/>
  <c r="F940" i="1"/>
  <c r="F942" i="1"/>
  <c r="F941" i="1"/>
  <c r="F943" i="1"/>
  <c r="F944" i="1"/>
  <c r="F945" i="1"/>
  <c r="F947" i="1"/>
  <c r="F946" i="1"/>
  <c r="F948" i="1"/>
  <c r="F949" i="1"/>
  <c r="F954" i="1"/>
  <c r="F953" i="1"/>
  <c r="F951" i="1"/>
  <c r="F952" i="1"/>
  <c r="F950" i="1"/>
  <c r="F955" i="1"/>
  <c r="F956" i="1"/>
  <c r="F957" i="1"/>
  <c r="F958" i="1"/>
  <c r="F961" i="1"/>
  <c r="F960" i="1"/>
  <c r="F959" i="1"/>
  <c r="F965" i="1"/>
  <c r="F964" i="1"/>
  <c r="F963" i="1"/>
  <c r="F966" i="1"/>
  <c r="F962" i="1"/>
  <c r="F967" i="1"/>
  <c r="F968" i="1"/>
  <c r="F969" i="1"/>
  <c r="F973" i="1"/>
  <c r="F972" i="1"/>
  <c r="F970" i="1"/>
  <c r="F971" i="1"/>
  <c r="F976" i="1"/>
  <c r="F975" i="1"/>
  <c r="F974" i="1"/>
  <c r="F978" i="1"/>
  <c r="F977" i="1"/>
  <c r="F980" i="1"/>
  <c r="F979" i="1"/>
  <c r="F981" i="1"/>
  <c r="F983" i="1"/>
  <c r="F982" i="1"/>
  <c r="F985" i="1"/>
  <c r="F984" i="1"/>
  <c r="F987" i="1"/>
  <c r="F986" i="1"/>
  <c r="F988" i="1"/>
</calcChain>
</file>

<file path=xl/sharedStrings.xml><?xml version="1.0" encoding="utf-8"?>
<sst xmlns="http://schemas.openxmlformats.org/spreadsheetml/2006/main" count="4038" uniqueCount="1043">
  <si>
    <t>Title</t>
  </si>
  <si>
    <t>Published_Date</t>
  </si>
  <si>
    <t>Views</t>
  </si>
  <si>
    <t>Likes</t>
  </si>
  <si>
    <t>Comments</t>
  </si>
  <si>
    <t>We Made Make-A-Wish Kidsâ€™ Dreams Come True</t>
  </si>
  <si>
    <t>Guess The Youtuber = Win $1,000</t>
  </si>
  <si>
    <t>50 YouTube Legends Fight For $1,000,000</t>
  </si>
  <si>
    <t>POV: You Time Traveled Back to 2016</t>
  </si>
  <si>
    <t>7 Days Stranded in The Arctic</t>
  </si>
  <si>
    <t>I Surprised a Random Subscriber With $10,000</t>
  </si>
  <si>
    <t>YouTube CEO Has A Surprise For Me</t>
  </si>
  <si>
    <t>Every Youtube Play Button</t>
  </si>
  <si>
    <t>Can He Make This Shot?</t>
  </si>
  <si>
    <t>Survive 30 Days On An Island With Your Ex, Win $250,000</t>
  </si>
  <si>
    <t>Hit The Button, Win $1,000</t>
  </si>
  <si>
    <t>World's Fastest Date</t>
  </si>
  <si>
    <t>Iâ€™m Granting Wishes For My Subscribers</t>
  </si>
  <si>
    <t>Guess The Animal</t>
  </si>
  <si>
    <t>Asking My FiancÃ©e on a Date</t>
  </si>
  <si>
    <t>I Stranded 100 People In The Wilderness For $250,000</t>
  </si>
  <si>
    <t>Would Your Dog Pick $10,000 or Steak?</t>
  </si>
  <si>
    <t>Important Announcement From The Grocery Store</t>
  </si>
  <si>
    <t>Can My FiancÃ©e Lift Me?</t>
  </si>
  <si>
    <t>Try Not To Get Slimed</t>
  </si>
  <si>
    <t>Winner Picks Our Honeymoon</t>
  </si>
  <si>
    <t>Last To Leave Grocery Store, Wins $250,000</t>
  </si>
  <si>
    <t>Can a Window Stop a Wrecking Ball?</t>
  </si>
  <si>
    <t>Donâ€™t Eat The Spicy Yoshi Egg</t>
  </si>
  <si>
    <t>$1 or Mystery Vial?</t>
  </si>
  <si>
    <t>50 Streamers Fight for $1,000,000</t>
  </si>
  <si>
    <t>Who's The Strongest Streamer?</t>
  </si>
  <si>
    <t>Spreading Rumors About Streamers</t>
  </si>
  <si>
    <t>Will a Zebra Subscribe to me?</t>
  </si>
  <si>
    <t>Bring Me A Glass Of Water = Win $10,000</t>
  </si>
  <si>
    <t>Trapped On An Island Until I Build A Boat</t>
  </si>
  <si>
    <t>I Hid $1,000,000 In This Vault</t>
  </si>
  <si>
    <t>Pop The Balloons, Win $10,000</t>
  </si>
  <si>
    <t>5 Strangers Split $100,000</t>
  </si>
  <si>
    <t>My Chocolate Factory Blew Up</t>
  </si>
  <si>
    <t>Survive 30 Days Stranded With Your Ex, Win $250,000</t>
  </si>
  <si>
    <t>Would You Steal Money From A Stranger?</t>
  </si>
  <si>
    <t>Subscribe, Iâ€™ll Double Your Bank Account</t>
  </si>
  <si>
    <t>I Built a School in Mexico</t>
  </si>
  <si>
    <t>I Built 10 Schools Around The World</t>
  </si>
  <si>
    <t>Every Step You Take, Win $1,000</t>
  </si>
  <si>
    <t>Surprising My FiancÃ©e With A Chocolate Heart</t>
  </si>
  <si>
    <t>Guess What Age Punched You</t>
  </si>
  <si>
    <t>Ages 1 - 100 Race For $250,000!</t>
  </si>
  <si>
    <t>Is Being Smart or Strong Better?</t>
  </si>
  <si>
    <t>Flip a Coin, Win $30,000</t>
  </si>
  <si>
    <t>Wait... Was He Famous?</t>
  </si>
  <si>
    <t>$1 vs $1,000,000,000 Futuristic Tech!</t>
  </si>
  <si>
    <t>Survivor vs Beast Games</t>
  </si>
  <si>
    <t>Subscribe for an iPhone</t>
  </si>
  <si>
    <t>Pass the Phone</t>
  </si>
  <si>
    <t>30 Celebrities Fight For $1,000,000!</t>
  </si>
  <si>
    <t>Guess the Animal</t>
  </si>
  <si>
    <t>I Paid Everyone Stuck in Traffic</t>
  </si>
  <si>
    <t>Giving Away $1,000,000 in Gifts To My Subscribers</t>
  </si>
  <si>
    <t>Survive 30 Days Trapped In The Sky, Win $250,000</t>
  </si>
  <si>
    <t>Find The Real Celebrity, Win $10,000</t>
  </si>
  <si>
    <t>Would You Date Him for $10,000?</t>
  </si>
  <si>
    <t>How Many People to Pull a Plane?</t>
  </si>
  <si>
    <t>100 Pilots Fight For A Private Jet</t>
  </si>
  <si>
    <t>Hit The Target, Keep The Prize</t>
  </si>
  <si>
    <t>Whatever You Hold Onto, You Keep</t>
  </si>
  <si>
    <t>Flip a Coin, Iâ€™ll Pay For Your College</t>
  </si>
  <si>
    <t>Who Has The Fastest Reaction Time?</t>
  </si>
  <si>
    <t>World's Strongest Man Vs Robot</t>
  </si>
  <si>
    <t>I Surprised 50 Make-A-Wish Kids With Disneyland</t>
  </si>
  <si>
    <t>Can I Beat An F1 Driver?</t>
  </si>
  <si>
    <t>How I Became MrBeef</t>
  </si>
  <si>
    <t>I Raced Noah Lyles</t>
  </si>
  <si>
    <t>100 People Vs Worldâ€™s Biggest Trap!</t>
  </si>
  <si>
    <t>Giving Trick-or-Treaters Weirder and Weirder Gifts</t>
  </si>
  <si>
    <t>MrBeast Lab Disaster!</t>
  </si>
  <si>
    <t>Can We Stop World's Best Tennis Player</t>
  </si>
  <si>
    <t>I Saved 1,000 Animals From Dying</t>
  </si>
  <si>
    <t>I Baked a Cake In a Race Car</t>
  </si>
  <si>
    <t>First to Answer the Phone, Wins $10,000</t>
  </si>
  <si>
    <t>Answer The Door, Win $10,000</t>
  </si>
  <si>
    <t>100 Kids Vs World's Strongest Man!</t>
  </si>
  <si>
    <t>Jump Over The Lava, Win!</t>
  </si>
  <si>
    <t>Call Your Ex, Win $10,000</t>
  </si>
  <si>
    <t>Hi Me In 10 Years</t>
  </si>
  <si>
    <t>Worldâ€™s Fastest Dinner Date</t>
  </si>
  <si>
    <t>How Much Would You Risk For $500,000?</t>
  </si>
  <si>
    <t>Would Your Grandma Go Skydiving?</t>
  </si>
  <si>
    <t>I Cooked A Pizza With Power Tools</t>
  </si>
  <si>
    <t>Which Celebrity Punches The Hardest?</t>
  </si>
  <si>
    <t>Answer The Call, Win $10,000</t>
  </si>
  <si>
    <t>Survive 30 Days Chained To Your Ex, Win $250,000</t>
  </si>
  <si>
    <t>I Arrested IShowSpeed</t>
  </si>
  <si>
    <t>I Raced IShowSpeed</t>
  </si>
  <si>
    <t>$1 vs $1,000,000,000 Nuclear Bunker!</t>
  </si>
  <si>
    <t>1 Subscriber = 1 Penny Donated</t>
  </si>
  <si>
    <t>Pick The Wrong Tube, Get Slimed</t>
  </si>
  <si>
    <t>Reaction Time Challenge</t>
  </si>
  <si>
    <t>Survive 100 Days In Prison, Win $500,000</t>
  </si>
  <si>
    <t>Every YouTube Play Button I Have</t>
  </si>
  <si>
    <t>1 Subscriber = 1 Second In The Arctic</t>
  </si>
  <si>
    <t>Guess What Hit You</t>
  </si>
  <si>
    <t>$1  = One Year of Clean Water</t>
  </si>
  <si>
    <t>2,000,000 People Get Clean Water For The First Time!</t>
  </si>
  <si>
    <t>Donâ€™t Turn Around, Win $10k</t>
  </si>
  <si>
    <t>Subscribe To Explode The TNT</t>
  </si>
  <si>
    <t>Find This Briefcase, Win $10,000</t>
  </si>
  <si>
    <t>Jet Engine vs Human for $10k</t>
  </si>
  <si>
    <t>Survive 100 Days Trapped In A Private Jet, Keep It</t>
  </si>
  <si>
    <t>I Met Neymar</t>
  </si>
  <si>
    <t>I Raced A Cheetah</t>
  </si>
  <si>
    <t>World's Fastest Car Vs Cheetah!</t>
  </si>
  <si>
    <t>You Lose, You Get Shot</t>
  </si>
  <si>
    <t>If You Spill, You Lose!</t>
  </si>
  <si>
    <t>Lose 100 LBs, Win $250,000!</t>
  </si>
  <si>
    <t>$1 vs $25,000 VFX</t>
  </si>
  <si>
    <t>Feastables vs Reeseâ€™s Taste Test with @gordonramsay</t>
  </si>
  <si>
    <t>$1 vs $500,000 Date</t>
  </si>
  <si>
    <t>Can I Teach a Penguin To Subscribe?</t>
  </si>
  <si>
    <t>Extreme Helmet Game</t>
  </si>
  <si>
    <t>Beat Neymar, Win $500,000</t>
  </si>
  <si>
    <t>Grab The Rolex, Keep It!</t>
  </si>
  <si>
    <t>Slippery vs Sticky Stairs</t>
  </si>
  <si>
    <t>I Survived 100 Hours In An Ancient Temple</t>
  </si>
  <si>
    <t>Subscribe to Win $50,000</t>
  </si>
  <si>
    <t>Find This Key, Win $10,000</t>
  </si>
  <si>
    <t>Worldâ€™s Fastest Robbers</t>
  </si>
  <si>
    <t>Would You Go On Vacation With A Stranger?</t>
  </si>
  <si>
    <t>Would You Risk Drowning for $500,000?</t>
  </si>
  <si>
    <t>$10,000 Human Shuffleboard</t>
  </si>
  <si>
    <t>Drift This Car, Win $10,000</t>
  </si>
  <si>
    <t>Click This Video To Feed 1 Person</t>
  </si>
  <si>
    <t>You Can Stop Child Labor</t>
  </si>
  <si>
    <t>How Fast Can I Go?</t>
  </si>
  <si>
    <t>Baseball Tic Tac Toe vs MLB Pro</t>
  </si>
  <si>
    <t>Could You Win This Obstacle Course?</t>
  </si>
  <si>
    <t>Find Your Dog, Win $10,000</t>
  </si>
  <si>
    <t>I Survived The 5 Deadliest Places On Earth</t>
  </si>
  <si>
    <t>This Is How The Pyramids Were Built</t>
  </si>
  <si>
    <t>I Crashed One Of The Most Expensive Cars In The World</t>
  </si>
  <si>
    <t>Last One To Fall Wins</t>
  </si>
  <si>
    <t>Last to Leave Their Circle Wins $500,000</t>
  </si>
  <si>
    <t>Highest Away From Me Wins $10,000</t>
  </si>
  <si>
    <t>Find The Human, Win $10,000</t>
  </si>
  <si>
    <t>Find This Stranger, Win $10,000</t>
  </si>
  <si>
    <t>Reach the Money, Win $10,000</t>
  </si>
  <si>
    <t>I Spent 100 Hours Inside The Pyramids!</t>
  </si>
  <si>
    <t>Every Minute One Person Is Eliminated</t>
  </si>
  <si>
    <t>Last Person Hanging Wins $10,000</t>
  </si>
  <si>
    <t>Subscribe For An iPhone</t>
  </si>
  <si>
    <t>I Helped 2,000 People Walk Again</t>
  </si>
  <si>
    <t>This obstacle course is WILD</t>
  </si>
  <si>
    <t>How Many People To Stop Ronaldo?</t>
  </si>
  <si>
    <t>Last Person Standing Wins $10,000</t>
  </si>
  <si>
    <t>2,000 People Fight For $5,000,000</t>
  </si>
  <si>
    <t>Bring Me Back Snow From The North Pole</t>
  </si>
  <si>
    <t>I Got T-Series To Subscribe To Me</t>
  </si>
  <si>
    <t>Ronaldo Teaches Me How To SIUU</t>
  </si>
  <si>
    <t>Beat Ronaldo, Win $1,000,000</t>
  </si>
  <si>
    <t>Confronting Ronaldo</t>
  </si>
  <si>
    <t>How Many Balloons To Make A Store Fly?</t>
  </si>
  <si>
    <t>Restocking MrBeast Labs at Walmart</t>
  </si>
  <si>
    <t>This Game Is Wild...</t>
  </si>
  <si>
    <t>How Much Tape To Stop A Lamborghini?</t>
  </si>
  <si>
    <t>$1 vs $500,000 Experiences!</t>
  </si>
  <si>
    <t>1 Subscriber = 1 Penny</t>
  </si>
  <si>
    <t>Human vs Jet Engine</t>
  </si>
  <si>
    <t>7 Days Exploring An Underground City</t>
  </si>
  <si>
    <t>Will A Basketball Boat Hold My Weight?</t>
  </si>
  <si>
    <t>Find The Real MrBeast, Win $10,000</t>
  </si>
  <si>
    <t>Spot The Difference, Win $10,000</t>
  </si>
  <si>
    <t>100 Identical Twins Fight For $250,000</t>
  </si>
  <si>
    <t>Running With Bigger And Bigger Lunchlys</t>
  </si>
  <si>
    <t>Holding Bigger And Bigger Dogs</t>
  </si>
  <si>
    <t>Men Vs Women Survive In The Wilderness For $500,000</t>
  </si>
  <si>
    <t>Will A Guitar Boat Hold My Weight?</t>
  </si>
  <si>
    <t>Real Or Cake For $10,000</t>
  </si>
  <si>
    <t>7 Days Stranded In A Cave</t>
  </si>
  <si>
    <t>Running With Bigger And Bigger Feastables</t>
  </si>
  <si>
    <t>Survive 100 Days In Nuclear Bunker, Win $500,000</t>
  </si>
  <si>
    <t>Spot The Fake Animal For $10,000</t>
  </si>
  <si>
    <t>This Game Is Wild</t>
  </si>
  <si>
    <t>50 YouTubers Fight For $1,000,000</t>
  </si>
  <si>
    <t>Pass The Phone Toâ€¦</t>
  </si>
  <si>
    <t>How Many Balloons Does It Take To Fly?</t>
  </si>
  <si>
    <t>I Built 100 Houses And Gave Them Away!</t>
  </si>
  <si>
    <t>Worldâ€™s Deadliest Obstacle Course!</t>
  </si>
  <si>
    <t>$10,000 Every Day You Survive In The Wilderness</t>
  </si>
  <si>
    <t>Sprinting with More and More Money</t>
  </si>
  <si>
    <t>Giving 1000 Phones Away</t>
  </si>
  <si>
    <t>Worldâ€™s Smartest Dog</t>
  </si>
  <si>
    <t>Bottle Head Smashing World Record Attempt!</t>
  </si>
  <si>
    <t>Protect The Yacht, Keep It!</t>
  </si>
  <si>
    <t>Ages 1-100 Try My Chocolate</t>
  </si>
  <si>
    <t>Spot The Hidden People For $10,000</t>
  </si>
  <si>
    <t>Would You Split Or Steal $250,000?</t>
  </si>
  <si>
    <t>Buy Feastables, Win Unlimited Money</t>
  </si>
  <si>
    <t>In 10 Minutes This Room Will Explode!</t>
  </si>
  <si>
    <t>The World's Fastest Cleaners</t>
  </si>
  <si>
    <t>Ages 1 - 100 Decide Who Wins $250,000</t>
  </si>
  <si>
    <t>Guess The Gift, Keep It</t>
  </si>
  <si>
    <t>Iâ€™m Giving My 250M Subscriber $25,000</t>
  </si>
  <si>
    <t>Anything You Touch, You Keep!</t>
  </si>
  <si>
    <t>7 Days Stranded On An Island</t>
  </si>
  <si>
    <t>Keep Track Of Car, Win $10,000</t>
  </si>
  <si>
    <t>Stop This Train, Win a Lamborghini</t>
  </si>
  <si>
    <t>I Survived 7 Days In An Abandoned City</t>
  </si>
  <si>
    <t>Unboxing My 200M Subscriber Play Button</t>
  </si>
  <si>
    <t>I Filled Chandlerâ€™s Car With Feastables</t>
  </si>
  <si>
    <t>Most Expensive Hand Model Holds Feastables</t>
  </si>
  <si>
    <t>Buy Feastables, Win $10,000</t>
  </si>
  <si>
    <t>Face Your Biggest Fear To Win $800,000</t>
  </si>
  <si>
    <t>$1 vs $250,000,000 Private Island!</t>
  </si>
  <si>
    <t>Protect $500,000 Keep It!</t>
  </si>
  <si>
    <t>I Spent 7 Days In Solitary Confinement</t>
  </si>
  <si>
    <t>I Adopted 100 Dogs!</t>
  </si>
  <si>
    <t>Survive 100 Days Trapped, Win $500,000</t>
  </si>
  <si>
    <t>Feeding A Dog $1 vs $10,000 Steak</t>
  </si>
  <si>
    <t>Could You Walk Up A Skyscraper?</t>
  </si>
  <si>
    <t>$10,000 Every Day You Survive In A Grocery Store</t>
  </si>
  <si>
    <t>$1 vs $10,000,000 Job!</t>
  </si>
  <si>
    <t>I Spent 7 Days Buried Alive</t>
  </si>
  <si>
    <t>I Gave Away A House On Halloween</t>
  </si>
  <si>
    <t>Giving Car Keys Instead Of Candy On Halloween</t>
  </si>
  <si>
    <t>I Built 100 Wells In Africa</t>
  </si>
  <si>
    <t>Furthest Away From Me Wins $10,000</t>
  </si>
  <si>
    <t>Worldâ€™s Most Expensive Bed</t>
  </si>
  <si>
    <t>10 People Vs World's Deadliest Laser Maze for $250,000</t>
  </si>
  <si>
    <t>Worldâ€™s Most Expensive Coffee</t>
  </si>
  <si>
    <t>$100,000,000 Bathroom</t>
  </si>
  <si>
    <t>$1 vs $100,000,000 House!</t>
  </si>
  <si>
    <t>I Tipped A Pizza Delivery Driver A Car</t>
  </si>
  <si>
    <t>World's Most Dangerous Trap!</t>
  </si>
  <si>
    <t>I NEED 1 MORE ð—¦ð—¨ð—•ð—¦ð—–ð—¥ð—œð—•ð—˜ð—¥</t>
  </si>
  <si>
    <t>I Paid A Random Studentâ€™s College Tuition</t>
  </si>
  <si>
    <t>$100,000,000 Car Doors</t>
  </si>
  <si>
    <t>$1 vs $100,000,000 Car!</t>
  </si>
  <si>
    <t>Extreme Home Makeover!</t>
  </si>
  <si>
    <t>Katana Vs Bullet</t>
  </si>
  <si>
    <t>How Many School Buses Can We Stack?</t>
  </si>
  <si>
    <t>Worldâ€™s Largest Dominoes Vs Store</t>
  </si>
  <si>
    <t>Feeding A Cat $10 Vs $10,000 Sushi</t>
  </si>
  <si>
    <t>Make This Kick, Win Super Bowl Tickets</t>
  </si>
  <si>
    <t>Metal Pipe Vs School Bus</t>
  </si>
  <si>
    <t>Every Country On Earth Fights For $250,000!</t>
  </si>
  <si>
    <t>Can You Beat A Girl In Arm Wrestling?</t>
  </si>
  <si>
    <t>$1 vs $250,000 Vacation!</t>
  </si>
  <si>
    <t>I Ate The Worldâ€™s Most Poisonous Fish</t>
  </si>
  <si>
    <t>7 Days Stranded At Sea</t>
  </si>
  <si>
    <t>I Traded My Car At a Red Light</t>
  </si>
  <si>
    <t>Train Vs Giant Pit</t>
  </si>
  <si>
    <t>I Buried Treasure in the Bermuda Triangle</t>
  </si>
  <si>
    <t>$1 vs $1,000,000,000 Yacht!</t>
  </si>
  <si>
    <t>Do Pawnshops Scam You?</t>
  </si>
  <si>
    <t>Ages 1 - 100 Fight For $500,000</t>
  </si>
  <si>
    <t>I Got Naruto to Subscribe to Me</t>
  </si>
  <si>
    <t>1,000 Deaf People Hear For The First Time</t>
  </si>
  <si>
    <t>Would You Pet a Cheetah in Africa?</t>
  </si>
  <si>
    <t>Tipping A Waitress A Car</t>
  </si>
  <si>
    <t>Would you go on a Blind Date in Italy?</t>
  </si>
  <si>
    <t>$1 vs $500,000 Plane Ticket!</t>
  </si>
  <si>
    <t>I Sent a Subscriber to Disneyland</t>
  </si>
  <si>
    <t>I Paid A Real Assassin To Try To Kill Me</t>
  </si>
  <si>
    <t>$10,000 Girl Scout Cookies</t>
  </si>
  <si>
    <t>Do Men Lie About Their Height?</t>
  </si>
  <si>
    <t>1,000 Blind People See For The First Time</t>
  </si>
  <si>
    <t>I Survived 50 Hours In Antarctica</t>
  </si>
  <si>
    <t>Real Life Spider-Man Vs Skyscraper</t>
  </si>
  <si>
    <t>Would You Fly To Paris For A Baguette?</t>
  </si>
  <si>
    <t>100 Kids Fight Parents For $500,000</t>
  </si>
  <si>
    <t>Gordon Ramsay Tries Most Expensive Chocolate Bar!</t>
  </si>
  <si>
    <t>Last To Take Hand Off Jet, Keeps It!</t>
  </si>
  <si>
    <t>Giving iPhones Instead Of Candy on Halloween</t>
  </si>
  <si>
    <t>$1 vs $1,000,000 Hotel Room!</t>
  </si>
  <si>
    <t>The Rock Vs MrBeast For $100,000</t>
  </si>
  <si>
    <t>Survive 100 Days In Circle, Win $500,000</t>
  </si>
  <si>
    <t>I Hunted 100 People!</t>
  </si>
  <si>
    <t>Can I Survive A Plane Crash?</t>
  </si>
  <si>
    <t>100 People Fight For A Private Island</t>
  </si>
  <si>
    <t>100 Boys Vs 100 Girls For $500,000</t>
  </si>
  <si>
    <t>I Didnâ€™t Eat Food For 30 Days</t>
  </si>
  <si>
    <t>I Built Willy Wonka's Chocolate Factory!</t>
  </si>
  <si>
    <t>$10,000 Every Day You Survive Prison</t>
  </si>
  <si>
    <t>Would You Swim With Sharks For $100,000?</t>
  </si>
  <si>
    <t>Worldâ€™s Most Dangerous Escape Room!</t>
  </si>
  <si>
    <t>Extreme $1,000,000 Hide And Seek</t>
  </si>
  <si>
    <t>World's Biggest YouTubers Fight for $1,000,000</t>
  </si>
  <si>
    <t>I Got Hunted By The Military</t>
  </si>
  <si>
    <t>$456,000 Squid Game In Real Life!</t>
  </si>
  <si>
    <t>I Cleaned The Worldâ€™s Dirtiest Beach #TeamSeas</t>
  </si>
  <si>
    <t>Last To Take Hand Off Lamborghini, Keeps It</t>
  </si>
  <si>
    <t>First To Rob Bank Wins $100,000</t>
  </si>
  <si>
    <t>Extreme $500,000 Game Of Tag!</t>
  </si>
  <si>
    <t>Last To Leave Circle Wins $500,000</t>
  </si>
  <si>
    <t>I Got Hunted By The FBI</t>
  </si>
  <si>
    <t>If You Can Carry $1,000,000 You Keep It!</t>
  </si>
  <si>
    <t>Would You Quit School For $100,000?</t>
  </si>
  <si>
    <t>I Survived 50 Hours In A Maximum Security Prison</t>
  </si>
  <si>
    <t>Hit The Target, Win $300,000</t>
  </si>
  <si>
    <t>Anything You Can Fit In The Triangle Iâ€™ll Pay For</t>
  </si>
  <si>
    <t>I Got Hunted By A Real Bounty Hunter</t>
  </si>
  <si>
    <t>Extreme $100,000 Game of Tag!</t>
  </si>
  <si>
    <t>Would You Sit In Snakes For $10,000?</t>
  </si>
  <si>
    <t>I Bought The World's Largest Mystery Box! ($500,000)</t>
  </si>
  <si>
    <t>I Spent 50 Hours Buried Alive</t>
  </si>
  <si>
    <t>Offering People $100,000 To Quit Their Job</t>
  </si>
  <si>
    <t>I Sold My House For $1</t>
  </si>
  <si>
    <t>I Donated $300,000 To People In Need</t>
  </si>
  <si>
    <t>I Ate $100,000 Golden Ice Cream</t>
  </si>
  <si>
    <t>I Bought Everything In 5 Stores</t>
  </si>
  <si>
    <t>YOUTUBE REWIND: 2020</t>
  </si>
  <si>
    <t>I Put 1,000,000,000 Christmas Lights On A House (World Record)</t>
  </si>
  <si>
    <t>I Opened A Restaurant That Pays You To Eat At It</t>
  </si>
  <si>
    <t>I Gave People $1,000,000 But ONLY 1 Minute To Spend It!</t>
  </si>
  <si>
    <t>Steal This $100,000 Diamond, You Keep It</t>
  </si>
  <si>
    <t>Press This Button To Win $100,000!</t>
  </si>
  <si>
    <t>I Survived 24 Hours Straight In Ice</t>
  </si>
  <si>
    <t>I Uberâ€™d People And Let Them Keep The Car</t>
  </si>
  <si>
    <t>I Filled My Brotherâ€™s House With Slime &amp; Bought Him A New One</t>
  </si>
  <si>
    <t>Hi Me In 5 Years</t>
  </si>
  <si>
    <t>Would You Rather Have A Giant Diamond or $100,000?</t>
  </si>
  <si>
    <t>I Gave My 40,000,000th Subscriber 40 Cars</t>
  </si>
  <si>
    <t>Why I Havenâ€™t Been Uploading</t>
  </si>
  <si>
    <t>Get This Random Person 1,000,000 Subscribers</t>
  </si>
  <si>
    <t>Would YOU Rather Have A Lamborghini or This House?</t>
  </si>
  <si>
    <t>Last To Leave $800,000 Island Keeps It</t>
  </si>
  <si>
    <t>I Bought A Private Island</t>
  </si>
  <si>
    <t>I Spent $1,000,000 On Lottery Tickets and WON</t>
  </si>
  <si>
    <t>I Ate The Worldâ€™s Largest Slice Of Pizza</t>
  </si>
  <si>
    <t>I Adopted EVERY Dog In A Dog Shelter</t>
  </si>
  <si>
    <t>$1 vs $100,000 Firework!</t>
  </si>
  <si>
    <t>I Broke Into A House</t>
  </si>
  <si>
    <t>Would You Rather Have $100,000 OR This Mystery Key?</t>
  </si>
  <si>
    <t>I Built The World's Largest Lego Tower</t>
  </si>
  <si>
    <t>I Spent 50 Hours In Solitary Confinement</t>
  </si>
  <si>
    <t>If You Click This Video I'll Give My Friend .001$</t>
  </si>
  <si>
    <t>I Gave $200,000 To People Who Lost Their Jobs (Corona Virus)</t>
  </si>
  <si>
    <t>Videos I Could Not Upload...</t>
  </si>
  <si>
    <t>I Spent 24 Hours In A Doomsday Bunker</t>
  </si>
  <si>
    <t>Giving $1,000,000 Of Food To People In Need</t>
  </si>
  <si>
    <t>I Ran A Marathon In The World's Largest Shoes</t>
  </si>
  <si>
    <t>$70,000 Extreme Hide And Seek - Challenge</t>
  </si>
  <si>
    <t>Anything You Can Fit In The Circle Iâ€™ll Pay For</t>
  </si>
  <si>
    <t>I Ate A $70,000 Golden Pizza</t>
  </si>
  <si>
    <t>Lambo Race, Winner Keeps Lambo</t>
  </si>
  <si>
    <t>I Gave My Credit Card To Random People</t>
  </si>
  <si>
    <t>Get Every Boy Scout Badge, Win $10,000</t>
  </si>
  <si>
    <t>$60,000 Extreme Hide And Seek - Challenge</t>
  </si>
  <si>
    <t>How I Gained 15,000,000 Subscribers In 1 Year</t>
  </si>
  <si>
    <t>Important Youtube Announcement (please watch)</t>
  </si>
  <si>
    <t>Giving 10,000 Presents To Kids For Christmas</t>
  </si>
  <si>
    <t>Spending $1,000,000 In 24 Hours</t>
  </si>
  <si>
    <t>Last To Take Hand Off $1,000,000 Keeps It</t>
  </si>
  <si>
    <t>Last To Stop Riding Bike Wins $1,000,000 (Part 4)</t>
  </si>
  <si>
    <t>Last To Leave Toilet Wins $1,000,000 (Part 3)</t>
  </si>
  <si>
    <t>I Ordered Pizza And Tipped The House</t>
  </si>
  <si>
    <t>Last to Stop Swinging Wins $1,000,000 (Part 2)</t>
  </si>
  <si>
    <t>$50,000 Game Of Extreme Hide And Seek - Challenge</t>
  </si>
  <si>
    <t>I Opened A FREE BANK</t>
  </si>
  <si>
    <t>Going Around A Ferris Wheel 1,000 Times Straight</t>
  </si>
  <si>
    <t>Last To Fall Wins $1,000,000 (Part 1)</t>
  </si>
  <si>
    <t>Surviving 24 Hours Straight In The Bermuda Triangle</t>
  </si>
  <si>
    <t>I Spent $100,000 On Lottery Tickets And Won!</t>
  </si>
  <si>
    <t>Planting 20,000,000 Trees, My Biggest Project Ever!</t>
  </si>
  <si>
    <t>Last To Take Hand Off Boat, Keeps It</t>
  </si>
  <si>
    <t>I Searched 100 Dumpsters, Here's What I Found</t>
  </si>
  <si>
    <t>Going Through The Same Drive Thru 1,000 Times</t>
  </si>
  <si>
    <t>Donating $100,000 To Random Streamers</t>
  </si>
  <si>
    <t>Surviving 24 Hours Straight In A Rain Forest</t>
  </si>
  <si>
    <t>Last To Leave Ramen Noodle Pool Wins $20,000</t>
  </si>
  <si>
    <t>Anything You Can Carry, I'll Pay For #2</t>
  </si>
  <si>
    <t>I Gave My Brother 24 Hours To Spend $100,000</t>
  </si>
  <si>
    <t>I Opened A Free Car Dealership</t>
  </si>
  <si>
    <t>Last To Leave Pool Of $20,000 Keeps It</t>
  </si>
  <si>
    <t>Surviving 24 Hours On A Deserted Island</t>
  </si>
  <si>
    <t>Last To Leave Roller Coaster Wins $20,000 - Challenge</t>
  </si>
  <si>
    <t>I Won Every Prize At A Theme Park</t>
  </si>
  <si>
    <t>Destroying My Friend's Car And Surprising Him With A New One</t>
  </si>
  <si>
    <t>I Spent 24 Hours Straight At Area 51</t>
  </si>
  <si>
    <t>Can 50,000 Magnets Catch A Cannon Ball?</t>
  </si>
  <si>
    <t>World's Largest Game Of Dodgeball</t>
  </si>
  <si>
    <t>Last To Leave Revolving Door Wins $50,000</t>
  </si>
  <si>
    <t>Tipping Waitresses With Real Gold Bars</t>
  </si>
  <si>
    <t>I Opened The World's First FREE Store</t>
  </si>
  <si>
    <t>Spending 24 Hours On Top Of A Mountain</t>
  </si>
  <si>
    <t>Last To Leave VR Wins $20,000</t>
  </si>
  <si>
    <t>Last To Stop Running Wins $20,000</t>
  </si>
  <si>
    <t>Paying People $10,000 To Eat Ghost Pepper</t>
  </si>
  <si>
    <t>24 Hours In The Most Haunted Place On Earth</t>
  </si>
  <si>
    <t>I Bought Everything In A Store - Challenge</t>
  </si>
  <si>
    <t>Last To Leave World's Largest Bowl Of Cereal Wins $10,000</t>
  </si>
  <si>
    <t>Spending 24 Hours In A City With No Laws</t>
  </si>
  <si>
    <t>Giving $10,000 To Random People And Saying Nothing</t>
  </si>
  <si>
    <t>Molten Lava Vs Giant Ice Block Experiment</t>
  </si>
  <si>
    <t>Anything You Can Carry, I'll Pay For Challenge</t>
  </si>
  <si>
    <t>Homeless Man Buys A Lamborghini</t>
  </si>
  <si>
    <t>Playing Battleship With Real Ships</t>
  </si>
  <si>
    <t>Donating $100,000 To Shroud In Real Life</t>
  </si>
  <si>
    <t>Last To Leave The Tesla, Keeps It Challenge</t>
  </si>
  <si>
    <t>Donating $100,000 To Streamers With 0 Viewers</t>
  </si>
  <si>
    <t>Surviving 24 Hours Straight In A Desert</t>
  </si>
  <si>
    <t>$200,000 Youtuber Battle Royale</t>
  </si>
  <si>
    <t>Surprising Strangers With 100 Zombies - Experiment</t>
  </si>
  <si>
    <t>I Gave A Homeless Man A Home</t>
  </si>
  <si>
    <t>Standing Still For 24 Hours Straight - Statue Challenge</t>
  </si>
  <si>
    <t>Giant Monopoly Game With Real Money</t>
  </si>
  <si>
    <t>I Spent 24 Hours Straight In Insane Asylum</t>
  </si>
  <si>
    <t>I Advertised Pewdiepie At The Super Bowl</t>
  </si>
  <si>
    <t>Pass All 12 Grades, Win $10,000</t>
  </si>
  <si>
    <t>I Opened The Worldâ€™s Cheapest Store</t>
  </si>
  <si>
    <t>I Put 10 Million Legos in Friend's House</t>
  </si>
  <si>
    <t>Make This Video The Most Liked Video On Youtube</t>
  </si>
  <si>
    <t>20,000 Magnets Vs A Car</t>
  </si>
  <si>
    <t>Eating A $10,000 Golden Steak (24k Gold)</t>
  </si>
  <si>
    <t>Last To Take Hand Off House Keeps It!</t>
  </si>
  <si>
    <t>I Gave Him One Hour To Spend $100,000!</t>
  </si>
  <si>
    <t>How I Gave Away $1,000,000</t>
  </si>
  <si>
    <t>Giving $100,000 To A Homeless Person</t>
  </si>
  <si>
    <t>I Spent 24 Hours Straight In Prison - Challenge</t>
  </si>
  <si>
    <t>Donating $10000 To Pewdiepie</t>
  </si>
  <si>
    <t>Last Youtuber To Leave Wins $100,000 - Challenge</t>
  </si>
  <si>
    <t>I Put Millions Of Pennies In My Friends Backyard</t>
  </si>
  <si>
    <t>Surprising TFue With A Fortnite Battle Bus In Real Life</t>
  </si>
  <si>
    <t>I Built A Giant House Using Only Legos</t>
  </si>
  <si>
    <t>Last To Leave Slime Pit Wins $20,000 - Challenge</t>
  </si>
  <si>
    <t>Saying Pewdiepie 100,000 Times</t>
  </si>
  <si>
    <t>Destroyed Friend's House And Bought Him A New One</t>
  </si>
  <si>
    <t>I Put 100 Million Orbeez In My Friend's Backyard</t>
  </si>
  <si>
    <t>Spending $40,000 In One Hour Challenge</t>
  </si>
  <si>
    <t>Giving My 10,000,000th Subscriber 10,000,000 ___</t>
  </si>
  <si>
    <t>$10,000 Games Of Rock Paper Scissors</t>
  </si>
  <si>
    <t>Last To Remove Hand, Gets Lamborghini Challenge</t>
  </si>
  <si>
    <t>You Pick The Right Cup, You Win $100,000!</t>
  </si>
  <si>
    <t>I Bought Every Billboard In My City For This</t>
  </si>
  <si>
    <t>Ordering Water Then Tipping $30,000</t>
  </si>
  <si>
    <t>I Spent $50,000 On Lottery Tickets And Won ____</t>
  </si>
  <si>
    <t>Last To Leave Circle Wins $10,000 - Challenge</t>
  </si>
  <si>
    <t>I Spent 24 Hours Straight In Slime</t>
  </si>
  <si>
    <t>Surprising Tfue With $10,000 Live - Fortnite</t>
  </si>
  <si>
    <t>I Spent $30,000 On Lottery Tickets And Won ____</t>
  </si>
  <si>
    <t>Flat Earth PROVEN By Independent Research</t>
  </si>
  <si>
    <t>Things That SHOULDN'T Be Sold On Amazon</t>
  </si>
  <si>
    <t>Surprising My 8,000,000th Subscriber With 8,000,000 ___</t>
  </si>
  <si>
    <t>I Donated $25,000 To Random Kids Streaming Fortnite</t>
  </si>
  <si>
    <t>I Hope This Magic Trick Works</t>
  </si>
  <si>
    <t>Can A Glowing 1000 Degree Sword Slice A Car In Half?</t>
  </si>
  <si>
    <t>Rocket League In Real Life!</t>
  </si>
  <si>
    <t>Destroying My Friend's Car And Surprising Him With A New One - Slime</t>
  </si>
  <si>
    <t>Spending 24 Hours Straight Under Water Challenge</t>
  </si>
  <si>
    <t>Attempting The Impossible Maze - $10,000 Challenge</t>
  </si>
  <si>
    <t>Donating $100,000 To A Random Fortnite Streamer</t>
  </si>
  <si>
    <t>Moving 10 Pounds Using ONLY Sound</t>
  </si>
  <si>
    <t>Returning Destroyed Rental Cars Prank</t>
  </si>
  <si>
    <t>I Gave My 6,000,000th Subscriber 6,000,000 ____</t>
  </si>
  <si>
    <t>Can 1,000 Fans At Max Speed Push A Car?</t>
  </si>
  <si>
    <t>I Donated $50,000 To Ninja - Fortnite</t>
  </si>
  <si>
    <t>I Ubered Random People In A Tank</t>
  </si>
  <si>
    <t>World's Hottest Substance Vs Coldest Substance</t>
  </si>
  <si>
    <t>The Real Way Dinosaurs Went Extinct</t>
  </si>
  <si>
    <t>I Donated $1000 Every Time She Blinked - Fortnite Streamers</t>
  </si>
  <si>
    <t>I Built A Working Car Using Only LEGOS</t>
  </si>
  <si>
    <t>Do Water Repellent Shoes Actually Work?</t>
  </si>
  <si>
    <t>We Drove 3,000 Miles For The World's Best Burger</t>
  </si>
  <si>
    <t>I Gave My 5,000,000th Subscriber 5,000,000 ______</t>
  </si>
  <si>
    <t>I Made Money Grow On Trees</t>
  </si>
  <si>
    <t>I Took Apart My Friends Car And Put It In His Room</t>
  </si>
  <si>
    <t>How Many Rubber Bands Does It Take To Snap A Safe?</t>
  </si>
  <si>
    <t>Pulling Cars Over Using A Toy Police Car</t>
  </si>
  <si>
    <t>I Gave $500,000 To Random People</t>
  </si>
  <si>
    <t>How Many Toy Cars Does It Take To Pull A Real Car?</t>
  </si>
  <si>
    <t>I Gave $20,000 To People From An Ice Cream Truck</t>
  </si>
  <si>
    <t>$10000 Ice Sculpture Vs Flame</t>
  </si>
  <si>
    <t>Can 1,000 Rolls Of Duct Tape Stop A Car??</t>
  </si>
  <si>
    <t>Winning A Game Of Fortnite In The Middle Of The Ocean</t>
  </si>
  <si>
    <t>I Flew Using Only Balloons AND Leaf Blowers</t>
  </si>
  <si>
    <t>I Donated $40,000 To A Random Twitch Fortnite Streamer (world record)</t>
  </si>
  <si>
    <t>Walking Up To Random People With 100 StormTroopers</t>
  </si>
  <si>
    <t>I Donated $10,000 If They Said This Word (Twitch Streamers)</t>
  </si>
  <si>
    <t>Giving My 4,000,000th Subscriber 4,000,000 Cookies</t>
  </si>
  <si>
    <t>I Tipped Waitresses $20,000</t>
  </si>
  <si>
    <t>Walking Into Random Stores With 100 Dinosaurs</t>
  </si>
  <si>
    <t>I Built A Mansion Using Only Cardboard Boxes</t>
  </si>
  <si>
    <t>Breaking Glass Using Only Megaphones</t>
  </si>
  <si>
    <t>Tying My Shoes In Every State (World Record)</t>
  </si>
  <si>
    <t>I Dropped $20,000 From A Drone</t>
  </si>
  <si>
    <t>Donating $10,000 To Fortnite Streamers If They Win</t>
  </si>
  <si>
    <t>Trying To Fly Using Only Leaf Blowers</t>
  </si>
  <si>
    <t>Giving 3,000,000 Pennies To My 3,000,000th Subscriber</t>
  </si>
  <si>
    <t>I Donated $30,000 To My Favorite Twitch Streamer (ninja)</t>
  </si>
  <si>
    <t>I Gave $20,000 To Random Homeless People</t>
  </si>
  <si>
    <t>I Bought An Expensive Car Using Only $1 Bills</t>
  </si>
  <si>
    <t>I Bought The World's Most Expensive Apps ($10k)</t>
  </si>
  <si>
    <t>We Delivered 100 Pizzas To Random Houses</t>
  </si>
  <si>
    <t>I Donated $30,000 To A Random Twitch Streamer (world record)</t>
  </si>
  <si>
    <t>I Bought A Car Using Only Pennies</t>
  </si>
  <si>
    <t>I Bought One Snickers Bar From Every Walmart</t>
  </si>
  <si>
    <t>Donating Big Donations To Twitch Streamers!!!</t>
  </si>
  <si>
    <t>I Can't Believe I Found This Stuff On Amazon..</t>
  </si>
  <si>
    <t>Saying "Keep Net Neutrality" For 10 Hours</t>
  </si>
  <si>
    <t>Life Hacks You Need To Know</t>
  </si>
  <si>
    <t>Can 100,000 Pieces Of Paper Stop A Bullet?</t>
  </si>
  <si>
    <t>Giving My Mom $100,000 (Proudest Day Of My Life)</t>
  </si>
  <si>
    <t>2,256 Miles In One Uber Ride (World Record)</t>
  </si>
  <si>
    <t>i'm really sorry</t>
  </si>
  <si>
    <t>Hi Me In Two Years (Made Two Years Ago)</t>
  </si>
  <si>
    <t>Tipping Uber Drivers $10,000</t>
  </si>
  <si>
    <t>Going To The Connor McGregor fight!</t>
  </si>
  <si>
    <t>Tipping Pizza Delivery Guys $10,000</t>
  </si>
  <si>
    <t>Microwaving my iPhone, what happens next might shock you..</t>
  </si>
  <si>
    <t>Saying Logan Paul 100,000 Times</t>
  </si>
  <si>
    <t>Donating $10,000 To Random Twitch Streamers</t>
  </si>
  <si>
    <t>Breaking The Law</t>
  </si>
  <si>
    <t>Giving Homeless People $1,000 (Not Clickbait)</t>
  </si>
  <si>
    <t>We Are Better Than Dude Perfect</t>
  </si>
  <si>
    <t>Every Challenge I've Ever Done</t>
  </si>
  <si>
    <t>Watching It's Everyday Bro For 10 Hours Straight</t>
  </si>
  <si>
    <t>Giving A Random Homeless Man $10,000</t>
  </si>
  <si>
    <t>Toothpaste Life Hacks YOU SHOULD KNOW</t>
  </si>
  <si>
    <t>Reading The Longest English Word (190,000 Characters)</t>
  </si>
  <si>
    <t>Fidget Spinner Vs Face (Legit Had To Get Stitches)</t>
  </si>
  <si>
    <t>Grilling A Microwave Microwaving A Microwave Microwaving A Toaster Toasting An Iphone Watching Micro</t>
  </si>
  <si>
    <t>#1 MOST INSANE MAGNET LIFE HACK EVER</t>
  </si>
  <si>
    <t>Watching Dance Till You're Dead For 10 Hours</t>
  </si>
  <si>
    <t>I Can't Break My Strange Addiction</t>
  </si>
  <si>
    <t>OMG! INSANE CUP FORT</t>
  </si>
  <si>
    <t>Savage Level 9000</t>
  </si>
  <si>
    <t>Reading The Youtube Terms Of Service</t>
  </si>
  <si>
    <t>Reacting To The Reaction Of The Reaction To The Reaction Of The Reaction Of The Reaction To The Reac</t>
  </si>
  <si>
    <t>Counting To 200,000 (Road To A Mil)</t>
  </si>
  <si>
    <t>Microwaving Dry Ice (Microwave Explodes)</t>
  </si>
  <si>
    <t>I Counted To 100,000!</t>
  </si>
  <si>
    <t>we are number one but every one is a bad intro</t>
  </si>
  <si>
    <t>Microwaving A Microwave Microwaving A Toaster</t>
  </si>
  <si>
    <t>HOW TO UNLOCK ANY IPHONE WITHOUT THE PASSCODE</t>
  </si>
  <si>
    <t>WHY DO THEY SELL THIS ON AMAZON?</t>
  </si>
  <si>
    <t>Microwaving A Microwave</t>
  </si>
  <si>
    <t>IF YOU ONLY SEE ORANGE YOU'RE COLOR BLIND</t>
  </si>
  <si>
    <t>I Mailed Myself IN A BOX &amp; it REALLY WORKED! (Human Mail Challenge)</t>
  </si>
  <si>
    <t>STUPIDEST PERSN ON EART (Really Dumb)</t>
  </si>
  <si>
    <t>Reading The Entire Bee Movie Script But Everytime They Say "Bee" I Repeat All the Previous Bees</t>
  </si>
  <si>
    <t>THE WORST THINGS EVER TO EXIST</t>
  </si>
  <si>
    <t>BLOWING UP $1000 KEYBOARD *RIP WALLET*</t>
  </si>
  <si>
    <t>MY $1000 KEYBOARD CHANGED MY LIFE</t>
  </si>
  <si>
    <t>I BOUGHT A 1000$ KEYBOARD</t>
  </si>
  <si>
    <t>IF ONLINE ADS WERE REAL</t>
  </si>
  <si>
    <t>IT FINALLY CAME IN THE MAIL</t>
  </si>
  <si>
    <t>Bleach Bottle Flips (COP CALLED)</t>
  </si>
  <si>
    <t>Hi Me In A Year (Scheduled Uploaded A Year Ago)</t>
  </si>
  <si>
    <t>Epic New Gaming And Youtube Setup 2016</t>
  </si>
  <si>
    <t>24 HOUR EXPLOSION GIVEAWAY! WIN GIFTCARDS</t>
  </si>
  <si>
    <t>LISTENING TO OLD VOICEMAILS FOR THE FIRST TIME</t>
  </si>
  <si>
    <t>GAMBLING MONEY WITH SCRATCH OFF TICKETS</t>
  </si>
  <si>
    <t>BEST WALMART TOILET PAPER FORT</t>
  </si>
  <si>
    <t>100 LAYERS OF SARAN WRAP + TOILET PAPER!!</t>
  </si>
  <si>
    <t>WORST REVIEWS ON AMAZON #4 *FUNNY*</t>
  </si>
  <si>
    <t>HOW MUCH MONEY DO YOUTUBERS MAKE?</t>
  </si>
  <si>
    <t>THE WORST SONG ON YOUTUBE *CRINGE*</t>
  </si>
  <si>
    <t>SURPRISING MY BROTHER WITH A LAPTOP</t>
  </si>
  <si>
    <t>SELLING ORGANS FOR $1,000,000</t>
  </si>
  <si>
    <t>POKEMON GO STEREOTYPES</t>
  </si>
  <si>
    <t>100,000 SUBSCRIBERS.EXE</t>
  </si>
  <si>
    <t>WORST REVIEWS ON AMAZON #2 HOW IS THIS LEGAL?</t>
  </si>
  <si>
    <t>BLOWING UP MY TABLET</t>
  </si>
  <si>
    <t>Worst Reviews On Amazon #1 (Minecraft Edition)</t>
  </si>
  <si>
    <t>WORST THUMBNAILS ON YOUTUBE #3</t>
  </si>
  <si>
    <t>REACTING TO MY OLD MINECRAFT VIDEOS (HORRIBLE)</t>
  </si>
  <si>
    <t>HOW TO MAKE A GOOD INTRO FOR YOUTUBE</t>
  </si>
  <si>
    <t>WORST BANNERS ON YOUTUBE #1</t>
  </si>
  <si>
    <t>50,000 Subscribers.exe</t>
  </si>
  <si>
    <t>Dude Perfect 4.0 - We Are Totally Better</t>
  </si>
  <si>
    <t>CUTTING TABLE IN HALF WITH PLASTIC KNIVES</t>
  </si>
  <si>
    <t>BEST INTROS ON YOUTUBE #1</t>
  </si>
  <si>
    <t>Motivation For Youtubers #6 LAST ONE</t>
  </si>
  <si>
    <t>How Many Licks Does It Take To Get To The Center Of A Tootsie Pop?</t>
  </si>
  <si>
    <t>Motivation For Youtubers #5</t>
  </si>
  <si>
    <t>18th Birthday QNA - Mom's Hair Dryer Age?</t>
  </si>
  <si>
    <t>WORST MEMES AND TRENDS ON YOUTUBE!</t>
  </si>
  <si>
    <t>Cereal Commentary</t>
  </si>
  <si>
    <t>WHERE IS MY COOKIE?????</t>
  </si>
  <si>
    <t>How Much Money Do Big Youtubers Make? (Pewdiepie, Markiplier, etc)</t>
  </si>
  <si>
    <t>Struggles Of Being A Youtuber</t>
  </si>
  <si>
    <t>Reenacting Youtubers</t>
  </si>
  <si>
    <t>Life Before And After Gamma (Insane) @GFuelEnergy</t>
  </si>
  <si>
    <t>Worst Thumbnails On Youtube #2 - Cringe</t>
  </si>
  <si>
    <t>Motivation For Small Youtubers #4 - Inspiration For Youtubers</t>
  </si>
  <si>
    <t>Scheduled Uploaded 6 Months Ago (REACTION)</t>
  </si>
  <si>
    <t>Dude Perfect 3.0 - We Are Better</t>
  </si>
  <si>
    <t>Dear Future Me (Scheduled Uploaded 6 Months Ago)</t>
  </si>
  <si>
    <t>$100 GIVEAWAY PRANK (NO WEAPONS INVOLVED)</t>
  </si>
  <si>
    <t>GIVING AWAY $100 ITUNES GIFT CARDS</t>
  </si>
  <si>
    <t>Walking Dead Daryl DIED (Fan Reaction To Death)</t>
  </si>
  <si>
    <t>Why Do Youtubers Ask For Likes?</t>
  </si>
  <si>
    <t>Making My Background More Epic</t>
  </si>
  <si>
    <t>Doing Youtube For Fun Or Views?</t>
  </si>
  <si>
    <t>Pranks That Went Horribly Wrong</t>
  </si>
  <si>
    <t>Who Founded Faze? Who Created Faze Clan?</t>
  </si>
  <si>
    <t>Subscriber Goals For 2017</t>
  </si>
  <si>
    <t>The Dreaded Unanswerable Question</t>
  </si>
  <si>
    <t>WORST THUMBNAILS ON YOUTUBE</t>
  </si>
  <si>
    <t>Beast Goes Camping (Didn't Go Wrong) (Didn't Go Sexual)</t>
  </si>
  <si>
    <t>NBA Interviews Gone Wrong (No Gun Pulled)</t>
  </si>
  <si>
    <t>Movie Trailers Be Like</t>
  </si>
  <si>
    <t>What Is Youtube Red? Should I Buy Youtube Red?</t>
  </si>
  <si>
    <t>Things I Hate #2 - Youtube Edition</t>
  </si>
  <si>
    <t>Super Bowl Commercial 2016 Cost - How Much Does A Commercial Cost In 2016 Super Bowl?</t>
  </si>
  <si>
    <t>Counting To 10000 In One Sitting</t>
  </si>
  <si>
    <t>HOW TO MAKE A VIRAL PRANK VIDEO 100% LEGIT</t>
  </si>
  <si>
    <t>Is Obama Dead? Dumb Google Searches!</t>
  </si>
  <si>
    <t>How To Be MrBeast (Made By Really Old Subscriber)</t>
  </si>
  <si>
    <t>Should You Play Video Games?</t>
  </si>
  <si>
    <t>School Is A Waste Of Time</t>
  </si>
  <si>
    <t>Is Michael Bay My Dad????????</t>
  </si>
  <si>
    <t>Lottery Taxes - How Much Tax Is If You Win The Lottery</t>
  </si>
  <si>
    <t>Motivation For Small Youtubers #3</t>
  </si>
  <si>
    <t>Giving Away Two $15 Gift Cards (forgive me boyz)</t>
  </si>
  <si>
    <t>Do Dislikes Matter On Youtube - Are Dislikes Bad Or Good?</t>
  </si>
  <si>
    <t>How To Get Active Subscribers On Youtube? Tips 2016</t>
  </si>
  <si>
    <t>Reaction Channels Are Stupid??????? #JCTG</t>
  </si>
  <si>
    <t>Goodbye Laptop</t>
  </si>
  <si>
    <t>2015 Year Highlights</t>
  </si>
  <si>
    <t>MrBeast Rest In Pepperoni 6000</t>
  </si>
  <si>
    <t>How To Think Of Good Video Ideas (Tips)</t>
  </si>
  <si>
    <t>Whats That Song Name?</t>
  </si>
  <si>
    <t>The Anti-Beast</t>
  </si>
  <si>
    <t>Reacting To Family Accounts (MamaBeast, MrBeast'sLaptop, Etc)</t>
  </si>
  <si>
    <t>Do Youtubers Pay Taxes????? (USA)</t>
  </si>
  <si>
    <t>Why Does This Video Have No Thumbnail?</t>
  </si>
  <si>
    <t>Totally 100% Real Epic Ping Pong Trickshots</t>
  </si>
  <si>
    <t>Exams Be Like</t>
  </si>
  <si>
    <t>How Many People Have A Silver Play Button????</t>
  </si>
  <si>
    <t>How To Get More Views And Subscribers On Youtube (2016)</t>
  </si>
  <si>
    <t>Should You Do COD Commentaries In 2016????</t>
  </si>
  <si>
    <t>THINGS I HATE #1</t>
  </si>
  <si>
    <t>Worst MrBeast6000 Intros?? (Fan Made!)</t>
  </si>
  <si>
    <t>Dear Razer Can I Have My 70$ Back?????</t>
  </si>
  <si>
    <t>How Many People Get The Golden Play Button? (1,000,000 Subscribers)</t>
  </si>
  <si>
    <t>Spam404 Has Terminated 5,000,000 Videos (Including Pewdiepie)</t>
  </si>
  <si>
    <t>MrBeast6000's First Video (So Bad lol)</t>
  </si>
  <si>
    <t>The Evolution Of My Youtube Banners</t>
  </si>
  <si>
    <t>Shark Tank Most Successful Products, Entrepreneurs, Or Businesses 2015</t>
  </si>
  <si>
    <t>PSYCHO FRIEND SMASHES MY LAPTOP! (Mc Juggernuggets Parody)</t>
  </si>
  <si>
    <t>FREE TO USE BO3 GAMEPLAY - 1080p</t>
  </si>
  <si>
    <t>Double Agent (Short Film)</t>
  </si>
  <si>
    <t>YOU ONLY DO YOUTUBE FOR VIEWS</t>
  </si>
  <si>
    <t>10,000 QNA With MUM</t>
  </si>
  <si>
    <t>Why I Stopped Playing Video Games - Video Game Commentary</t>
  </si>
  <si>
    <t>YOUTUBE RED STEALS CONTENT CREATORS MONEY? What Is Youtube Red?</t>
  </si>
  <si>
    <t>Millions Of Views!</t>
  </si>
  <si>
    <t>How To Get 1,000 Subscribers On Youtube - Vlogs Gaming</t>
  </si>
  <si>
    <t>High School Education Be Like (Paying Taxes)</t>
  </si>
  <si>
    <t>I Got Bored Of Studying So This Happened</t>
  </si>
  <si>
    <t>Best Microphone For Youtube (Gaming Commentaries Vocals Singing Podcast)</t>
  </si>
  <si>
    <t>9k Subs - Channel Talk</t>
  </si>
  <si>
    <t>How Much Money Does Bill Gates Make / Have - Billionaire</t>
  </si>
  <si>
    <t>MrBeast6000's Channel Trailer</t>
  </si>
  <si>
    <t>Best Non-Copyrighted Songs For Videos! (Intros Vlogs Gaming Trailers) 2016</t>
  </si>
  <si>
    <t>Is Being A Youtuber Hard? Is Being A Youtuber Worth It?</t>
  </si>
  <si>
    <t>Best Green Screen Lighting Ever? (Joking Obviously)</t>
  </si>
  <si>
    <t>How Do Youtubers Make Money? How Do Youtubers Get Paid?</t>
  </si>
  <si>
    <t>Increase Youtube Views 2015! COMMUNITY CHANNELS - Boosting Youtube Views</t>
  </si>
  <si>
    <t>Originality - A Youtube Poem By MrBeast6000</t>
  </si>
  <si>
    <t>Stupid Things People Search On Google</t>
  </si>
  <si>
    <t>Ad Blocker For Chrome and Mobile, Should You Use It?</t>
  </si>
  <si>
    <t>PC Master Race Vs Console Peasants</t>
  </si>
  <si>
    <t>Shia Labeouf Motivates Youtubers!</t>
  </si>
  <si>
    <t>Knives In Video Games Cost More Than Real Life????</t>
  </si>
  <si>
    <t>Why I Sold My PS4, Not A Gaming Channel???</t>
  </si>
  <si>
    <t>Selling PS4 For $250 + Elgato For $100!</t>
  </si>
  <si>
    <t>Do Tags Do Anything On Youtube?????</t>
  </si>
  <si>
    <t>Bronze And Platinum Play Buttons?????</t>
  </si>
  <si>
    <t>7k SUBS! Smashing Ghost + AW! Plus Channel Talk!</t>
  </si>
  <si>
    <t>Exility vs Dr.Pineapplez - Misleading Contest!</t>
  </si>
  <si>
    <t>6 Uses For Your Advanced Warfare Disk!</t>
  </si>
  <si>
    <t>MrBeastâ€™s Outro Song</t>
  </si>
  <si>
    <t>Watching Video Games Is A Waste Of Time????</t>
  </si>
  <si>
    <t>Pewdiepie's Shoutout, What Would You Do If You Won?</t>
  </si>
  <si>
    <t>How I Will Survive The Zombie Apocalypse!</t>
  </si>
  <si>
    <t>How Much Money Do Youtubers Make? Real Numbers!</t>
  </si>
  <si>
    <t>HONEST Shout Out Sunday! Free Subscribers!</t>
  </si>
  <si>
    <t>Social Media As A Job????</t>
  </si>
  <si>
    <t>Airplane Pilots Last Words Before Death</t>
  </si>
  <si>
    <t>How Much Do T.V. Commercials Cost?????</t>
  </si>
  <si>
    <t>How To Tweet When You're Dead! DEADSOCIAL Facebook And Instagram Also!</t>
  </si>
  <si>
    <t>My Favorite FaZe Clan Members?????</t>
  </si>
  <si>
    <t>MrBeast6000Subs</t>
  </si>
  <si>
    <t>Youtube Networking - Aka Fake Likes, Subs, And Comments</t>
  </si>
  <si>
    <t>I Hate Youtubers That Ask For Likes</t>
  </si>
  <si>
    <t>My Mom Found My Channel!! :0</t>
  </si>
  <si>
    <t>1080p FREE TO USE BLACK OPS 3 GAMEPLAY</t>
  </si>
  <si>
    <t>Black Ops 3 First Impressions, My First Game</t>
  </si>
  <si>
    <t>Dogs Opinions On Youtubers Getting BO3 Early</t>
  </si>
  <si>
    <t>BO3</t>
  </si>
  <si>
    <t>Xbox One Destroyer? COD Advertisement Is Free</t>
  </si>
  <si>
    <t>Modern Art Is A Joke</t>
  </si>
  <si>
    <t>5 Steps To Becoming Successful On Youtube!</t>
  </si>
  <si>
    <t>Time</t>
  </si>
  <si>
    <t>Beast $500ish Youtube PC Great For Making Videos!</t>
  </si>
  <si>
    <t>5,000 Hype</t>
  </si>
  <si>
    <t>What Is Crohns Disease?????</t>
  </si>
  <si>
    <t>Leaving For 7 Days</t>
  </si>
  <si>
    <t>Motivation For Youtube - Ultimate Small Youtuber Motivation #2</t>
  </si>
  <si>
    <t>Should I Buy An Elgato Game Capture??</t>
  </si>
  <si>
    <t>Fanboy Opinions On Black Ops 3</t>
  </si>
  <si>
    <t>Big Channel's Starting Over???</t>
  </si>
  <si>
    <t>SAT And Some Random Stuff</t>
  </si>
  <si>
    <t>How Many Youtubers Are Millionaires???</t>
  </si>
  <si>
    <t>Always Changing My Name? Mr.Beast or MrBeast6000</t>
  </si>
  <si>
    <t>How Much Youtube Money Do I Make???</t>
  </si>
  <si>
    <t>Am I Ian From Smosh????</t>
  </si>
  <si>
    <t>How Do You Turn Off A PS4? Xbox Noob In Need Of Help</t>
  </si>
  <si>
    <t>New Optic Gaming Gear Coming To Advanced Warfare, My Thoughts</t>
  </si>
  <si>
    <t>Youtube Collabs? Collabbing with Mr.Beast?</t>
  </si>
  <si>
    <t>Sacrifices And Youtube</t>
  </si>
  <si>
    <t>5$ To Advertise Your Youtube Channel???</t>
  </si>
  <si>
    <t>Reuploading Other Youtubers Videos? Stealing Big Youtubers Videos.</t>
  </si>
  <si>
    <t>4k Subscriber's! First Channel Story!</t>
  </si>
  <si>
    <t>People Who Got Rich From Movie Trailers On Youtube</t>
  </si>
  <si>
    <t>Beast Gaming Set Up #almost4k</t>
  </si>
  <si>
    <t>Advanced Warfare DLC 4 Honest Parody</t>
  </si>
  <si>
    <t>World's Worst Thieves</t>
  </si>
  <si>
    <t>VANOSSGAMING IS IN TROUBLE</t>
  </si>
  <si>
    <t>SpiderMan Robs Walmart?????</t>
  </si>
  <si>
    <t>My Upload For ThunderstruckGaming</t>
  </si>
  <si>
    <t>Best FNAF 4 Fake Reactions! So Funny lol</t>
  </si>
  <si>
    <t>How Many People Get The Diamond Play Button?????</t>
  </si>
  <si>
    <t>Supply Drops For Charity! Ep #2</t>
  </si>
  <si>
    <t>Best Thing To Happen To This Channel?????</t>
  </si>
  <si>
    <t>Supply Drop Challenge For Charity</t>
  </si>
  <si>
    <t>FaZe Clan Vs Pewdiepie Who Would Win?????</t>
  </si>
  <si>
    <t>FaZe Adapt "Stuttertage"</t>
  </si>
  <si>
    <t>The COD Community? Sleeping With Your Mom?</t>
  </si>
  <si>
    <t>Exility And Some Other Stuff - Update Vid</t>
  </si>
  <si>
    <t>Every Minecraft Let's Play Ever In Under A Minute</t>
  </si>
  <si>
    <t>Why I deleted Today's First Upload</t>
  </si>
  <si>
    <t>What Is Spam404?????</t>
  </si>
  <si>
    <t>The History Of Pewdiepie In 2 Minutes</t>
  </si>
  <si>
    <t>TWITCH STREAMERS REACT TO RECEIVING THOUSANDS FROM SAME GUY!</t>
  </si>
  <si>
    <t>I Hate Spam On Youtube</t>
  </si>
  <si>
    <t>INSANE TRIPLE LEGENDARY SUPPLY DROP! BEST OPENING YET?</t>
  </si>
  <si>
    <t>Low Bridge Causes Dozen's Of Wrecks! 11-8 Bridge</t>
  </si>
  <si>
    <t>3k HYPE</t>
  </si>
  <si>
    <t>How To Become A Gaming Youtuber! All You Need To Know!</t>
  </si>
  <si>
    <t>My Solution For The Theft At The FaZe House - @FaZe_Rain @FaZeAdapt</t>
  </si>
  <si>
    <t>5 Popular Channels That Were Terminated</t>
  </si>
  <si>
    <t>What Is Youtube Terms Of Service?????</t>
  </si>
  <si>
    <t>Do You Think You Will Be Famous?????</t>
  </si>
  <si>
    <t>What Is Swatting? Why I hate It!</t>
  </si>
  <si>
    <t>Reddit Is In Chaos After Firing Victoria</t>
  </si>
  <si>
    <t>Paid Promotion On Youtube Good?</t>
  </si>
  <si>
    <t>How To Gain Youtube Success</t>
  </si>
  <si>
    <t>FaZe Members Reaction's To Joining Faze</t>
  </si>
  <si>
    <t>Battle of The Beasts Round 2 Winners!</t>
  </si>
  <si>
    <t>Youtube In 10 Years?????</t>
  </si>
  <si>
    <t>The Ultimate Motivation For Small Youtubers</t>
  </si>
  <si>
    <t>How Much Does Pewdiepie Make?</t>
  </si>
  <si>
    <t>Random Stuff You Don't Care About</t>
  </si>
  <si>
    <t>Battle Of The Beast Round 1 Winners!</t>
  </si>
  <si>
    <t>The Truth About Big Community Channels</t>
  </si>
  <si>
    <t>WORLD'S FIRST BLACK OPS 3 GUN SYNC!!</t>
  </si>
  <si>
    <t>Insane Gun Sync - 7 Hours To Make</t>
  </si>
  <si>
    <t>Battle of The Beasts Bracket!!!! (Not accepting anymore)</t>
  </si>
  <si>
    <t>Free To Use Advanced Warfare Gameplay! 2015</t>
  </si>
  <si>
    <t>Battle Of The Beast Tournament UPDATE!</t>
  </si>
  <si>
    <t>My Top 5 Favorite Things At E3 2015</t>
  </si>
  <si>
    <t>Battle Of The Beasts (youtubers needed)</t>
  </si>
  <si>
    <t>History Of COD Part 2! Black Ops 1 - History Of COD On Youtube!</t>
  </si>
  <si>
    <t>How Did Notch Become A Billionaire? How Much Did Minecraft Sell For?????</t>
  </si>
  <si>
    <t>Top 10 Richest Gaming Youtubers?????</t>
  </si>
  <si>
    <t>Markiplier Is A Great Man! Sub shodleech!</t>
  </si>
  <si>
    <t>Insane Advanced Warfare Hacker!</t>
  </si>
  <si>
    <t>What Is Considered A "Bad Video" On Youtube????? #karnageRC</t>
  </si>
  <si>
    <t>I Think I Am Going For The #KarnageRC</t>
  </si>
  <si>
    <t>Every FaZe Video Ever #karnageRC</t>
  </si>
  <si>
    <t>How Much Money Do You Make As An Uber Driver??????</t>
  </si>
  <si>
    <t>How Much Does Faze Rain's Giveaway Cost??????</t>
  </si>
  <si>
    <t>MY MESSAGE TO COD YOUTUBERS (Watch till end plz)</t>
  </si>
  <si>
    <t>Best Of FlipArtz - His Best Advanced Supply Drops EVER!</t>
  </si>
  <si>
    <t>Summer Is Finally Here!</t>
  </si>
  <si>
    <t>Why Are Things Unbalanced In Video Games?????</t>
  </si>
  <si>
    <t>New Channel?</t>
  </si>
  <si>
    <t>Youtube "Freinds"</t>
  </si>
  <si>
    <t>Youtube Stat News - Vevo Gets 10 Bil. Views A Month, Channel Milestones, and more!</t>
  </si>
  <si>
    <t>Big Changes??? Idk just watch the stupid video</t>
  </si>
  <si>
    <t>How Much Money Does DramaAlert Make????</t>
  </si>
  <si>
    <t>L0114R - Biblical Creeper Post for Post @L0114R</t>
  </si>
  <si>
    <t>Why Do We Do Things That Are Bad For Us?????</t>
  </si>
  <si>
    <t>How To Monetize Your Videos And Make Lots Of Youtube Money!!$$$</t>
  </si>
  <si>
    <t>DIY $23.00 Mini Sound Booth? Does It Work?</t>
  </si>
  <si>
    <t>Cut Coms vs Uncut Coms</t>
  </si>
  <si>
    <t>Minimum Wage</t>
  </si>
  <si>
    <t>My New Channel Trailer ;)</t>
  </si>
  <si>
    <t>Why I Changed My Channel Name</t>
  </si>
  <si>
    <t>How Overpriced Is Movie Popcorn?????</t>
  </si>
  <si>
    <t>Screw Warface</t>
  </si>
  <si>
    <t>My Problems</t>
  </si>
  <si>
    <t>Ma Channel</t>
  </si>
  <si>
    <t>Remember When COD Was Fun?</t>
  </si>
  <si>
    <t>My Baby Got a Virus :(</t>
  </si>
  <si>
    <t>Cheat Channels</t>
  </si>
  <si>
    <t>2,000 Subscribers</t>
  </si>
  <si>
    <t>Youtube</t>
  </si>
  <si>
    <t>How To SAT, Get Into Yale</t>
  </si>
  <si>
    <t>100k Subs With No Videos????</t>
  </si>
  <si>
    <t>Is Jacksepticeye A Millionaire?????? 2016</t>
  </si>
  <si>
    <t>How Rich Is Buzz Feed???</t>
  </si>
  <si>
    <t>How To Do A High School or College Paper!</t>
  </si>
  <si>
    <t>What is Crohn's Disease?????</t>
  </si>
  <si>
    <t>What Happens If You Get A Copy Right Strike??</t>
  </si>
  <si>
    <t>5 Steps To Becoming Successful On Youtube</t>
  </si>
  <si>
    <t>Making Youtube a Priority</t>
  </si>
  <si>
    <t>Why I Was Not Uploading</t>
  </si>
  <si>
    <t>Youtubers Analytic's Explained</t>
  </si>
  <si>
    <t>How Much $$$ Does Every Member of FaZe Make COMBINED????? 2016</t>
  </si>
  <si>
    <t>Is Pewdiepie The #2 Youtuber?!?!?  :0</t>
  </si>
  <si>
    <t>How Much Money Does Smosh Make????? 2016</t>
  </si>
  <si>
    <t>Who Are The Worst Youtubers?????</t>
  </si>
  <si>
    <t>Subscriber Goals For 2016</t>
  </si>
  <si>
    <t>How Many People Do Youtube as a JOB?????</t>
  </si>
  <si>
    <t>How Much Money Does Syndicate Project Make????? 2016</t>
  </si>
  <si>
    <t>Are Youtubers Millionaires?</t>
  </si>
  <si>
    <t>Magecraft - Epic Hit! 11k Troops killed.</t>
  </si>
  <si>
    <t>Highest Paid Musicians????</t>
  </si>
  <si>
    <t>Making Fun Of Youtuber's Intros.</t>
  </si>
  <si>
    <t>10 Things You DIDN'T Know About Youtube!</t>
  </si>
  <si>
    <t>Quitting?</t>
  </si>
  <si>
    <t>How Much Money Does Markiplier Make????? 2016</t>
  </si>
  <si>
    <t>PewDiePie Uploads A Fake Video! LOL</t>
  </si>
  <si>
    <t>Pewdiepie Was On T.V.</t>
  </si>
  <si>
    <t>Five Facts You Didn't Know About Youtube.</t>
  </si>
  <si>
    <t>Milestones And Plans For My Channel</t>
  </si>
  <si>
    <t>How Much Money Did Gangnam Style Earn??? 2016</t>
  </si>
  <si>
    <t>Best League Player In The Universe.</t>
  </si>
  <si>
    <t>MageCraft - Beginners tutorial. (The app)</t>
  </si>
  <si>
    <t>How much money does VanossGaming Make? 2016</t>
  </si>
  <si>
    <t>Opening Old Basketball Cards! Ep. #1 (Michael Jordan Found)</t>
  </si>
  <si>
    <t>20 Best Websites?????</t>
  </si>
  <si>
    <t>How Much Money Does "Chris Smooth" Make?????</t>
  </si>
  <si>
    <t>Money Problems</t>
  </si>
  <si>
    <t>Vanoss vs Speedy! Who is better? Updated.</t>
  </si>
  <si>
    <t>Welcome To My Channel!</t>
  </si>
  <si>
    <t>How Much Money Does Yogscast Make????? 2016</t>
  </si>
  <si>
    <t>How Much Does WhiteBoy7thSt Make????? 2016</t>
  </si>
  <si>
    <t>How Much Does "Epic Rap Battles" Make?????</t>
  </si>
  <si>
    <t>How Much Money Does FaZe Make?????</t>
  </si>
  <si>
    <t>Top Youtube "ShoutOuts"</t>
  </si>
  <si>
    <t>Youtube Dream</t>
  </si>
  <si>
    <t>In Dis Video I Play Minecraft. (Factions)</t>
  </si>
  <si>
    <t>Youtube Grind</t>
  </si>
  <si>
    <t>Hacker in Ghost???? I Couldn't Kill Him.</t>
  </si>
  <si>
    <t>How Much Money Does Tmartn Make?????</t>
  </si>
  <si>
    <t>How Much Money Does FaZe Rain Make?????</t>
  </si>
  <si>
    <t>G2g Brb</t>
  </si>
  <si>
    <t>Crazy Nub Tub Reactions! Bo2 Fun!</t>
  </si>
  <si>
    <t>Fun In COD. - Insane Reactions Lol</t>
  </si>
  <si>
    <t>Minecraft Build-off Fun!!!!!</t>
  </si>
  <si>
    <t>This Kid Should Quit COD....</t>
  </si>
  <si>
    <t>Computer vs Console My Perspective.</t>
  </si>
  <si>
    <t>5 Youtubers I Think Will Be Famous...</t>
  </si>
  <si>
    <t>How Much Does PewDiePie Make????? 2016</t>
  </si>
  <si>
    <t>I Got Really Really Really Bored....</t>
  </si>
  <si>
    <t>How Much Money Does Penguinz0 Make????? 2016</t>
  </si>
  <si>
    <t>How Much Money Does CaptainSparkles Make????? 2016</t>
  </si>
  <si>
    <t>How Much Money Does Tobuscus Make?????</t>
  </si>
  <si>
    <t>COD IS NOT DEAD</t>
  </si>
  <si>
    <t>Storm</t>
  </si>
  <si>
    <t>Hearthstone - All Beards Challenge!</t>
  </si>
  <si>
    <t>Youtube ad.</t>
  </si>
  <si>
    <t>Impossible</t>
  </si>
  <si>
    <t>Motivation</t>
  </si>
  <si>
    <t>1k Subs</t>
  </si>
  <si>
    <t>Yup I is the best at the game.</t>
  </si>
  <si>
    <t>Should I join FaZe?????</t>
  </si>
  <si>
    <t>Youtube Networks Requirerments. (Machinima, TGN, 8byte....)</t>
  </si>
  <si>
    <t>Two Years of Youtube.</t>
  </si>
  <si>
    <t>How Much Money Does "Element Animation" Make?????</t>
  </si>
  <si>
    <t>How Much Money Does "Skydoesminecraft" Make????</t>
  </si>
  <si>
    <t>Should College Athletes Be Paid?????</t>
  </si>
  <si>
    <t>"Beast" Channel Trailer</t>
  </si>
  <si>
    <t>What It Takes To Be A Full Time Youtuber...</t>
  </si>
  <si>
    <t>How Video Games Boosted My SAT Score. Lol</t>
  </si>
  <si>
    <t>How Much Money Do I Make?????</t>
  </si>
  <si>
    <t>Update</t>
  </si>
  <si>
    <t>Subscribers.</t>
  </si>
  <si>
    <t>How Much Money Does KyR's Speedy's Crew Make?????</t>
  </si>
  <si>
    <t>How Many Youtubers Are Millionaries?????</t>
  </si>
  <si>
    <t>Flappy Bird - Builders Showdown, Which is Better?</t>
  </si>
  <si>
    <t>New COD Zombies In 2014?????</t>
  </si>
  <si>
    <t>Minecraft Mansion Timelapse</t>
  </si>
  <si>
    <t>Top 5 NON-COPYRIGHTED Songs!!!!!</t>
  </si>
  <si>
    <t>Vanoss vs Speedy! Which is better?</t>
  </si>
  <si>
    <t>I Hate Pewdiepie!!!!!</t>
  </si>
  <si>
    <t>Does Spam Work?????</t>
  </si>
  <si>
    <t>100th VIDEO SPECIAL!</t>
  </si>
  <si>
    <t>The Vortex SMP Episode 1! Just Derping Around and Explaining Things.</t>
  </si>
  <si>
    <t>Has Youtube Met Its Match?????</t>
  </si>
  <si>
    <t>How Much Money Does Pewdiepie Make????? (Updated 2015)</t>
  </si>
  <si>
    <t>Battle Pirates, my base.</t>
  </si>
  <si>
    <t>Battle Pirates, Hellstrike Base attack.</t>
  </si>
  <si>
    <t>Battle Pirates, Unstoppable Ship!</t>
  </si>
  <si>
    <t>Best Hellstrike Build???? (Battle Pirates)</t>
  </si>
  <si>
    <t>Marauder Builds, Battle Pirates In Depth Builds.</t>
  </si>
  <si>
    <t>Battle pirates, How To Auto Lvl 40 Salvages.</t>
  </si>
  <si>
    <t>Hellstrikes vs 7 halos!</t>
  </si>
  <si>
    <t>Battle Pirates, Hellstrike vs Epic Base!</t>
  </si>
  <si>
    <t>Battle Pirates, Another Hellstrike Fail.</t>
  </si>
  <si>
    <t>Battle pirates Hellstrike fail!</t>
  </si>
  <si>
    <t>Battle Pirates, lvl 66 vs Missile Cruiser x Fleet!</t>
  </si>
  <si>
    <t>Battle Pirates, Hellstrike Too Overpowered????</t>
  </si>
  <si>
    <t>Battle Pirates, All Sentinel Base.</t>
  </si>
  <si>
    <t>Battle pirates, Lvl 58 Mercury Base Attack!</t>
  </si>
  <si>
    <t>Battle Pirates, Stingray vs Mercury Epic Battle!</t>
  </si>
  <si>
    <t>OpTiC NaDeShOt Got Hack!!</t>
  </si>
  <si>
    <t>Epic Ghost Multiplayer EasterEggs! (PrisonBreak, Sovereign, and Flooded)</t>
  </si>
  <si>
    <t>Why Google Does Not Care What We Think....</t>
  </si>
  <si>
    <t>My First Kem Strike!</t>
  </si>
  <si>
    <t>Google+ The Death Of Youtube?????</t>
  </si>
  <si>
    <t>How Much Money Does PewDiePie Make?????</t>
  </si>
  <si>
    <t>Most Overpowered Guns In Ghost!</t>
  </si>
  <si>
    <t>Are Minecraft Faction Has A New Pet! (poopymiscquidlepants)</t>
  </si>
  <si>
    <t>Battle Pirates!</t>
  </si>
  <si>
    <t>How To Duplicate Diamonds!!!!</t>
  </si>
  <si>
    <t>50k Video Views!!!! EpicSauce!</t>
  </si>
  <si>
    <t>If This Video Gets One Million Views.....</t>
  </si>
  <si>
    <t>These Were The Good Days....</t>
  </si>
  <si>
    <t>Channel Update.</t>
  </si>
  <si>
    <t>Funny Noob Tubing Reaction Montage!</t>
  </si>
  <si>
    <t>Minecraft, How To Grief Without Being Seen!</t>
  </si>
  <si>
    <t>Buried Round 50 Gameplay! Black ops 2 Zombies.</t>
  </si>
  <si>
    <t>Minecraft Let's Play Ep. # 2 - Having Fun and Derping!</t>
  </si>
  <si>
    <t>Worlds Biggest Ball Of TNT Minecraft!  Challenge Video!</t>
  </si>
  <si>
    <t>How To Get A Gaming Partnership, And What It Is.</t>
  </si>
  <si>
    <t>Camping Montage.... LOL</t>
  </si>
  <si>
    <t>Black Ops 2! Mini Update Video.</t>
  </si>
  <si>
    <t>Randomness</t>
  </si>
  <si>
    <t>203 Kill Game! Thanks For 300 Subscribers!</t>
  </si>
  <si>
    <t>Call of Duty Ghost Multiplier Reveal Trailer Release Date!</t>
  </si>
  <si>
    <t>Insane Black Ops 2 HACKER!!!!</t>
  </si>
  <si>
    <t>Top Subscribed To Channels? BO2 w/ commentary!</t>
  </si>
  <si>
    <t>Career Ender ....  LOL</t>
  </si>
  <si>
    <t>I Bought A New Microphone!  (quality test)</t>
  </si>
  <si>
    <t>Top 10 Worst Guns in Call Of Duty History!</t>
  </si>
  <si>
    <t>Black ops 2 Patch news!</t>
  </si>
  <si>
    <t>Black ops 2 Invisible equipment and scorestreak glitch!</t>
  </si>
  <si>
    <t>I'm Back! Update Video....</t>
  </si>
  <si>
    <t>Minecraft Let's Play! Ep. 1. The Beginning!</t>
  </si>
  <si>
    <t>Channel Trailer....</t>
  </si>
  <si>
    <t>Black ops 2 Shotgun gameplay w/ commentary....  Ps4 or Xbox?</t>
  </si>
  <si>
    <t>Black ops 2 Gameplay w/ commentary. Hipsters</t>
  </si>
  <si>
    <t>Project Zomboid Let's Play ep [04] lots of stuff</t>
  </si>
  <si>
    <t>Project Zomboid Let's Play ep. [03] Looting and storing.</t>
  </si>
  <si>
    <t>Project Zomboid let's play ep. [02] Just some chores.</t>
  </si>
  <si>
    <t>Project Zomboid Lets Play ep [01] Roughing it out!</t>
  </si>
  <si>
    <t>Gunpowder plus mod! (Grenade mod) Epic explosions for minecraft.</t>
  </si>
  <si>
    <t>Horse racing map for new update! (minecraft)</t>
  </si>
  <si>
    <t>Amazing minecraft Cathedral!</t>
  </si>
  <si>
    <t>Huge WW2 jeep! Minecraft creations.</t>
  </si>
  <si>
    <t>Story time!</t>
  </si>
  <si>
    <t>Epic Minecraft city! (w/ download link!)</t>
  </si>
  <si>
    <t>Pokemon online battle #9 [rb] Hidden power ice ftw!</t>
  </si>
  <si>
    <t>Pokemon online battle #8 Stone edge</t>
  </si>
  <si>
    <t>Online pokemon battle #7 [uu] 5-0</t>
  </si>
  <si>
    <t>Magic karp sweeps whole team of LEGENDARIES!!!</t>
  </si>
  <si>
    <t>Pokemon online battles #5 [uu] Heracross never seems to dissapoint me...</t>
  </si>
  <si>
    <t>This is a detailed break down of my favorite UU team... ENJOY!</t>
  </si>
  <si>
    <t>Pokemon online battle #4 [uu] Same old team</t>
  </si>
  <si>
    <t>Online pokemon battle #3 [uu] Ice punch</t>
  </si>
  <si>
    <t>Pokemon online battle #2 [uu] Herracross w/ Dat MOXIE BOOST</t>
  </si>
  <si>
    <t>Why I Haven't Been Uploading</t>
  </si>
  <si>
    <t>Most Epic Thing In Minecraft!?!?!?!?!?!!?????</t>
  </si>
  <si>
    <t>Epic minecraft apartment complex!</t>
  </si>
  <si>
    <t>Crazy Illulsions In Minecraft. (Bigre)</t>
  </si>
  <si>
    <t>Best Minecraft Castle Ever?</t>
  </si>
  <si>
    <t>How to get unlimited diamonds! minecraft (x-ray)</t>
  </si>
  <si>
    <t>Drinks in minecraft (mod)</t>
  </si>
  <si>
    <t>Emerald tool mod! (minecraft)</t>
  </si>
  <si>
    <t>This is a block? Since when lol.</t>
  </si>
  <si>
    <t>Scary minecraft pig skin!</t>
  </si>
  <si>
    <t>Most Epic minecraft skin EVER  (Psy)</t>
  </si>
  <si>
    <t>More birds IN MINECRAFT!!</t>
  </si>
  <si>
    <t>Boxy item mod Minecraft.  EPIC</t>
  </si>
  <si>
    <t>Harry Potter Mod In Minecraft! EPIC MUST SEE MOD!!!</t>
  </si>
  <si>
    <t>Worst Minecraft Saw Trap Ever???</t>
  </si>
  <si>
    <t>Year</t>
  </si>
  <si>
    <t>Month</t>
  </si>
  <si>
    <t>Day</t>
  </si>
  <si>
    <t>Engament Rate</t>
  </si>
  <si>
    <t>Likes per 1000 Views</t>
  </si>
  <si>
    <t>Comments per 1000  Views</t>
  </si>
  <si>
    <t>Sum of Views</t>
  </si>
  <si>
    <t>Row Labels</t>
  </si>
  <si>
    <t>Grand Total</t>
  </si>
  <si>
    <t>Which Videos got Most Views in MRBEAST?</t>
  </si>
  <si>
    <t>Sum of Likes</t>
  </si>
  <si>
    <t>Which Videos Got Highest Likes?</t>
  </si>
  <si>
    <t>Sum of Comments</t>
  </si>
  <si>
    <t>Which Videos Got Highest Comments?</t>
  </si>
  <si>
    <t>Total_Views</t>
  </si>
  <si>
    <t>Year-wise  Analysis</t>
  </si>
  <si>
    <t>Count of Title</t>
  </si>
  <si>
    <t>Did MrBeast Upload more videos over Time?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</si>
  <si>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</si>
  <si>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</si>
  <si>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</si>
  <si>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</si>
  <si>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</si>
  <si>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</si>
  <si>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</si>
  <si>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</si>
  <si>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</si>
  <si>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</si>
  <si>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</si>
  <si>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</si>
  <si>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Views</t>
  </si>
  <si>
    <t>Which Month gives highest Views?</t>
  </si>
  <si>
    <t>Monday</t>
  </si>
  <si>
    <t>Tuesday</t>
  </si>
  <si>
    <t>Wednesday</t>
  </si>
  <si>
    <t>Thursday</t>
  </si>
  <si>
    <t>Friday</t>
  </si>
  <si>
    <t>Saturday</t>
  </si>
  <si>
    <t>Sunday</t>
  </si>
  <si>
    <t>Which day performs best?</t>
  </si>
  <si>
    <t>Top 10 Videos</t>
  </si>
  <si>
    <t>Total Views</t>
  </si>
  <si>
    <t>Top 10 Videos Of MrBeast</t>
  </si>
  <si>
    <t>Correlation Analysis Views vs Likes</t>
  </si>
  <si>
    <t>Correlation Views Vs Comments</t>
  </si>
  <si>
    <t>Title Length</t>
  </si>
  <si>
    <t>Challenge</t>
  </si>
  <si>
    <t>Video_Category</t>
  </si>
  <si>
    <t>Endurance</t>
  </si>
  <si>
    <t>Money</t>
  </si>
  <si>
    <t>Other</t>
  </si>
  <si>
    <t>Survival</t>
  </si>
  <si>
    <t>Video_Categories</t>
  </si>
  <si>
    <t>Category</t>
  </si>
  <si>
    <t>Average of Views</t>
  </si>
  <si>
    <t>Average of Engagement_Rate</t>
  </si>
  <si>
    <t>Average of Comments</t>
  </si>
  <si>
    <t>Average of Likes</t>
  </si>
  <si>
    <t>Avg Engament Rate</t>
  </si>
  <si>
    <t>Avg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</si>
</sst>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sz val="2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4" fontId="0" fillId="0" borderId="0" xfId="0" applyNumberFormat="1"/>
    <xf numFmtId="2" fontId="0" fillId="0" borderId="0" xfId="42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43" fontId="0" fillId="0" borderId="0" xfId="0" applyNumberFormat="1"/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1" fontId="0" fillId="0" borderId="0" xfId="0" applyNumberFormat="1"/>
    <xf numFmtId="0" fontId="20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1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" formatCode="0"/>
    </dxf>
    <dxf>
      <numFmt numFmtId="2" formatCode="0.00"/>
    </dxf>
    <dxf>
      <numFmt numFmtId="2" formatCode="0.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[mrbeast_all_videos.csv.xlsx]Year-Wise Views!PivotTable8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'Year-Wise Views'!$B$2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'Year-Wise Views'!$A$3:$A$18</c:f>
              <c:strCach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strCache>
            </c:strRef>
          </c:cat>
          <c:val>
            <c:numRef>
              <c:f>'Year-Wise Views'!$B$3:$B$18</c:f>
              <c:numCache>
                <c:formatCode>_(* #,##0.00_);_(* \(#,##0.00\);_(* "-"??_);_(@_)</c:formatCode>
                <c:ptCount val="15"/>
                <c:pt idx="0">
                  <c:v>41773254</c:v>
                </c:pt>
                <c:pt idx="1">
                  <c:v>41170085</c:v>
                </c:pt>
                <c:pt idx="2">
                  <c:v>36356181</c:v>
                </c:pt>
                <c:pt idx="3">
                  <c:v>74598716</c:v>
                </c:pt>
                <c:pt idx="4">
                  <c:v>266826080</c:v>
                </c:pt>
                <c:pt idx="5">
                  <c:v>590576039</c:v>
                </c:pt>
                <c:pt idx="6">
                  <c:v>4119580813</c:v>
                </c:pt>
                <c:pt idx="7">
                  <c:v>8977133593</c:v>
                </c:pt>
                <c:pt idx="8">
                  <c:v>7765541554</c:v>
                </c:pt>
                <c:pt idx="9">
                  <c:v>6885363939</c:v>
                </c:pt>
                <c:pt idx="10">
                  <c:v>9515062453</c:v>
                </c:pt>
                <c:pt idx="11">
                  <c:v>28248472817</c:v>
                </c:pt>
                <c:pt idx="12">
                  <c:v>25377993316</c:v>
                </c:pt>
                <c:pt idx="13">
                  <c:v>26979105739</c:v>
                </c:pt>
                <c:pt idx="14">
                  <c:v>11967375565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3-447E-9173-D930047A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74272"/>
        <c:axId val="639672832"/>
      </c:lineChart>
      <c:catAx>
        <c:axId val="6396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72832"/>
        <c:crosses val="autoZero"/>
        <c:auto val="1"/>
        <c:lblAlgn val="ctr"/>
        <c:lblOffset val="100"/>
        <c:noMultiLvlLbl val="0"/>
      </c:catAx>
      <c:valAx>
        <c:axId val="6396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[mrbeast_all_videos.csv.xlsx]Top 10 Videos!PivotTable12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Videos'!$B$3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Videos'!$A$4:$A$14</c:f>
              <c:strCache>
                <c:ptCount val="10"/>
                <c:pt idx="0">
                  <c:v>Giving iPhones Instead Of Candy on Halloween</c:v>
                </c:pt>
                <c:pt idx="1">
                  <c:v>Would You Fly To Paris For A Baguette?</c:v>
                </c:pt>
                <c:pt idx="2">
                  <c:v>Guess The Gift, Keep It</c:v>
                </c:pt>
                <c:pt idx="3">
                  <c:v>Subscribe for an iPhone</c:v>
                </c:pt>
                <c:pt idx="4">
                  <c:v>$100,000,000 Car Doors</c:v>
                </c:pt>
                <c:pt idx="5">
                  <c:v>Guess The Animal</c:v>
                </c:pt>
                <c:pt idx="6">
                  <c:v>Giving Away $1,000,000 in Gifts To My Subscribers</c:v>
                </c:pt>
                <c:pt idx="7">
                  <c:v>Answer The Call, Win $10,000</c:v>
                </c:pt>
                <c:pt idx="8">
                  <c:v>Katana Vs Bullet</c:v>
                </c:pt>
                <c:pt idx="9">
                  <c:v>Flip a Coin, Win $30,000</c:v>
                </c:pt>
              </c:strCache>
            </c:strRef>
          </c:cat>
          <c:val>
            <c:numRef>
              <c:f>'Top 10 Videos'!$B$4:$B$14</c:f>
              <c:numCache>
                <c:formatCode>0.00</c:formatCode>
                <c:ptCount val="10"/>
                <c:pt idx="0">
                  <c:v>1816848204</c:v>
                </c:pt>
                <c:pt idx="1">
                  <c:v>1763457596</c:v>
                </c:pt>
                <c:pt idx="2">
                  <c:v>1660965595</c:v>
                </c:pt>
                <c:pt idx="3">
                  <c:v>1516831635</c:v>
                </c:pt>
                <c:pt idx="4">
                  <c:v>1329975358</c:v>
                </c:pt>
                <c:pt idx="5">
                  <c:v>1246650395</c:v>
                </c:pt>
                <c:pt idx="6">
                  <c:v>1221190093</c:v>
                </c:pt>
                <c:pt idx="7">
                  <c:v>1211809470</c:v>
                </c:pt>
                <c:pt idx="8">
                  <c:v>1181331718</c:v>
                </c:pt>
                <c:pt idx="9">
                  <c:v>1150823786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F-4F03-B97C-1208E18F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130128"/>
        <c:axId val="498137808"/>
      </c:barChart>
      <c:catAx>
        <c:axId val="49813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7808"/>
        <c:crosses val="autoZero"/>
        <c:auto val="1"/>
        <c:lblAlgn val="ctr"/>
        <c:lblOffset val="100"/>
        <c:noMultiLvlLbl val="0"/>
      </c:catAx>
      <c:valAx>
        <c:axId val="49813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3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[mrbeast_all_videos.csv.xlsx]AVG_Views_category!PivotTable1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AVG_Views_category!$B$3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AVG_Views_category!$A$4:$A$9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Survival</c:v>
                </c:pt>
                <c:pt idx="4">
                  <c:v>Other</c:v>
                </c:pt>
              </c:strCache>
            </c:strRef>
          </c:cat>
          <c:val>
            <c:numRef>
              <c:f>AVG_Views_category!$B$4:$B$9</c:f>
              <c:numCache>
                <c:formatCode>0</c:formatCode>
                <c:ptCount val="5"/>
                <c:pt idx="0">
                  <c:v>95183005.516129032</c:v>
                </c:pt>
                <c:pt idx="1">
                  <c:v>154206767.16666666</c:v>
                </c:pt>
                <c:pt idx="2">
                  <c:v>234230806.52912623</c:v>
                </c:pt>
                <c:pt idx="3">
                  <c:v>232201782.23076922</c:v>
                </c:pt>
                <c:pt idx="4">
                  <c:v>103612649.87140903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F-4D8E-B891-C62AE5690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6144"/>
        <c:axId val="2052057584"/>
      </c:barChart>
      <c:catAx>
        <c:axId val="205205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57584"/>
        <c:crosses val="autoZero"/>
        <c:auto val="1"/>
        <c:lblAlgn val="ctr"/>
        <c:lblOffset val="100"/>
        <c:noMultiLvlLbl val="0"/>
      </c:catAx>
      <c:valAx>
        <c:axId val="205205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[mrbeast_all_videos.csv.xlsx]Likes_category!PivotTable2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Likes_category!$B$1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Likes_category!$A$2:$A$7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Likes_category!$B$2:$B$7</c:f>
              <c:numCache>
                <c:formatCode>0.00</c:formatCode>
                <c:ptCount val="5"/>
                <c:pt idx="0">
                  <c:v>2187373.3548387098</c:v>
                </c:pt>
                <c:pt idx="1">
                  <c:v>3673419</c:v>
                </c:pt>
                <c:pt idx="2">
                  <c:v>4682375.4223300973</c:v>
                </c:pt>
                <c:pt idx="3">
                  <c:v>2577665.3447332419</c:v>
                </c:pt>
                <c:pt idx="4">
                  <c:v>4530663.307692308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D-43D2-B07F-91B54406B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523008"/>
        <c:axId val="1951508608"/>
      </c:barChart>
      <c:catAx>
        <c:axId val="19515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08608"/>
        <c:crosses val="autoZero"/>
        <c:auto val="1"/>
        <c:lblAlgn val="ctr"/>
        <c:lblOffset val="100"/>
        <c:noMultiLvlLbl val="0"/>
      </c:catAx>
      <c:valAx>
        <c:axId val="19515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[mrbeast_all_videos.csv.xlsx]Comments_category!PivotTable3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Total_Comments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Comments_category!$B$3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Comments_category!$A$4:$A$9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Comments_category!$B$4:$B$9</c:f>
              <c:numCache>
                <c:formatCode>0.00</c:formatCode>
                <c:ptCount val="5"/>
                <c:pt idx="0">
                  <c:v>41749.516129032258</c:v>
                </c:pt>
                <c:pt idx="1">
                  <c:v>59343.166666666664</c:v>
                </c:pt>
                <c:pt idx="2">
                  <c:v>79694.043689320388</c:v>
                </c:pt>
                <c:pt idx="3">
                  <c:v>29411.028727770179</c:v>
                </c:pt>
                <c:pt idx="4">
                  <c:v>105165.61538461539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802-9A32-1FB8DFA24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021584"/>
        <c:axId val="2052012944"/>
      </c:barChart>
      <c:catAx>
        <c:axId val="205202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12944"/>
        <c:crosses val="autoZero"/>
        <c:auto val="1"/>
        <c:lblAlgn val="ctr"/>
        <c:lblOffset val="100"/>
        <c:noMultiLvlLbl val="0"/>
      </c:catAx>
      <c:valAx>
        <c:axId val="20520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2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[mrbeast_all_videos.csv.xlsx]Count of Titles!PivotTable4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 of Titles'!$B$3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0-4ACE-8389-FA08285C89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0-4ACE-8389-FA08285C89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0-4ACE-8389-FA08285C89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0-4ACE-8389-FA08285C89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0-4ACE-8389-FA08285C89C1}"/>
              </c:ext>
            </c:extLst>
          </c:dPt>
          <c:cat>
            <c:strRef>
              <c:f>'Count of Titles'!$A$4:$A$9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'Count of Titles'!$B$4:$B$9</c:f>
              <c:numCache>
                <c:formatCode>General</c:formatCode>
                <c:ptCount val="5"/>
                <c:pt idx="0">
                  <c:v>31</c:v>
                </c:pt>
                <c:pt idx="1">
                  <c:v>6</c:v>
                </c:pt>
                <c:pt idx="2">
                  <c:v>206</c:v>
                </c:pt>
                <c:pt idx="3">
                  <c:v>731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B-4DAC-989D-CE16D499E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[mrbeast_all_videos.csv.xlsx]Avg_engagement_rate!PivotTable5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Avg_engagement_rate!$B$3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Avg_engagement_rate!$A$4:$A$9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Avg_engagement_rate!$B$4:$B$9</c:f>
              <c:numCache>
                <c:formatCode>General</c:formatCode>
                <c:ptCount val="5"/>
                <c:pt idx="0">
                  <c:v>3.021716983028131</c:v>
                </c:pt>
                <c:pt idx="1">
                  <c:v>4.021040565386472</c:v>
                </c:pt>
                <c:pt idx="2">
                  <c:v>3.0048934737112649</c:v>
                </c:pt>
                <c:pt idx="3">
                  <c:v>3.1020860561034391</c:v>
                </c:pt>
                <c:pt idx="4">
                  <c:v>2.916741027802781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A-49B1-BB01-DB7C65828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47024"/>
        <c:axId val="2052044624"/>
      </c:barChart>
      <c:catAx>
        <c:axId val="205204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44624"/>
        <c:crosses val="autoZero"/>
        <c:auto val="1"/>
        <c:lblAlgn val="ctr"/>
        <c:lblOffset val="100"/>
        <c:noMultiLvlLbl val="0"/>
      </c:catAx>
      <c:valAx>
        <c:axId val="205204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[mrbeast_all_videos.csv.xlsx]Most audience Interaction!PivotTable7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'Most audience Interaction'!$B$3</c:f>
              <c:strCache>
                <c:ptCount val="1"/>
                <c:pt idx="0">
                  <c:v>Avg 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'Most audience Interaction'!$A$4:$A$9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'Most audience Interaction'!$B$4:$B$9</c:f>
              <c:numCache>
                <c:formatCode>0.00</c:formatCode>
                <c:ptCount val="5"/>
                <c:pt idx="0">
                  <c:v>95183005.516129032</c:v>
                </c:pt>
                <c:pt idx="1">
                  <c:v>154206767.16666666</c:v>
                </c:pt>
                <c:pt idx="2">
                  <c:v>234230806.52912623</c:v>
                </c:pt>
                <c:pt idx="3">
                  <c:v>103612649.87140903</c:v>
                </c:pt>
                <c:pt idx="4">
                  <c:v>232201782.23076922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2-473C-9AB7-C736FFA9CE89}"/>
            </c:ext>
          </c:extLst>
        </c:ser>
        <c:ser>
          <c:idx val="1"/>
          <c:order val="1"/>
          <c:tx>
            <c:strRef>
              <c:f>'Most audience Interaction'!$C$3</c:f>
              <c:strCache>
                <c:ptCount val="1"/>
                <c:pt idx="0">
                  <c:v>Avg Engament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'Most audience Interaction'!$A$4:$A$9</c:f>
              <c:strCache>
                <c:ptCount val="5"/>
                <c:pt idx="0">
                  <c:v>Challenge</c:v>
                </c:pt>
                <c:pt idx="1">
                  <c:v>Endurance</c:v>
                </c:pt>
                <c:pt idx="2">
                  <c:v>Money</c:v>
                </c:pt>
                <c:pt idx="3">
                  <c:v>Other</c:v>
                </c:pt>
                <c:pt idx="4">
                  <c:v>Survival</c:v>
                </c:pt>
              </c:strCache>
            </c:strRef>
          </c:cat>
          <c:val>
            <c:numRef>
              <c:f>'Most audience Interaction'!$C$4:$C$9</c:f>
              <c:numCache>
                <c:formatCode>0.00</c:formatCode>
                <c:ptCount val="5"/>
                <c:pt idx="0">
                  <c:v>2.7242021113664143</c:v>
                </c:pt>
                <c:pt idx="1">
                  <c:v>2.5897050325331716</c:v>
                </c:pt>
                <c:pt idx="2">
                  <c:v>2.3678274790191964</c:v>
                </c:pt>
                <c:pt idx="3">
                  <c:v>3.1180315759646886</c:v>
                </c:pt>
                <c:pt idx="4">
                  <c:v>2.2006375679518047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2-473C-9AB7-C736FFA9C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211951"/>
        <c:axId val="1861213391"/>
      </c:lineChart>
      <c:catAx>
        <c:axId val="18612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13391"/>
        <c:crosses val="autoZero"/>
        <c:auto val="1"/>
        <c:lblAlgn val="ctr"/>
        <c:lblOffset val="100"/>
        <c:noMultiLvlLbl val="0"/>
      </c:catAx>
      <c:valAx>
        <c:axId val="18612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Views</a:t>
            </a:r>
            <a:r>
              <a:rPr lang="en-IN" baseline="0"/>
              <a:t> vs Likes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v>Views vs Likes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MrBeast_Cleaned_Dataset!$C$2:$C$988</c:f>
              <c:numCache>
                <c:formatCode>0.00</c:formatCode>
                <c:ptCount val="54"/>
                <c:pt idx="0">
                  <c:v>130518718</c:v>
                </c:pt>
                <c:pt idx="1">
                  <c:v>8880900</c:v>
                </c:pt>
                <c:pt idx="2">
                  <c:v>62264600</c:v>
                </c:pt>
                <c:pt idx="3">
                  <c:v>11011863</c:v>
                </c:pt>
                <c:pt idx="4">
                  <c:v>86411166</c:v>
                </c:pt>
                <c:pt idx="5">
                  <c:v>679847266</c:v>
                </c:pt>
                <c:pt idx="6">
                  <c:v>111478886</c:v>
                </c:pt>
                <c:pt idx="7">
                  <c:v>70103357</c:v>
                </c:pt>
                <c:pt idx="8">
                  <c:v>128541828</c:v>
                </c:pt>
                <c:pt idx="9">
                  <c:v>85713424</c:v>
                </c:pt>
                <c:pt idx="10">
                  <c:v>158846200</c:v>
                </c:pt>
                <c:pt idx="11">
                  <c:v>19230719</c:v>
                </c:pt>
                <c:pt idx="12">
                  <c:v>128893992</c:v>
                </c:pt>
                <c:pt idx="13">
                  <c:v>18371605</c:v>
                </c:pt>
                <c:pt idx="14">
                  <c:v>140045451</c:v>
                </c:pt>
                <c:pt idx="15">
                  <c:v>15670322</c:v>
                </c:pt>
                <c:pt idx="16">
                  <c:v>126420335</c:v>
                </c:pt>
                <c:pt idx="17">
                  <c:v>26738846</c:v>
                </c:pt>
                <c:pt idx="18">
                  <c:v>153266977</c:v>
                </c:pt>
                <c:pt idx="19">
                  <c:v>18460027</c:v>
                </c:pt>
                <c:pt idx="20">
                  <c:v>16947694</c:v>
                </c:pt>
                <c:pt idx="21">
                  <c:v>37162928</c:v>
                </c:pt>
                <c:pt idx="22">
                  <c:v>41717130</c:v>
                </c:pt>
                <c:pt idx="23">
                  <c:v>51790997</c:v>
                </c:pt>
                <c:pt idx="24">
                  <c:v>230044635</c:v>
                </c:pt>
                <c:pt idx="25">
                  <c:v>87493049</c:v>
                </c:pt>
                <c:pt idx="26">
                  <c:v>112979930</c:v>
                </c:pt>
                <c:pt idx="27">
                  <c:v>174949490</c:v>
                </c:pt>
                <c:pt idx="28">
                  <c:v>63292424</c:v>
                </c:pt>
                <c:pt idx="29">
                  <c:v>109837392</c:v>
                </c:pt>
                <c:pt idx="30">
                  <c:v>127897654</c:v>
                </c:pt>
                <c:pt idx="31">
                  <c:v>1220368372</c:v>
                </c:pt>
                <c:pt idx="32">
                  <c:v>99528244</c:v>
                </c:pt>
                <c:pt idx="33">
                  <c:v>131784458</c:v>
                </c:pt>
                <c:pt idx="34">
                  <c:v>103677747</c:v>
                </c:pt>
                <c:pt idx="35">
                  <c:v>634740319</c:v>
                </c:pt>
                <c:pt idx="36">
                  <c:v>90026599</c:v>
                </c:pt>
                <c:pt idx="37">
                  <c:v>97020419</c:v>
                </c:pt>
                <c:pt idx="38">
                  <c:v>320768587</c:v>
                </c:pt>
                <c:pt idx="39">
                  <c:v>354422379</c:v>
                </c:pt>
                <c:pt idx="40">
                  <c:v>127697094</c:v>
                </c:pt>
                <c:pt idx="41">
                  <c:v>146632610</c:v>
                </c:pt>
                <c:pt idx="42">
                  <c:v>362606510</c:v>
                </c:pt>
                <c:pt idx="43">
                  <c:v>325367332</c:v>
                </c:pt>
                <c:pt idx="44">
                  <c:v>125911907</c:v>
                </c:pt>
                <c:pt idx="45">
                  <c:v>180628523</c:v>
                </c:pt>
                <c:pt idx="46">
                  <c:v>156925389</c:v>
                </c:pt>
                <c:pt idx="47">
                  <c:v>318642383</c:v>
                </c:pt>
                <c:pt idx="48">
                  <c:v>336785327</c:v>
                </c:pt>
                <c:pt idx="49">
                  <c:v>491669636</c:v>
                </c:pt>
                <c:pt idx="50">
                  <c:v>1150823786</c:v>
                </c:pt>
                <c:pt idx="51">
                  <c:v>706173056</c:v>
                </c:pt>
                <c:pt idx="52">
                  <c:v>574352236</c:v>
                </c:pt>
                <c:pt idx="53">
                  <c:v>675992847</c:v>
                </c:pt>
              </c:numCache>
            </c:numRef>
          </c:xVal>
          <c:yVal>
            <c:numRef>
              <c:f>MrBeast_Cleaned_Dataset!$D$2:$D$988</c:f>
              <c:numCache>
                <c:formatCode>0.00</c:formatCode>
                <c:ptCount val="54"/>
                <c:pt idx="0">
                  <c:v>2579009</c:v>
                </c:pt>
                <c:pt idx="1">
                  <c:v>339957</c:v>
                </c:pt>
                <c:pt idx="2">
                  <c:v>1965717</c:v>
                </c:pt>
                <c:pt idx="3">
                  <c:v>446914</c:v>
                </c:pt>
                <c:pt idx="4">
                  <c:v>1847674</c:v>
                </c:pt>
                <c:pt idx="5">
                  <c:v>5785615</c:v>
                </c:pt>
                <c:pt idx="6">
                  <c:v>2619052</c:v>
                </c:pt>
                <c:pt idx="7">
                  <c:v>2387295</c:v>
                </c:pt>
                <c:pt idx="8">
                  <c:v>2473487</c:v>
                </c:pt>
                <c:pt idx="9">
                  <c:v>2372163</c:v>
                </c:pt>
                <c:pt idx="10">
                  <c:v>3208380</c:v>
                </c:pt>
                <c:pt idx="11">
                  <c:v>940015</c:v>
                </c:pt>
                <c:pt idx="12">
                  <c:v>2660932</c:v>
                </c:pt>
                <c:pt idx="13">
                  <c:v>566707</c:v>
                </c:pt>
                <c:pt idx="14">
                  <c:v>2900664</c:v>
                </c:pt>
                <c:pt idx="15">
                  <c:v>421128</c:v>
                </c:pt>
                <c:pt idx="16">
                  <c:v>1749517</c:v>
                </c:pt>
                <c:pt idx="17">
                  <c:v>988766</c:v>
                </c:pt>
                <c:pt idx="18">
                  <c:v>3150143</c:v>
                </c:pt>
                <c:pt idx="19">
                  <c:v>400068</c:v>
                </c:pt>
                <c:pt idx="20">
                  <c:v>453994</c:v>
                </c:pt>
                <c:pt idx="21">
                  <c:v>883076</c:v>
                </c:pt>
                <c:pt idx="22">
                  <c:v>1119219</c:v>
                </c:pt>
                <c:pt idx="23">
                  <c:v>1484672</c:v>
                </c:pt>
                <c:pt idx="24">
                  <c:v>5129789</c:v>
                </c:pt>
                <c:pt idx="25">
                  <c:v>2293405</c:v>
                </c:pt>
                <c:pt idx="26">
                  <c:v>2256693</c:v>
                </c:pt>
                <c:pt idx="27">
                  <c:v>3817798</c:v>
                </c:pt>
                <c:pt idx="28">
                  <c:v>1337947</c:v>
                </c:pt>
                <c:pt idx="29">
                  <c:v>2445299</c:v>
                </c:pt>
                <c:pt idx="30">
                  <c:v>2277697</c:v>
                </c:pt>
                <c:pt idx="31">
                  <c:v>6780422</c:v>
                </c:pt>
                <c:pt idx="32">
                  <c:v>1892392</c:v>
                </c:pt>
                <c:pt idx="33">
                  <c:v>2139059</c:v>
                </c:pt>
                <c:pt idx="34">
                  <c:v>2034248</c:v>
                </c:pt>
                <c:pt idx="35">
                  <c:v>3494242</c:v>
                </c:pt>
                <c:pt idx="36">
                  <c:v>2300242</c:v>
                </c:pt>
                <c:pt idx="37">
                  <c:v>1917110</c:v>
                </c:pt>
                <c:pt idx="38">
                  <c:v>3483909</c:v>
                </c:pt>
                <c:pt idx="39">
                  <c:v>2706368</c:v>
                </c:pt>
                <c:pt idx="40">
                  <c:v>1411717</c:v>
                </c:pt>
                <c:pt idx="41">
                  <c:v>2455195</c:v>
                </c:pt>
                <c:pt idx="42">
                  <c:v>4942868</c:v>
                </c:pt>
                <c:pt idx="43">
                  <c:v>2951349</c:v>
                </c:pt>
                <c:pt idx="44">
                  <c:v>1675369</c:v>
                </c:pt>
                <c:pt idx="45">
                  <c:v>2622280</c:v>
                </c:pt>
                <c:pt idx="46">
                  <c:v>2774150</c:v>
                </c:pt>
                <c:pt idx="47">
                  <c:v>2146674</c:v>
                </c:pt>
                <c:pt idx="48">
                  <c:v>4628087</c:v>
                </c:pt>
                <c:pt idx="49">
                  <c:v>6084981</c:v>
                </c:pt>
                <c:pt idx="50">
                  <c:v>8917138</c:v>
                </c:pt>
                <c:pt idx="51">
                  <c:v>3333954</c:v>
                </c:pt>
                <c:pt idx="52">
                  <c:v>5439422</c:v>
                </c:pt>
                <c:pt idx="53">
                  <c:v>8112213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F-4E5A-BF54-E24540A37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682384"/>
        <c:axId val="1657686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987"/>
                    <c:pt idx="0">
                      <c:v>1</c:v>
                    </c:pt>
                    <c:pt idx="1">
                      <c:v>1</c:v>
                    </c:pt>
                    <c:pt idx="2">
                      <c:v>1</c:v>
                    </c:pt>
                    <c:pt idx="3">
                      <c:v>1</c:v>
                    </c:pt>
                    <c:pt idx="4">
                      <c:v>1</c:v>
                    </c:pt>
                    <c:pt idx="5">
                      <c:v>1</c:v>
                    </c:pt>
                    <c:pt idx="6">
                      <c:v>1</c:v>
                    </c:pt>
                    <c:pt idx="7">
                      <c:v>1</c:v>
                    </c:pt>
                    <c:pt idx="8">
                      <c:v>1</c:v>
                    </c:pt>
                    <c:pt idx="9">
                      <c:v>1</c:v>
                    </c:pt>
                    <c:pt idx="10">
                      <c:v>1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1</c:v>
                    </c:pt>
                    <c:pt idx="14">
                      <c:v>1</c:v>
                    </c:pt>
                    <c:pt idx="15">
                      <c:v>1</c:v>
                    </c:pt>
                    <c:pt idx="16">
                      <c:v>1</c:v>
                    </c:pt>
                    <c:pt idx="17">
                      <c:v>1</c:v>
                    </c:pt>
                    <c:pt idx="18">
                      <c:v>1</c:v>
                    </c:pt>
                    <c:pt idx="19">
                      <c:v>1</c:v>
                    </c:pt>
                    <c:pt idx="20">
                      <c:v>1</c:v>
                    </c:pt>
                    <c:pt idx="21">
                      <c:v>1</c:v>
                    </c:pt>
                    <c:pt idx="22">
                      <c:v>1</c:v>
                    </c:pt>
                    <c:pt idx="23">
                      <c:v>1</c:v>
                    </c:pt>
                    <c:pt idx="24">
                      <c:v>1</c:v>
                    </c:pt>
                    <c:pt idx="25">
                      <c:v>1</c:v>
                    </c:pt>
                    <c:pt idx="26">
                      <c:v>1</c:v>
                    </c:pt>
                    <c:pt idx="27">
                      <c:v>1</c:v>
                    </c:pt>
                    <c:pt idx="28">
                      <c:v>1</c:v>
                    </c:pt>
                    <c:pt idx="29">
                      <c:v>1</c:v>
                    </c:pt>
                    <c:pt idx="30">
                      <c:v>1</c:v>
                    </c:pt>
                    <c:pt idx="31">
                      <c:v>1</c:v>
                    </c:pt>
                    <c:pt idx="32">
                      <c:v>1</c:v>
                    </c:pt>
                    <c:pt idx="33">
                      <c:v>1</c:v>
                    </c:pt>
                    <c:pt idx="34">
                      <c:v>1</c:v>
                    </c:pt>
                    <c:pt idx="35">
                      <c:v>1</c:v>
                    </c:pt>
                    <c:pt idx="36">
                      <c:v>1</c:v>
                    </c:pt>
                    <c:pt idx="37">
                      <c:v>1</c:v>
                    </c:pt>
                    <c:pt idx="38">
                      <c:v>1</c:v>
                    </c:pt>
                    <c:pt idx="39">
                      <c:v>1</c:v>
                    </c:pt>
                    <c:pt idx="40">
                      <c:v>1</c:v>
                    </c:pt>
                    <c:pt idx="41">
                      <c:v>1</c:v>
                    </c:pt>
                    <c:pt idx="42">
                      <c:v>1</c:v>
                    </c:pt>
                    <c:pt idx="43">
                      <c:v>1</c:v>
                    </c:pt>
                    <c:pt idx="44">
                      <c:v>1</c:v>
                    </c:pt>
                    <c:pt idx="45">
                      <c:v>1</c:v>
                    </c:pt>
                    <c:pt idx="46">
                      <c:v>1</c:v>
                    </c:pt>
                    <c:pt idx="47">
                      <c:v>1</c:v>
                    </c:pt>
                    <c:pt idx="48">
                      <c:v>1</c:v>
                    </c:pt>
                    <c:pt idx="49">
                      <c:v>1</c:v>
                    </c:pt>
                    <c:pt idx="50">
                      <c:v>1</c:v>
                    </c:pt>
                    <c:pt idx="51">
                      <c:v>1</c:v>
                    </c:pt>
                    <c:pt idx="52">
                      <c:v>1</c:v>
                    </c:pt>
                    <c:pt idx="53">
                      <c:v>1</c:v>
                    </c:pt>
                    <c:pt idx="54">
                      <c:v>1</c:v>
                    </c:pt>
                    <c:pt idx="55">
                      <c:v>1</c:v>
                    </c:pt>
                    <c:pt idx="56">
                      <c:v>1</c:v>
                    </c:pt>
                    <c:pt idx="57">
                      <c:v>1</c:v>
                    </c:pt>
                    <c:pt idx="58">
                      <c:v>1</c:v>
                    </c:pt>
                    <c:pt idx="59">
                      <c:v>1</c:v>
                    </c:pt>
                    <c:pt idx="60">
                      <c:v>1</c:v>
                    </c:pt>
                    <c:pt idx="61">
                      <c:v>1</c:v>
                    </c:pt>
                    <c:pt idx="62">
                      <c:v>1</c:v>
                    </c:pt>
                    <c:pt idx="63">
                      <c:v>1</c:v>
                    </c:pt>
                    <c:pt idx="64">
                      <c:v>1</c:v>
                    </c:pt>
                    <c:pt idx="65">
                      <c:v>1</c:v>
                    </c:pt>
                    <c:pt idx="66">
                      <c:v>1</c:v>
                    </c:pt>
                    <c:pt idx="67">
                      <c:v>1</c:v>
                    </c:pt>
                    <c:pt idx="68">
                      <c:v>1</c:v>
                    </c:pt>
                    <c:pt idx="69">
                      <c:v>1</c:v>
                    </c:pt>
                    <c:pt idx="70">
                      <c:v>1</c:v>
                    </c:pt>
                    <c:pt idx="71">
                      <c:v>1</c:v>
                    </c:pt>
                    <c:pt idx="72">
                      <c:v>1</c:v>
                    </c:pt>
                    <c:pt idx="73">
                      <c:v>1</c:v>
                    </c:pt>
                    <c:pt idx="74">
                      <c:v>1</c:v>
                    </c:pt>
                    <c:pt idx="75">
                      <c:v>1</c:v>
                    </c:pt>
                    <c:pt idx="76">
                      <c:v>1</c:v>
                    </c:pt>
                    <c:pt idx="77">
                      <c:v>1</c:v>
                    </c:pt>
                    <c:pt idx="78">
                      <c:v>1</c:v>
                    </c:pt>
                    <c:pt idx="79">
                      <c:v>1</c:v>
                    </c:pt>
                    <c:pt idx="80">
                      <c:v>1</c:v>
                    </c:pt>
                    <c:pt idx="81">
                      <c:v>1</c:v>
                    </c:pt>
                    <c:pt idx="82">
                      <c:v>1</c:v>
                    </c:pt>
                    <c:pt idx="83">
                      <c:v>1</c:v>
                    </c:pt>
                    <c:pt idx="84">
                      <c:v>1</c:v>
                    </c:pt>
                    <c:pt idx="85">
                      <c:v>1</c:v>
                    </c:pt>
                    <c:pt idx="86">
                      <c:v>1</c:v>
                    </c:pt>
                    <c:pt idx="87">
                      <c:v>1</c:v>
                    </c:pt>
                    <c:pt idx="88">
                      <c:v>1</c:v>
                    </c:pt>
                    <c:pt idx="89">
                      <c:v>1</c:v>
                    </c:pt>
                    <c:pt idx="90">
                      <c:v>1</c:v>
                    </c:pt>
                    <c:pt idx="91">
                      <c:v>1</c:v>
                    </c:pt>
                    <c:pt idx="92">
                      <c:v>1</c:v>
                    </c:pt>
                    <c:pt idx="93">
                      <c:v>1</c:v>
                    </c:pt>
                    <c:pt idx="94">
                      <c:v>1</c:v>
                    </c:pt>
                    <c:pt idx="95">
                      <c:v>1</c:v>
                    </c:pt>
                    <c:pt idx="96">
                      <c:v>1</c:v>
                    </c:pt>
                    <c:pt idx="97">
                      <c:v>1</c:v>
                    </c:pt>
                    <c:pt idx="98">
                      <c:v>1</c:v>
                    </c:pt>
                    <c:pt idx="99">
                      <c:v>1</c:v>
                    </c:pt>
                    <c:pt idx="100">
                      <c:v>1</c:v>
                    </c:pt>
                    <c:pt idx="101">
                      <c:v>1</c:v>
                    </c:pt>
                    <c:pt idx="102">
                      <c:v>1</c:v>
                    </c:pt>
                    <c:pt idx="103">
                      <c:v>1</c:v>
                    </c:pt>
                    <c:pt idx="104">
                      <c:v>1</c:v>
                    </c:pt>
                    <c:pt idx="105">
                      <c:v>1</c:v>
                    </c:pt>
                    <c:pt idx="106">
                      <c:v>1</c:v>
                    </c:pt>
                    <c:pt idx="107">
                      <c:v>1</c:v>
                    </c:pt>
                    <c:pt idx="108">
                      <c:v>1</c:v>
                    </c:pt>
                    <c:pt idx="109">
                      <c:v>1</c:v>
                    </c:pt>
                    <c:pt idx="110">
                      <c:v>1</c:v>
                    </c:pt>
                    <c:pt idx="111">
                      <c:v>1</c:v>
                    </c:pt>
                    <c:pt idx="112">
                      <c:v>1</c:v>
                    </c:pt>
                    <c:pt idx="113">
                      <c:v>1</c:v>
                    </c:pt>
                    <c:pt idx="114">
                      <c:v>1</c:v>
                    </c:pt>
                    <c:pt idx="115">
                      <c:v>1</c:v>
                    </c:pt>
                    <c:pt idx="116">
                      <c:v>1</c:v>
                    </c:pt>
                    <c:pt idx="117">
                      <c:v>1</c:v>
                    </c:pt>
                    <c:pt idx="118">
                      <c:v>1</c:v>
                    </c:pt>
                    <c:pt idx="119">
                      <c:v>1</c:v>
                    </c:pt>
                    <c:pt idx="120">
                      <c:v>1</c:v>
                    </c:pt>
                    <c:pt idx="121">
                      <c:v>1</c:v>
                    </c:pt>
                    <c:pt idx="122">
                      <c:v>1</c:v>
                    </c:pt>
                    <c:pt idx="123">
                      <c:v>1</c:v>
                    </c:pt>
                    <c:pt idx="124">
                      <c:v>1</c:v>
                    </c:pt>
                    <c:pt idx="125">
                      <c:v>1</c:v>
                    </c:pt>
                    <c:pt idx="126">
                      <c:v>1</c:v>
                    </c:pt>
                    <c:pt idx="127">
                      <c:v>1</c:v>
                    </c:pt>
                    <c:pt idx="128">
                      <c:v>1</c:v>
                    </c:pt>
                    <c:pt idx="129">
                      <c:v>1</c:v>
                    </c:pt>
                    <c:pt idx="130">
                      <c:v>1</c:v>
                    </c:pt>
                    <c:pt idx="131">
                      <c:v>1</c:v>
                    </c:pt>
                    <c:pt idx="132">
                      <c:v>1</c:v>
                    </c:pt>
                    <c:pt idx="133">
                      <c:v>1</c:v>
                    </c:pt>
                    <c:pt idx="134">
                      <c:v>1</c:v>
                    </c:pt>
                    <c:pt idx="135">
                      <c:v>1</c:v>
                    </c:pt>
                    <c:pt idx="136">
                      <c:v>1</c:v>
                    </c:pt>
                    <c:pt idx="137">
                      <c:v>1</c:v>
                    </c:pt>
                    <c:pt idx="138">
                      <c:v>1</c:v>
                    </c:pt>
                    <c:pt idx="139">
                      <c:v>1</c:v>
                    </c:pt>
                    <c:pt idx="140">
                      <c:v>1</c:v>
                    </c:pt>
                    <c:pt idx="141">
                      <c:v>1</c:v>
                    </c:pt>
                    <c:pt idx="142">
                      <c:v>1</c:v>
                    </c:pt>
                    <c:pt idx="143">
                      <c:v>1</c:v>
                    </c:pt>
                    <c:pt idx="144">
                      <c:v>1</c:v>
                    </c:pt>
                    <c:pt idx="145">
                      <c:v>1</c:v>
                    </c:pt>
                    <c:pt idx="146">
                      <c:v>1</c:v>
                    </c:pt>
                    <c:pt idx="147">
                      <c:v>1</c:v>
                    </c:pt>
                    <c:pt idx="148">
                      <c:v>1</c:v>
                    </c:pt>
                    <c:pt idx="149">
                      <c:v>1</c:v>
                    </c:pt>
                    <c:pt idx="150">
                      <c:v>1</c:v>
                    </c:pt>
                    <c:pt idx="151">
                      <c:v>1</c:v>
                    </c:pt>
                    <c:pt idx="152">
                      <c:v>1</c:v>
                    </c:pt>
                    <c:pt idx="153">
                      <c:v>1</c:v>
                    </c:pt>
                    <c:pt idx="154">
                      <c:v>1</c:v>
                    </c:pt>
                    <c:pt idx="155">
                      <c:v>1</c:v>
                    </c:pt>
                    <c:pt idx="156">
                      <c:v>1</c:v>
                    </c:pt>
                    <c:pt idx="157">
                      <c:v>1</c:v>
                    </c:pt>
                    <c:pt idx="158">
                      <c:v>1</c:v>
                    </c:pt>
                    <c:pt idx="159">
                      <c:v>1</c:v>
                    </c:pt>
                    <c:pt idx="160">
                      <c:v>1</c:v>
                    </c:pt>
                    <c:pt idx="161">
                      <c:v>1</c:v>
                    </c:pt>
                    <c:pt idx="162">
                      <c:v>1</c:v>
                    </c:pt>
                    <c:pt idx="163">
                      <c:v>1</c:v>
                    </c:pt>
                    <c:pt idx="164">
                      <c:v>1</c:v>
                    </c:pt>
                    <c:pt idx="165">
                      <c:v>1</c:v>
                    </c:pt>
                    <c:pt idx="166">
                      <c:v>1</c:v>
                    </c:pt>
                    <c:pt idx="167">
                      <c:v>1</c:v>
                    </c:pt>
                    <c:pt idx="168">
                      <c:v>1</c:v>
                    </c:pt>
                    <c:pt idx="169">
                      <c:v>1</c:v>
                    </c:pt>
                    <c:pt idx="170">
                      <c:v>1</c:v>
                    </c:pt>
                    <c:pt idx="171">
                      <c:v>1</c:v>
                    </c:pt>
                    <c:pt idx="172">
                      <c:v>1</c:v>
                    </c:pt>
                    <c:pt idx="173">
                      <c:v>1</c:v>
                    </c:pt>
                    <c:pt idx="174">
                      <c:v>1</c:v>
                    </c:pt>
                    <c:pt idx="175">
                      <c:v>1</c:v>
                    </c:pt>
                    <c:pt idx="176">
                      <c:v>1</c:v>
                    </c:pt>
                    <c:pt idx="177">
                      <c:v>1</c:v>
                    </c:pt>
                    <c:pt idx="178">
                      <c:v>1</c:v>
                    </c:pt>
                    <c:pt idx="179">
                      <c:v>1</c:v>
                    </c:pt>
                    <c:pt idx="180">
                      <c:v>1</c:v>
                    </c:pt>
                    <c:pt idx="181">
                      <c:v>1</c:v>
                    </c:pt>
                    <c:pt idx="182">
                      <c:v>1</c:v>
                    </c:pt>
                    <c:pt idx="183">
                      <c:v>1</c:v>
                    </c:pt>
                    <c:pt idx="184">
                      <c:v>1</c:v>
                    </c:pt>
                    <c:pt idx="185">
                      <c:v>1</c:v>
                    </c:pt>
                    <c:pt idx="186">
                      <c:v>1</c:v>
                    </c:pt>
                    <c:pt idx="187">
                      <c:v>1</c:v>
                    </c:pt>
                    <c:pt idx="188">
                      <c:v>1</c:v>
                    </c:pt>
                    <c:pt idx="189">
                      <c:v>1</c:v>
                    </c:pt>
                    <c:pt idx="190">
                      <c:v>1</c:v>
                    </c:pt>
                    <c:pt idx="191">
                      <c:v>1</c:v>
                    </c:pt>
                    <c:pt idx="192">
                      <c:v>1</c:v>
                    </c:pt>
                    <c:pt idx="193">
                      <c:v>1</c:v>
                    </c:pt>
                    <c:pt idx="194">
                      <c:v>1</c:v>
                    </c:pt>
                    <c:pt idx="195">
                      <c:v>1</c:v>
                    </c:pt>
                    <c:pt idx="196">
                      <c:v>1</c:v>
                    </c:pt>
                    <c:pt idx="197">
                      <c:v>1</c:v>
                    </c:pt>
                    <c:pt idx="198">
                      <c:v>1</c:v>
                    </c:pt>
                    <c:pt idx="199">
                      <c:v>1</c:v>
                    </c:pt>
                    <c:pt idx="200">
                      <c:v>1</c:v>
                    </c:pt>
                    <c:pt idx="201">
                      <c:v>1</c:v>
                    </c:pt>
                    <c:pt idx="202">
                      <c:v>1</c:v>
                    </c:pt>
                    <c:pt idx="203">
                      <c:v>1</c:v>
                    </c:pt>
                    <c:pt idx="204">
                      <c:v>1</c:v>
                    </c:pt>
                    <c:pt idx="205">
                      <c:v>1</c:v>
                    </c:pt>
                    <c:pt idx="206">
                      <c:v>1</c:v>
                    </c:pt>
                    <c:pt idx="207">
                      <c:v>1</c:v>
                    </c:pt>
                    <c:pt idx="208">
                      <c:v>1</c:v>
                    </c:pt>
                    <c:pt idx="209">
                      <c:v>1</c:v>
                    </c:pt>
                    <c:pt idx="210">
                      <c:v>1</c:v>
                    </c:pt>
                    <c:pt idx="211">
                      <c:v>1</c:v>
                    </c:pt>
                    <c:pt idx="212">
                      <c:v>1</c:v>
                    </c:pt>
                    <c:pt idx="213">
                      <c:v>1</c:v>
                    </c:pt>
                    <c:pt idx="214">
                      <c:v>1</c:v>
                    </c:pt>
                    <c:pt idx="215">
                      <c:v>1</c:v>
                    </c:pt>
                    <c:pt idx="216">
                      <c:v>1</c:v>
                    </c:pt>
                    <c:pt idx="217">
                      <c:v>1</c:v>
                    </c:pt>
                    <c:pt idx="218">
                      <c:v>1</c:v>
                    </c:pt>
                    <c:pt idx="219">
                      <c:v>1</c:v>
                    </c:pt>
                    <c:pt idx="220">
                      <c:v>1</c:v>
                    </c:pt>
                    <c:pt idx="221">
                      <c:v>1</c:v>
                    </c:pt>
                    <c:pt idx="222">
                      <c:v>1</c:v>
                    </c:pt>
                    <c:pt idx="223">
                      <c:v>1</c:v>
                    </c:pt>
                    <c:pt idx="224">
                      <c:v>1</c:v>
                    </c:pt>
                    <c:pt idx="225">
                      <c:v>1</c:v>
                    </c:pt>
                    <c:pt idx="226">
                      <c:v>1</c:v>
                    </c:pt>
                    <c:pt idx="227">
                      <c:v>1</c:v>
                    </c:pt>
                    <c:pt idx="228">
                      <c:v>1</c:v>
                    </c:pt>
                    <c:pt idx="229">
                      <c:v>1</c:v>
                    </c:pt>
                    <c:pt idx="230">
                      <c:v>1</c:v>
                    </c:pt>
                    <c:pt idx="231">
                      <c:v>1</c:v>
                    </c:pt>
                    <c:pt idx="232">
                      <c:v>1</c:v>
                    </c:pt>
                    <c:pt idx="233">
                      <c:v>1</c:v>
                    </c:pt>
                    <c:pt idx="234">
                      <c:v>1</c:v>
                    </c:pt>
                    <c:pt idx="235">
                      <c:v>1</c:v>
                    </c:pt>
                    <c:pt idx="236">
                      <c:v>1</c:v>
                    </c:pt>
                    <c:pt idx="237">
                      <c:v>1</c:v>
                    </c:pt>
                    <c:pt idx="238">
                      <c:v>1</c:v>
                    </c:pt>
                    <c:pt idx="239">
                      <c:v>1</c:v>
                    </c:pt>
                    <c:pt idx="240">
                      <c:v>1</c:v>
                    </c:pt>
                    <c:pt idx="241">
                      <c:v>1</c:v>
                    </c:pt>
                    <c:pt idx="242">
                      <c:v>1</c:v>
                    </c:pt>
                    <c:pt idx="243">
                      <c:v>1</c:v>
                    </c:pt>
                    <c:pt idx="244">
                      <c:v>1</c:v>
                    </c:pt>
                    <c:pt idx="245">
                      <c:v>1</c:v>
                    </c:pt>
                    <c:pt idx="246">
                      <c:v>1</c:v>
                    </c:pt>
                    <c:pt idx="247">
                      <c:v>1</c:v>
                    </c:pt>
                    <c:pt idx="248">
                      <c:v>1</c:v>
                    </c:pt>
                    <c:pt idx="249">
                      <c:v>1</c:v>
                    </c:pt>
                    <c:pt idx="250">
                      <c:v>1</c:v>
                    </c:pt>
                    <c:pt idx="251">
                      <c:v>1</c:v>
                    </c:pt>
                    <c:pt idx="252">
                      <c:v>1</c:v>
                    </c:pt>
                    <c:pt idx="253">
                      <c:v>1</c:v>
                    </c:pt>
                    <c:pt idx="254">
                      <c:v>1</c:v>
                    </c:pt>
                    <c:pt idx="255">
                      <c:v>1</c:v>
                    </c:pt>
                    <c:pt idx="256">
                      <c:v>1</c:v>
                    </c:pt>
                    <c:pt idx="257">
                      <c:v>1</c:v>
                    </c:pt>
                    <c:pt idx="258">
                      <c:v>1</c:v>
                    </c:pt>
                    <c:pt idx="259">
                      <c:v>1</c:v>
                    </c:pt>
                    <c:pt idx="260">
                      <c:v>1</c:v>
                    </c:pt>
                    <c:pt idx="261">
                      <c:v>1</c:v>
                    </c:pt>
                    <c:pt idx="262">
                      <c:v>1</c:v>
                    </c:pt>
                    <c:pt idx="263">
                      <c:v>1</c:v>
                    </c:pt>
                    <c:pt idx="264">
                      <c:v>1</c:v>
                    </c:pt>
                    <c:pt idx="265">
                      <c:v>1</c:v>
                    </c:pt>
                    <c:pt idx="266">
                      <c:v>1</c:v>
                    </c:pt>
                    <c:pt idx="267">
                      <c:v>1</c:v>
                    </c:pt>
                    <c:pt idx="268">
                      <c:v>1</c:v>
                    </c:pt>
                    <c:pt idx="269">
                      <c:v>1</c:v>
                    </c:pt>
                    <c:pt idx="270">
                      <c:v>1</c:v>
                    </c:pt>
                    <c:pt idx="271">
                      <c:v>1</c:v>
                    </c:pt>
                    <c:pt idx="272">
                      <c:v>1</c:v>
                    </c:pt>
                    <c:pt idx="273">
                      <c:v>1</c:v>
                    </c:pt>
                    <c:pt idx="274">
                      <c:v>1</c:v>
                    </c:pt>
                    <c:pt idx="275">
                      <c:v>1</c:v>
                    </c:pt>
                    <c:pt idx="276">
                      <c:v>1</c:v>
                    </c:pt>
                    <c:pt idx="277">
                      <c:v>1</c:v>
                    </c:pt>
                    <c:pt idx="278">
                      <c:v>1</c:v>
                    </c:pt>
                    <c:pt idx="279">
                      <c:v>1</c:v>
                    </c:pt>
                    <c:pt idx="280">
                      <c:v>1</c:v>
                    </c:pt>
                    <c:pt idx="281">
                      <c:v>1</c:v>
                    </c:pt>
                    <c:pt idx="282">
                      <c:v>1</c:v>
                    </c:pt>
                    <c:pt idx="283">
                      <c:v>1</c:v>
                    </c:pt>
                    <c:pt idx="284">
                      <c:v>1</c:v>
                    </c:pt>
                    <c:pt idx="285">
                      <c:v>1</c:v>
                    </c:pt>
                    <c:pt idx="286">
                      <c:v>1</c:v>
                    </c:pt>
                    <c:pt idx="287">
                      <c:v>1</c:v>
                    </c:pt>
                    <c:pt idx="288">
                      <c:v>1</c:v>
                    </c:pt>
                    <c:pt idx="289">
                      <c:v>1</c:v>
                    </c:pt>
                    <c:pt idx="290">
                      <c:v>1</c:v>
                    </c:pt>
                    <c:pt idx="291">
                      <c:v>1</c:v>
                    </c:pt>
                    <c:pt idx="292">
                      <c:v>1</c:v>
                    </c:pt>
                    <c:pt idx="293">
                      <c:v>1</c:v>
                    </c:pt>
                    <c:pt idx="294">
                      <c:v>1</c:v>
                    </c:pt>
                    <c:pt idx="295">
                      <c:v>1</c:v>
                    </c:pt>
                    <c:pt idx="296">
                      <c:v>1</c:v>
                    </c:pt>
                    <c:pt idx="297">
                      <c:v>1</c:v>
                    </c:pt>
                    <c:pt idx="298">
                      <c:v>1</c:v>
                    </c:pt>
                    <c:pt idx="299">
                      <c:v>1</c:v>
                    </c:pt>
                    <c:pt idx="300">
                      <c:v>1</c:v>
                    </c:pt>
                    <c:pt idx="301">
                      <c:v>1</c:v>
                    </c:pt>
                    <c:pt idx="302">
                      <c:v>1</c:v>
                    </c:pt>
                    <c:pt idx="303">
                      <c:v>1</c:v>
                    </c:pt>
                    <c:pt idx="304">
                      <c:v>1</c:v>
                    </c:pt>
                    <c:pt idx="305">
                      <c:v>1</c:v>
                    </c:pt>
                    <c:pt idx="306">
                      <c:v>1</c:v>
                    </c:pt>
                    <c:pt idx="307">
                      <c:v>1</c:v>
                    </c:pt>
                    <c:pt idx="308">
                      <c:v>1</c:v>
                    </c:pt>
                    <c:pt idx="309">
                      <c:v>1</c:v>
                    </c:pt>
                    <c:pt idx="310">
                      <c:v>1</c:v>
                    </c:pt>
                    <c:pt idx="311">
                      <c:v>1</c:v>
                    </c:pt>
                    <c:pt idx="312">
                      <c:v>1</c:v>
                    </c:pt>
                    <c:pt idx="313">
                      <c:v>1</c:v>
                    </c:pt>
                    <c:pt idx="314">
                      <c:v>1</c:v>
                    </c:pt>
                    <c:pt idx="315">
                      <c:v>1</c:v>
                    </c:pt>
                    <c:pt idx="316">
                      <c:v>1</c:v>
                    </c:pt>
                    <c:pt idx="317">
                      <c:v>1</c:v>
                    </c:pt>
                    <c:pt idx="318">
                      <c:v>1</c:v>
                    </c:pt>
                    <c:pt idx="319">
                      <c:v>1</c:v>
                    </c:pt>
                    <c:pt idx="320">
                      <c:v>1</c:v>
                    </c:pt>
                    <c:pt idx="321">
                      <c:v>1</c:v>
                    </c:pt>
                    <c:pt idx="322">
                      <c:v>1</c:v>
                    </c:pt>
                    <c:pt idx="323">
                      <c:v>1</c:v>
                    </c:pt>
                    <c:pt idx="324">
                      <c:v>1</c:v>
                    </c:pt>
                    <c:pt idx="325">
                      <c:v>1</c:v>
                    </c:pt>
                    <c:pt idx="326">
                      <c:v>1</c:v>
                    </c:pt>
                    <c:pt idx="327">
                      <c:v>1</c:v>
                    </c:pt>
                    <c:pt idx="328">
                      <c:v>1</c:v>
                    </c:pt>
                    <c:pt idx="329">
                      <c:v>1</c:v>
                    </c:pt>
                    <c:pt idx="330">
                      <c:v>1</c:v>
                    </c:pt>
                    <c:pt idx="331">
                      <c:v>1</c:v>
                    </c:pt>
                    <c:pt idx="332">
                      <c:v>1</c:v>
                    </c:pt>
                    <c:pt idx="333">
                      <c:v>1</c:v>
                    </c:pt>
                    <c:pt idx="334">
                      <c:v>1</c:v>
                    </c:pt>
                    <c:pt idx="335">
                      <c:v>1</c:v>
                    </c:pt>
                    <c:pt idx="336">
                      <c:v>1</c:v>
                    </c:pt>
                    <c:pt idx="337">
                      <c:v>1</c:v>
                    </c:pt>
                    <c:pt idx="338">
                      <c:v>1</c:v>
                    </c:pt>
                    <c:pt idx="339">
                      <c:v>1</c:v>
                    </c:pt>
                    <c:pt idx="340">
                      <c:v>1</c:v>
                    </c:pt>
                    <c:pt idx="341">
                      <c:v>1</c:v>
                    </c:pt>
                    <c:pt idx="342">
                      <c:v>1</c:v>
                    </c:pt>
                    <c:pt idx="343">
                      <c:v>1</c:v>
                    </c:pt>
                    <c:pt idx="344">
                      <c:v>1</c:v>
                    </c:pt>
                    <c:pt idx="345">
                      <c:v>1</c:v>
                    </c:pt>
                    <c:pt idx="346">
                      <c:v>1</c:v>
                    </c:pt>
                    <c:pt idx="347">
                      <c:v>1</c:v>
                    </c:pt>
                    <c:pt idx="348">
                      <c:v>1</c:v>
                    </c:pt>
                    <c:pt idx="349">
                      <c:v>1</c:v>
                    </c:pt>
                    <c:pt idx="350">
                      <c:v>1</c:v>
                    </c:pt>
                    <c:pt idx="351">
                      <c:v>1</c:v>
                    </c:pt>
                    <c:pt idx="352">
                      <c:v>1</c:v>
                    </c:pt>
                    <c:pt idx="353">
                      <c:v>1</c:v>
                    </c:pt>
                    <c:pt idx="354">
                      <c:v>1</c:v>
                    </c:pt>
                    <c:pt idx="355">
                      <c:v>1</c:v>
                    </c:pt>
                    <c:pt idx="356">
                      <c:v>1</c:v>
                    </c:pt>
                    <c:pt idx="357">
                      <c:v>1</c:v>
                    </c:pt>
                    <c:pt idx="358">
                      <c:v>1</c:v>
                    </c:pt>
                    <c:pt idx="359">
                      <c:v>1</c:v>
                    </c:pt>
                    <c:pt idx="360">
                      <c:v>1</c:v>
                    </c:pt>
                    <c:pt idx="361">
                      <c:v>1</c:v>
                    </c:pt>
                    <c:pt idx="362">
                      <c:v>1</c:v>
                    </c:pt>
                    <c:pt idx="363">
                      <c:v>1</c:v>
                    </c:pt>
                    <c:pt idx="364">
                      <c:v>1</c:v>
                    </c:pt>
                    <c:pt idx="365">
                      <c:v>1</c:v>
                    </c:pt>
                    <c:pt idx="366">
                      <c:v>1</c:v>
                    </c:pt>
                    <c:pt idx="367">
                      <c:v>1</c:v>
                    </c:pt>
                    <c:pt idx="368">
                      <c:v>1</c:v>
                    </c:pt>
                    <c:pt idx="369">
                      <c:v>1</c:v>
                    </c:pt>
                    <c:pt idx="370">
                      <c:v>1</c:v>
                    </c:pt>
                    <c:pt idx="371">
                      <c:v>1</c:v>
                    </c:pt>
                    <c:pt idx="372">
                      <c:v>1</c:v>
                    </c:pt>
                    <c:pt idx="373">
                      <c:v>1</c:v>
                    </c:pt>
                    <c:pt idx="374">
                      <c:v>1</c:v>
                    </c:pt>
                    <c:pt idx="375">
                      <c:v>1</c:v>
                    </c:pt>
                    <c:pt idx="376">
                      <c:v>1</c:v>
                    </c:pt>
                    <c:pt idx="377">
                      <c:v>1</c:v>
                    </c:pt>
                    <c:pt idx="378">
                      <c:v>1</c:v>
                    </c:pt>
                    <c:pt idx="379">
                      <c:v>1</c:v>
                    </c:pt>
                    <c:pt idx="380">
                      <c:v>1</c:v>
                    </c:pt>
                    <c:pt idx="381">
                      <c:v>1</c:v>
                    </c:pt>
                    <c:pt idx="382">
                      <c:v>1</c:v>
                    </c:pt>
                    <c:pt idx="383">
                      <c:v>1</c:v>
                    </c:pt>
                    <c:pt idx="384">
                      <c:v>1</c:v>
                    </c:pt>
                    <c:pt idx="385">
                      <c:v>1</c:v>
                    </c:pt>
                    <c:pt idx="386">
                      <c:v>1</c:v>
                    </c:pt>
                    <c:pt idx="387">
                      <c:v>1</c:v>
                    </c:pt>
                    <c:pt idx="388">
                      <c:v>1</c:v>
                    </c:pt>
                    <c:pt idx="389">
                      <c:v>1</c:v>
                    </c:pt>
                    <c:pt idx="390">
                      <c:v>1</c:v>
                    </c:pt>
                    <c:pt idx="391">
                      <c:v>1</c:v>
                    </c:pt>
                    <c:pt idx="392">
                      <c:v>1</c:v>
                    </c:pt>
                    <c:pt idx="393">
                      <c:v>1</c:v>
                    </c:pt>
                    <c:pt idx="394">
                      <c:v>1</c:v>
                    </c:pt>
                    <c:pt idx="395">
                      <c:v>1</c:v>
                    </c:pt>
                    <c:pt idx="396">
                      <c:v>1</c:v>
                    </c:pt>
                    <c:pt idx="397">
                      <c:v>1</c:v>
                    </c:pt>
                    <c:pt idx="398">
                      <c:v>1</c:v>
                    </c:pt>
                    <c:pt idx="399">
                      <c:v>1</c:v>
                    </c:pt>
                    <c:pt idx="400">
                      <c:v>1</c:v>
                    </c:pt>
                    <c:pt idx="401">
                      <c:v>1</c:v>
                    </c:pt>
                    <c:pt idx="402">
                      <c:v>1</c:v>
                    </c:pt>
                    <c:pt idx="403">
                      <c:v>1</c:v>
                    </c:pt>
                    <c:pt idx="404">
                      <c:v>1</c:v>
                    </c:pt>
                    <c:pt idx="405">
                      <c:v>1</c:v>
                    </c:pt>
                    <c:pt idx="406">
                      <c:v>1</c:v>
                    </c:pt>
                    <c:pt idx="407">
                      <c:v>1</c:v>
                    </c:pt>
                    <c:pt idx="408">
                      <c:v>1</c:v>
                    </c:pt>
                    <c:pt idx="409">
                      <c:v>1</c:v>
                    </c:pt>
                    <c:pt idx="410">
                      <c:v>1</c:v>
                    </c:pt>
                    <c:pt idx="411">
                      <c:v>1</c:v>
                    </c:pt>
                    <c:pt idx="412">
                      <c:v>1</c:v>
                    </c:pt>
                    <c:pt idx="413">
                      <c:v>1</c:v>
                    </c:pt>
                    <c:pt idx="414">
                      <c:v>1</c:v>
                    </c:pt>
                    <c:pt idx="415">
                      <c:v>1</c:v>
                    </c:pt>
                    <c:pt idx="416">
                      <c:v>1</c:v>
                    </c:pt>
                    <c:pt idx="417">
                      <c:v>1</c:v>
                    </c:pt>
                    <c:pt idx="418">
                      <c:v>1</c:v>
                    </c:pt>
                    <c:pt idx="419">
                      <c:v>1</c:v>
                    </c:pt>
                    <c:pt idx="420">
                      <c:v>1</c:v>
                    </c:pt>
                    <c:pt idx="421">
                      <c:v>1</c:v>
                    </c:pt>
                    <c:pt idx="422">
                      <c:v>1</c:v>
                    </c:pt>
                    <c:pt idx="423">
                      <c:v>1</c:v>
                    </c:pt>
                    <c:pt idx="424">
                      <c:v>1</c:v>
                    </c:pt>
                    <c:pt idx="425">
                      <c:v>1</c:v>
                    </c:pt>
                    <c:pt idx="426">
                      <c:v>1</c:v>
                    </c:pt>
                    <c:pt idx="427">
                      <c:v>1</c:v>
                    </c:pt>
                    <c:pt idx="428">
                      <c:v>1</c:v>
                    </c:pt>
                    <c:pt idx="429">
                      <c:v>1</c:v>
                    </c:pt>
                    <c:pt idx="430">
                      <c:v>1</c:v>
                    </c:pt>
                    <c:pt idx="431">
                      <c:v>1</c:v>
                    </c:pt>
                    <c:pt idx="432">
                      <c:v>1</c:v>
                    </c:pt>
                    <c:pt idx="433">
                      <c:v>1</c:v>
                    </c:pt>
                    <c:pt idx="434">
                      <c:v>1</c:v>
                    </c:pt>
                    <c:pt idx="435">
                      <c:v>1</c:v>
                    </c:pt>
                    <c:pt idx="436">
                      <c:v>1</c:v>
                    </c:pt>
                    <c:pt idx="437">
                      <c:v>1</c:v>
                    </c:pt>
                    <c:pt idx="438">
                      <c:v>1</c:v>
                    </c:pt>
                    <c:pt idx="439">
                      <c:v>1</c:v>
                    </c:pt>
                    <c:pt idx="440">
                      <c:v>1</c:v>
                    </c:pt>
                    <c:pt idx="441">
                      <c:v>1</c:v>
                    </c:pt>
                    <c:pt idx="442">
                      <c:v>1</c:v>
                    </c:pt>
                    <c:pt idx="443">
                      <c:v>1</c:v>
                    </c:pt>
                    <c:pt idx="444">
                      <c:v>1</c:v>
                    </c:pt>
                    <c:pt idx="445">
                      <c:v>1</c:v>
                    </c:pt>
                    <c:pt idx="446">
                      <c:v>1</c:v>
                    </c:pt>
                    <c:pt idx="447">
                      <c:v>1</c:v>
                    </c:pt>
                    <c:pt idx="448">
                      <c:v>1</c:v>
                    </c:pt>
                    <c:pt idx="449">
                      <c:v>1</c:v>
                    </c:pt>
                    <c:pt idx="450">
                      <c:v>1</c:v>
                    </c:pt>
                    <c:pt idx="451">
                      <c:v>1</c:v>
                    </c:pt>
                    <c:pt idx="452">
                      <c:v>1</c:v>
                    </c:pt>
                    <c:pt idx="453">
                      <c:v>1</c:v>
                    </c:pt>
                    <c:pt idx="454">
                      <c:v>1</c:v>
                    </c:pt>
                    <c:pt idx="455">
                      <c:v>1</c:v>
                    </c:pt>
                    <c:pt idx="456">
                      <c:v>1</c:v>
                    </c:pt>
                    <c:pt idx="457">
                      <c:v>1</c:v>
                    </c:pt>
                    <c:pt idx="458">
                      <c:v>1</c:v>
                    </c:pt>
                    <c:pt idx="459">
                      <c:v>1</c:v>
                    </c:pt>
                    <c:pt idx="460">
                      <c:v>1</c:v>
                    </c:pt>
                    <c:pt idx="461">
                      <c:v>1</c:v>
                    </c:pt>
                    <c:pt idx="462">
                      <c:v>1</c:v>
                    </c:pt>
                    <c:pt idx="463">
                      <c:v>1</c:v>
                    </c:pt>
                    <c:pt idx="464">
                      <c:v>1</c:v>
                    </c:pt>
                    <c:pt idx="465">
                      <c:v>1</c:v>
                    </c:pt>
                    <c:pt idx="466">
                      <c:v>1</c:v>
                    </c:pt>
                    <c:pt idx="467">
                      <c:v>1</c:v>
                    </c:pt>
                    <c:pt idx="468">
                      <c:v>1</c:v>
                    </c:pt>
                    <c:pt idx="469">
                      <c:v>1</c:v>
                    </c:pt>
                    <c:pt idx="470">
                      <c:v>1</c:v>
                    </c:pt>
                    <c:pt idx="471">
                      <c:v>1</c:v>
                    </c:pt>
                    <c:pt idx="472">
                      <c:v>1</c:v>
                    </c:pt>
                    <c:pt idx="473">
                      <c:v>1</c:v>
                    </c:pt>
                    <c:pt idx="474">
                      <c:v>1</c:v>
                    </c:pt>
                    <c:pt idx="475">
                      <c:v>1</c:v>
                    </c:pt>
                    <c:pt idx="476">
                      <c:v>1</c:v>
                    </c:pt>
                    <c:pt idx="477">
                      <c:v>1</c:v>
                    </c:pt>
                    <c:pt idx="478">
                      <c:v>1</c:v>
                    </c:pt>
                    <c:pt idx="479">
                      <c:v>1</c:v>
                    </c:pt>
                    <c:pt idx="480">
                      <c:v>1</c:v>
                    </c:pt>
                    <c:pt idx="481">
                      <c:v>1</c:v>
                    </c:pt>
                    <c:pt idx="482">
                      <c:v>1</c:v>
                    </c:pt>
                    <c:pt idx="483">
                      <c:v>1</c:v>
                    </c:pt>
                    <c:pt idx="484">
                      <c:v>1</c:v>
                    </c:pt>
                    <c:pt idx="485">
                      <c:v>1</c:v>
                    </c:pt>
                    <c:pt idx="486">
                      <c:v>1</c:v>
                    </c:pt>
                    <c:pt idx="487">
                      <c:v>1</c:v>
                    </c:pt>
                    <c:pt idx="488">
                      <c:v>1</c:v>
                    </c:pt>
                    <c:pt idx="489">
                      <c:v>1</c:v>
                    </c:pt>
                    <c:pt idx="490">
                      <c:v>1</c:v>
                    </c:pt>
                    <c:pt idx="491">
                      <c:v>1</c:v>
                    </c:pt>
                    <c:pt idx="492">
                      <c:v>1</c:v>
                    </c:pt>
                    <c:pt idx="493">
                      <c:v>1</c:v>
                    </c:pt>
                    <c:pt idx="494">
                      <c:v>1</c:v>
                    </c:pt>
                    <c:pt idx="495">
                      <c:v>1</c:v>
                    </c:pt>
                    <c:pt idx="496">
                      <c:v>1</c:v>
                    </c:pt>
                    <c:pt idx="497">
                      <c:v>1</c:v>
                    </c:pt>
                    <c:pt idx="498">
                      <c:v>1</c:v>
                    </c:pt>
                    <c:pt idx="499">
                      <c:v>1</c:v>
                    </c:pt>
                    <c:pt idx="500">
                      <c:v>1</c:v>
                    </c:pt>
                    <c:pt idx="501">
                      <c:v>1</c:v>
                    </c:pt>
                    <c:pt idx="502">
                      <c:v>1</c:v>
                    </c:pt>
                    <c:pt idx="503">
                      <c:v>1</c:v>
                    </c:pt>
                    <c:pt idx="504">
                      <c:v>1</c:v>
                    </c:pt>
                    <c:pt idx="505">
                      <c:v>1</c:v>
                    </c:pt>
                    <c:pt idx="506">
                      <c:v>1</c:v>
                    </c:pt>
                    <c:pt idx="507">
                      <c:v>1</c:v>
                    </c:pt>
                    <c:pt idx="508">
                      <c:v>1</c:v>
                    </c:pt>
                    <c:pt idx="509">
                      <c:v>1</c:v>
                    </c:pt>
                    <c:pt idx="510">
                      <c:v>1</c:v>
                    </c:pt>
                    <c:pt idx="511">
                      <c:v>1</c:v>
                    </c:pt>
                    <c:pt idx="512">
                      <c:v>1</c:v>
                    </c:pt>
                    <c:pt idx="513">
                      <c:v>1</c:v>
                    </c:pt>
                    <c:pt idx="514">
                      <c:v>1</c:v>
                    </c:pt>
                    <c:pt idx="515">
                      <c:v>1</c:v>
                    </c:pt>
                    <c:pt idx="516">
                      <c:v>1</c:v>
                    </c:pt>
                    <c:pt idx="517">
                      <c:v>1</c:v>
                    </c:pt>
                    <c:pt idx="518">
                      <c:v>1</c:v>
                    </c:pt>
                    <c:pt idx="519">
                      <c:v>1</c:v>
                    </c:pt>
                    <c:pt idx="520">
                      <c:v>1</c:v>
                    </c:pt>
                    <c:pt idx="521">
                      <c:v>1</c:v>
                    </c:pt>
                    <c:pt idx="522">
                      <c:v>1</c:v>
                    </c:pt>
                    <c:pt idx="523">
                      <c:v>1</c:v>
                    </c:pt>
                    <c:pt idx="524">
                      <c:v>1</c:v>
                    </c:pt>
                    <c:pt idx="525">
                      <c:v>1</c:v>
                    </c:pt>
                    <c:pt idx="526">
                      <c:v>1</c:v>
                    </c:pt>
                    <c:pt idx="527">
                      <c:v>1</c:v>
                    </c:pt>
                    <c:pt idx="528">
                      <c:v>1</c:v>
                    </c:pt>
                    <c:pt idx="529">
                      <c:v>1</c:v>
                    </c:pt>
                    <c:pt idx="530">
                      <c:v>1</c:v>
                    </c:pt>
                    <c:pt idx="531">
                      <c:v>1</c:v>
                    </c:pt>
                    <c:pt idx="532">
                      <c:v>1</c:v>
                    </c:pt>
                    <c:pt idx="533">
                      <c:v>1</c:v>
                    </c:pt>
                    <c:pt idx="534">
                      <c:v>1</c:v>
                    </c:pt>
                    <c:pt idx="535">
                      <c:v>1</c:v>
                    </c:pt>
                    <c:pt idx="536">
                      <c:v>1</c:v>
                    </c:pt>
                    <c:pt idx="537">
                      <c:v>1</c:v>
                    </c:pt>
                    <c:pt idx="538">
                      <c:v>1</c:v>
                    </c:pt>
                    <c:pt idx="539">
                      <c:v>1</c:v>
                    </c:pt>
                    <c:pt idx="540">
                      <c:v>1</c:v>
                    </c:pt>
                    <c:pt idx="541">
                      <c:v>1</c:v>
                    </c:pt>
                    <c:pt idx="542">
                      <c:v>1</c:v>
                    </c:pt>
                    <c:pt idx="543">
                      <c:v>1</c:v>
                    </c:pt>
                    <c:pt idx="544">
                      <c:v>1</c:v>
                    </c:pt>
                    <c:pt idx="545">
                      <c:v>1</c:v>
                    </c:pt>
                    <c:pt idx="546">
                      <c:v>1</c:v>
                    </c:pt>
                    <c:pt idx="547">
                      <c:v>1</c:v>
                    </c:pt>
                    <c:pt idx="548">
                      <c:v>1</c:v>
                    </c:pt>
                    <c:pt idx="549">
                      <c:v>1</c:v>
                    </c:pt>
                    <c:pt idx="550">
                      <c:v>1</c:v>
                    </c:pt>
                    <c:pt idx="551">
                      <c:v>1</c:v>
                    </c:pt>
                    <c:pt idx="552">
                      <c:v>1</c:v>
                    </c:pt>
                    <c:pt idx="553">
                      <c:v>1</c:v>
                    </c:pt>
                    <c:pt idx="554">
                      <c:v>1</c:v>
                    </c:pt>
                    <c:pt idx="555">
                      <c:v>1</c:v>
                    </c:pt>
                    <c:pt idx="556">
                      <c:v>1</c:v>
                    </c:pt>
                    <c:pt idx="557">
                      <c:v>1</c:v>
                    </c:pt>
                    <c:pt idx="558">
                      <c:v>1</c:v>
                    </c:pt>
                    <c:pt idx="559">
                      <c:v>1</c:v>
                    </c:pt>
                    <c:pt idx="560">
                      <c:v>1</c:v>
                    </c:pt>
                    <c:pt idx="561">
                      <c:v>1</c:v>
                    </c:pt>
                    <c:pt idx="562">
                      <c:v>1</c:v>
                    </c:pt>
                    <c:pt idx="563">
                      <c:v>1</c:v>
                    </c:pt>
                    <c:pt idx="564">
                      <c:v>1</c:v>
                    </c:pt>
                    <c:pt idx="565">
                      <c:v>1</c:v>
                    </c:pt>
                    <c:pt idx="566">
                      <c:v>1</c:v>
                    </c:pt>
                    <c:pt idx="567">
                      <c:v>1</c:v>
                    </c:pt>
                    <c:pt idx="568">
                      <c:v>1</c:v>
                    </c:pt>
                    <c:pt idx="569">
                      <c:v>1</c:v>
                    </c:pt>
                    <c:pt idx="570">
                      <c:v>1</c:v>
                    </c:pt>
                    <c:pt idx="571">
                      <c:v>1</c:v>
                    </c:pt>
                    <c:pt idx="572">
                      <c:v>1</c:v>
                    </c:pt>
                    <c:pt idx="573">
                      <c:v>1</c:v>
                    </c:pt>
                    <c:pt idx="574">
                      <c:v>1</c:v>
                    </c:pt>
                    <c:pt idx="575">
                      <c:v>1</c:v>
                    </c:pt>
                    <c:pt idx="576">
                      <c:v>1</c:v>
                    </c:pt>
                    <c:pt idx="577">
                      <c:v>1</c:v>
                    </c:pt>
                    <c:pt idx="578">
                      <c:v>1</c:v>
                    </c:pt>
                    <c:pt idx="579">
                      <c:v>1</c:v>
                    </c:pt>
                    <c:pt idx="580">
                      <c:v>1</c:v>
                    </c:pt>
                    <c:pt idx="581">
                      <c:v>1</c:v>
                    </c:pt>
                    <c:pt idx="582">
                      <c:v>1</c:v>
                    </c:pt>
                    <c:pt idx="583">
                      <c:v>1</c:v>
                    </c:pt>
                    <c:pt idx="584">
                      <c:v>1</c:v>
                    </c:pt>
                    <c:pt idx="585">
                      <c:v>1</c:v>
                    </c:pt>
                    <c:pt idx="586">
                      <c:v>1</c:v>
                    </c:pt>
                    <c:pt idx="587">
                      <c:v>1</c:v>
                    </c:pt>
                    <c:pt idx="588">
                      <c:v>1</c:v>
                    </c:pt>
                    <c:pt idx="589">
                      <c:v>1</c:v>
                    </c:pt>
                    <c:pt idx="590">
                      <c:v>1</c:v>
                    </c:pt>
                    <c:pt idx="591">
                      <c:v>1</c:v>
                    </c:pt>
                    <c:pt idx="592">
                      <c:v>1</c:v>
                    </c:pt>
                    <c:pt idx="593">
                      <c:v>1</c:v>
                    </c:pt>
                    <c:pt idx="594">
                      <c:v>1</c:v>
                    </c:pt>
                    <c:pt idx="595">
                      <c:v>1</c:v>
                    </c:pt>
                    <c:pt idx="596">
                      <c:v>1</c:v>
                    </c:pt>
                    <c:pt idx="597">
                      <c:v>1</c:v>
                    </c:pt>
                    <c:pt idx="598">
                      <c:v>1</c:v>
                    </c:pt>
                    <c:pt idx="599">
                      <c:v>1</c:v>
                    </c:pt>
                    <c:pt idx="600">
                      <c:v>1</c:v>
                    </c:pt>
                    <c:pt idx="601">
                      <c:v>1</c:v>
                    </c:pt>
                    <c:pt idx="602">
                      <c:v>1</c:v>
                    </c:pt>
                    <c:pt idx="603">
                      <c:v>1</c:v>
                    </c:pt>
                    <c:pt idx="604">
                      <c:v>1</c:v>
                    </c:pt>
                    <c:pt idx="605">
                      <c:v>1</c:v>
                    </c:pt>
                    <c:pt idx="606">
                      <c:v>1</c:v>
                    </c:pt>
                    <c:pt idx="607">
                      <c:v>1</c:v>
                    </c:pt>
                    <c:pt idx="608">
                      <c:v>1</c:v>
                    </c:pt>
                    <c:pt idx="609">
                      <c:v>1</c:v>
                    </c:pt>
                    <c:pt idx="610">
                      <c:v>1</c:v>
                    </c:pt>
                    <c:pt idx="611">
                      <c:v>1</c:v>
                    </c:pt>
                    <c:pt idx="612">
                      <c:v>1</c:v>
                    </c:pt>
                    <c:pt idx="613">
                      <c:v>1</c:v>
                    </c:pt>
                    <c:pt idx="614">
                      <c:v>1</c:v>
                    </c:pt>
                    <c:pt idx="615">
                      <c:v>1</c:v>
                    </c:pt>
                    <c:pt idx="616">
                      <c:v>1</c:v>
                    </c:pt>
                    <c:pt idx="617">
                      <c:v>1</c:v>
                    </c:pt>
                    <c:pt idx="618">
                      <c:v>1</c:v>
                    </c:pt>
                    <c:pt idx="619">
                      <c:v>1</c:v>
                    </c:pt>
                    <c:pt idx="620">
                      <c:v>1</c:v>
                    </c:pt>
                    <c:pt idx="621">
                      <c:v>1</c:v>
                    </c:pt>
                    <c:pt idx="622">
                      <c:v>1</c:v>
                    </c:pt>
                    <c:pt idx="623">
                      <c:v>1</c:v>
                    </c:pt>
                    <c:pt idx="624">
                      <c:v>1</c:v>
                    </c:pt>
                    <c:pt idx="625">
                      <c:v>1</c:v>
                    </c:pt>
                    <c:pt idx="626">
                      <c:v>1</c:v>
                    </c:pt>
                    <c:pt idx="627">
                      <c:v>1</c:v>
                    </c:pt>
                    <c:pt idx="628">
                      <c:v>1</c:v>
                    </c:pt>
                    <c:pt idx="629">
                      <c:v>1</c:v>
                    </c:pt>
                    <c:pt idx="630">
                      <c:v>1</c:v>
                    </c:pt>
                    <c:pt idx="631">
                      <c:v>1</c:v>
                    </c:pt>
                    <c:pt idx="632">
                      <c:v>1</c:v>
                    </c:pt>
                    <c:pt idx="633">
                      <c:v>1</c:v>
                    </c:pt>
                    <c:pt idx="634">
                      <c:v>1</c:v>
                    </c:pt>
                    <c:pt idx="635">
                      <c:v>1</c:v>
                    </c:pt>
                    <c:pt idx="636">
                      <c:v>1</c:v>
                    </c:pt>
                    <c:pt idx="637">
                      <c:v>1</c:v>
                    </c:pt>
                    <c:pt idx="638">
                      <c:v>1</c:v>
                    </c:pt>
                    <c:pt idx="639">
                      <c:v>1</c:v>
                    </c:pt>
                    <c:pt idx="640">
                      <c:v>1</c:v>
                    </c:pt>
                    <c:pt idx="641">
                      <c:v>1</c:v>
                    </c:pt>
                    <c:pt idx="642">
                      <c:v>1</c:v>
                    </c:pt>
                    <c:pt idx="643">
                      <c:v>1</c:v>
                    </c:pt>
                    <c:pt idx="644">
                      <c:v>1</c:v>
                    </c:pt>
                    <c:pt idx="645">
                      <c:v>1</c:v>
                    </c:pt>
                    <c:pt idx="646">
                      <c:v>1</c:v>
                    </c:pt>
                    <c:pt idx="647">
                      <c:v>1</c:v>
                    </c:pt>
                    <c:pt idx="648">
                      <c:v>1</c:v>
                    </c:pt>
                    <c:pt idx="649">
                      <c:v>1</c:v>
                    </c:pt>
                    <c:pt idx="650">
                      <c:v>1</c:v>
                    </c:pt>
                    <c:pt idx="651">
                      <c:v>1</c:v>
                    </c:pt>
                    <c:pt idx="652">
                      <c:v>1</c:v>
                    </c:pt>
                    <c:pt idx="653">
                      <c:v>1</c:v>
                    </c:pt>
                    <c:pt idx="654">
                      <c:v>1</c:v>
                    </c:pt>
                    <c:pt idx="655">
                      <c:v>1</c:v>
                    </c:pt>
                    <c:pt idx="656">
                      <c:v>1</c:v>
                    </c:pt>
                    <c:pt idx="657">
                      <c:v>1</c:v>
                    </c:pt>
                    <c:pt idx="658">
                      <c:v>1</c:v>
                    </c:pt>
                    <c:pt idx="659">
                      <c:v>1</c:v>
                    </c:pt>
                    <c:pt idx="660">
                      <c:v>1</c:v>
                    </c:pt>
                    <c:pt idx="661">
                      <c:v>1</c:v>
                    </c:pt>
                    <c:pt idx="662">
                      <c:v>1</c:v>
                    </c:pt>
                    <c:pt idx="663">
                      <c:v>1</c:v>
                    </c:pt>
                    <c:pt idx="664">
                      <c:v>1</c:v>
                    </c:pt>
                    <c:pt idx="665">
                      <c:v>1</c:v>
                    </c:pt>
                    <c:pt idx="666">
                      <c:v>1</c:v>
                    </c:pt>
                    <c:pt idx="667">
                      <c:v>1</c:v>
                    </c:pt>
                    <c:pt idx="668">
                      <c:v>1</c:v>
                    </c:pt>
                    <c:pt idx="669">
                      <c:v>1</c:v>
                    </c:pt>
                    <c:pt idx="670">
                      <c:v>1</c:v>
                    </c:pt>
                    <c:pt idx="671">
                      <c:v>1</c:v>
                    </c:pt>
                    <c:pt idx="672">
                      <c:v>1</c:v>
                    </c:pt>
                    <c:pt idx="673">
                      <c:v>1</c:v>
                    </c:pt>
                    <c:pt idx="674">
                      <c:v>1</c:v>
                    </c:pt>
                    <c:pt idx="675">
                      <c:v>1</c:v>
                    </c:pt>
                    <c:pt idx="676">
                      <c:v>1</c:v>
                    </c:pt>
                    <c:pt idx="677">
                      <c:v>1</c:v>
                    </c:pt>
                    <c:pt idx="678">
                      <c:v>1</c:v>
                    </c:pt>
                    <c:pt idx="679">
                      <c:v>1</c:v>
                    </c:pt>
                    <c:pt idx="680">
                      <c:v>1</c:v>
                    </c:pt>
                    <c:pt idx="681">
                      <c:v>1</c:v>
                    </c:pt>
                    <c:pt idx="682">
                      <c:v>1</c:v>
                    </c:pt>
                    <c:pt idx="683">
                      <c:v>1</c:v>
                    </c:pt>
                    <c:pt idx="684">
                      <c:v>1</c:v>
                    </c:pt>
                    <c:pt idx="685">
                      <c:v>1</c:v>
                    </c:pt>
                    <c:pt idx="686">
                      <c:v>1</c:v>
                    </c:pt>
                    <c:pt idx="687">
                      <c:v>1</c:v>
                    </c:pt>
                    <c:pt idx="688">
                      <c:v>1</c:v>
                    </c:pt>
                    <c:pt idx="689">
                      <c:v>1</c:v>
                    </c:pt>
                    <c:pt idx="690">
                      <c:v>1</c:v>
                    </c:pt>
                    <c:pt idx="691">
                      <c:v>1</c:v>
                    </c:pt>
                    <c:pt idx="692">
                      <c:v>1</c:v>
                    </c:pt>
                    <c:pt idx="693">
                      <c:v>1</c:v>
                    </c:pt>
                    <c:pt idx="694">
                      <c:v>1</c:v>
                    </c:pt>
                    <c:pt idx="695">
                      <c:v>1</c:v>
                    </c:pt>
                    <c:pt idx="696">
                      <c:v>1</c:v>
                    </c:pt>
                    <c:pt idx="697">
                      <c:v>1</c:v>
                    </c:pt>
                    <c:pt idx="698">
                      <c:v>1</c:v>
                    </c:pt>
                    <c:pt idx="699">
                      <c:v>1</c:v>
                    </c:pt>
                    <c:pt idx="700">
                      <c:v>1</c:v>
                    </c:pt>
                    <c:pt idx="701">
                      <c:v>1</c:v>
                    </c:pt>
                    <c:pt idx="702">
                      <c:v>1</c:v>
                    </c:pt>
                    <c:pt idx="703">
                      <c:v>1</c:v>
                    </c:pt>
                    <c:pt idx="704">
                      <c:v>1</c:v>
                    </c:pt>
                    <c:pt idx="705">
                      <c:v>1</c:v>
                    </c:pt>
                    <c:pt idx="706">
                      <c:v>1</c:v>
                    </c:pt>
                    <c:pt idx="707">
                      <c:v>1</c:v>
                    </c:pt>
                    <c:pt idx="708">
                      <c:v>1</c:v>
                    </c:pt>
                    <c:pt idx="709">
                      <c:v>1</c:v>
                    </c:pt>
                    <c:pt idx="710">
                      <c:v>1</c:v>
                    </c:pt>
                    <c:pt idx="711">
                      <c:v>1</c:v>
                    </c:pt>
                    <c:pt idx="712">
                      <c:v>1</c:v>
                    </c:pt>
                    <c:pt idx="713">
                      <c:v>1</c:v>
                    </c:pt>
                    <c:pt idx="714">
                      <c:v>1</c:v>
                    </c:pt>
                    <c:pt idx="715">
                      <c:v>1</c:v>
                    </c:pt>
                    <c:pt idx="716">
                      <c:v>1</c:v>
                    </c:pt>
                    <c:pt idx="717">
                      <c:v>1</c:v>
                    </c:pt>
                    <c:pt idx="718">
                      <c:v>1</c:v>
                    </c:pt>
                    <c:pt idx="719">
                      <c:v>1</c:v>
                    </c:pt>
                    <c:pt idx="720">
                      <c:v>1</c:v>
                    </c:pt>
                    <c:pt idx="721">
                      <c:v>1</c:v>
                    </c:pt>
                    <c:pt idx="722">
                      <c:v>1</c:v>
                    </c:pt>
                    <c:pt idx="723">
                      <c:v>1</c:v>
                    </c:pt>
                    <c:pt idx="724">
                      <c:v>1</c:v>
                    </c:pt>
                    <c:pt idx="725">
                      <c:v>1</c:v>
                    </c:pt>
                    <c:pt idx="726">
                      <c:v>1</c:v>
                    </c:pt>
                    <c:pt idx="727">
                      <c:v>1</c:v>
                    </c:pt>
                    <c:pt idx="728">
                      <c:v>1</c:v>
                    </c:pt>
                    <c:pt idx="729">
                      <c:v>1</c:v>
                    </c:pt>
                    <c:pt idx="730">
                      <c:v>1</c:v>
                    </c:pt>
                    <c:pt idx="731">
                      <c:v>1</c:v>
                    </c:pt>
                    <c:pt idx="732">
                      <c:v>1</c:v>
                    </c:pt>
                    <c:pt idx="733">
                      <c:v>1</c:v>
                    </c:pt>
                    <c:pt idx="734">
                      <c:v>1</c:v>
                    </c:pt>
                    <c:pt idx="735">
                      <c:v>1</c:v>
                    </c:pt>
                    <c:pt idx="736">
                      <c:v>1</c:v>
                    </c:pt>
                    <c:pt idx="737">
                      <c:v>1</c:v>
                    </c:pt>
                    <c:pt idx="738">
                      <c:v>1</c:v>
                    </c:pt>
                    <c:pt idx="739">
                      <c:v>1</c:v>
                    </c:pt>
                    <c:pt idx="740">
                      <c:v>1</c:v>
                    </c:pt>
                    <c:pt idx="741">
                      <c:v>1</c:v>
                    </c:pt>
                    <c:pt idx="742">
                      <c:v>1</c:v>
                    </c:pt>
                    <c:pt idx="743">
                      <c:v>1</c:v>
                    </c:pt>
                    <c:pt idx="744">
                      <c:v>1</c:v>
                    </c:pt>
                    <c:pt idx="745">
                      <c:v>1</c:v>
                    </c:pt>
                    <c:pt idx="746">
                      <c:v>1</c:v>
                    </c:pt>
                    <c:pt idx="747">
                      <c:v>1</c:v>
                    </c:pt>
                    <c:pt idx="748">
                      <c:v>1</c:v>
                    </c:pt>
                    <c:pt idx="749">
                      <c:v>1</c:v>
                    </c:pt>
                    <c:pt idx="750">
                      <c:v>1</c:v>
                    </c:pt>
                    <c:pt idx="751">
                      <c:v>1</c:v>
                    </c:pt>
                    <c:pt idx="752">
                      <c:v>1</c:v>
                    </c:pt>
                    <c:pt idx="753">
                      <c:v>1</c:v>
                    </c:pt>
                    <c:pt idx="754">
                      <c:v>1</c:v>
                    </c:pt>
                    <c:pt idx="755">
                      <c:v>1</c:v>
                    </c:pt>
                    <c:pt idx="756">
                      <c:v>1</c:v>
                    </c:pt>
                    <c:pt idx="757">
                      <c:v>1</c:v>
                    </c:pt>
                    <c:pt idx="758">
                      <c:v>1</c:v>
                    </c:pt>
                    <c:pt idx="759">
                      <c:v>1</c:v>
                    </c:pt>
                    <c:pt idx="760">
                      <c:v>1</c:v>
                    </c:pt>
                    <c:pt idx="761">
                      <c:v>1</c:v>
                    </c:pt>
                    <c:pt idx="762">
                      <c:v>1</c:v>
                    </c:pt>
                    <c:pt idx="763">
                      <c:v>1</c:v>
                    </c:pt>
                    <c:pt idx="764">
                      <c:v>1</c:v>
                    </c:pt>
                    <c:pt idx="765">
                      <c:v>1</c:v>
                    </c:pt>
                    <c:pt idx="766">
                      <c:v>1</c:v>
                    </c:pt>
                    <c:pt idx="767">
                      <c:v>1</c:v>
                    </c:pt>
                    <c:pt idx="768">
                      <c:v>1</c:v>
                    </c:pt>
                    <c:pt idx="769">
                      <c:v>1</c:v>
                    </c:pt>
                    <c:pt idx="770">
                      <c:v>1</c:v>
                    </c:pt>
                    <c:pt idx="771">
                      <c:v>1</c:v>
                    </c:pt>
                    <c:pt idx="772">
                      <c:v>1</c:v>
                    </c:pt>
                    <c:pt idx="773">
                      <c:v>1</c:v>
                    </c:pt>
                    <c:pt idx="774">
                      <c:v>1</c:v>
                    </c:pt>
                    <c:pt idx="775">
                      <c:v>1</c:v>
                    </c:pt>
                    <c:pt idx="776">
                      <c:v>1</c:v>
                    </c:pt>
                    <c:pt idx="777">
                      <c:v>1</c:v>
                    </c:pt>
                    <c:pt idx="778">
                      <c:v>1</c:v>
                    </c:pt>
                    <c:pt idx="779">
                      <c:v>1</c:v>
                    </c:pt>
                    <c:pt idx="780">
                      <c:v>1</c:v>
                    </c:pt>
                    <c:pt idx="781">
                      <c:v>1</c:v>
                    </c:pt>
                    <c:pt idx="782">
                      <c:v>1</c:v>
                    </c:pt>
                    <c:pt idx="783">
                      <c:v>1</c:v>
                    </c:pt>
                    <c:pt idx="784">
                      <c:v>1</c:v>
                    </c:pt>
                    <c:pt idx="785">
                      <c:v>1</c:v>
                    </c:pt>
                    <c:pt idx="786">
                      <c:v>1</c:v>
                    </c:pt>
                    <c:pt idx="787">
                      <c:v>1</c:v>
                    </c:pt>
                    <c:pt idx="788">
                      <c:v>1</c:v>
                    </c:pt>
                    <c:pt idx="789">
                      <c:v>1</c:v>
                    </c:pt>
                    <c:pt idx="790">
                      <c:v>1</c:v>
                    </c:pt>
                    <c:pt idx="791">
                      <c:v>1</c:v>
                    </c:pt>
                    <c:pt idx="792">
                      <c:v>1</c:v>
                    </c:pt>
                    <c:pt idx="793">
                      <c:v>1</c:v>
                    </c:pt>
                    <c:pt idx="794">
                      <c:v>1</c:v>
                    </c:pt>
                    <c:pt idx="795">
                      <c:v>1</c:v>
                    </c:pt>
                    <c:pt idx="796">
                      <c:v>1</c:v>
                    </c:pt>
                    <c:pt idx="797">
                      <c:v>1</c:v>
                    </c:pt>
                    <c:pt idx="798">
                      <c:v>1</c:v>
                    </c:pt>
                    <c:pt idx="799">
                      <c:v>1</c:v>
                    </c:pt>
                    <c:pt idx="800">
                      <c:v>1</c:v>
                    </c:pt>
                    <c:pt idx="801">
                      <c:v>1</c:v>
                    </c:pt>
                    <c:pt idx="802">
                      <c:v>1</c:v>
                    </c:pt>
                    <c:pt idx="803">
                      <c:v>1</c:v>
                    </c:pt>
                    <c:pt idx="804">
                      <c:v>1</c:v>
                    </c:pt>
                    <c:pt idx="805">
                      <c:v>1</c:v>
                    </c:pt>
                    <c:pt idx="806">
                      <c:v>1</c:v>
                    </c:pt>
                    <c:pt idx="807">
                      <c:v>1</c:v>
                    </c:pt>
                    <c:pt idx="808">
                      <c:v>1</c:v>
                    </c:pt>
                    <c:pt idx="809">
                      <c:v>1</c:v>
                    </c:pt>
                    <c:pt idx="810">
                      <c:v>1</c:v>
                    </c:pt>
                    <c:pt idx="811">
                      <c:v>1</c:v>
                    </c:pt>
                    <c:pt idx="812">
                      <c:v>1</c:v>
                    </c:pt>
                    <c:pt idx="813">
                      <c:v>1</c:v>
                    </c:pt>
                    <c:pt idx="814">
                      <c:v>1</c:v>
                    </c:pt>
                    <c:pt idx="815">
                      <c:v>1</c:v>
                    </c:pt>
                    <c:pt idx="816">
                      <c:v>1</c:v>
                    </c:pt>
                    <c:pt idx="817">
                      <c:v>1</c:v>
                    </c:pt>
                    <c:pt idx="818">
                      <c:v>1</c:v>
                    </c:pt>
                    <c:pt idx="819">
                      <c:v>1</c:v>
                    </c:pt>
                    <c:pt idx="820">
                      <c:v>1</c:v>
                    </c:pt>
                    <c:pt idx="821">
                      <c:v>1</c:v>
                    </c:pt>
                    <c:pt idx="822">
                      <c:v>1</c:v>
                    </c:pt>
                    <c:pt idx="823">
                      <c:v>1</c:v>
                    </c:pt>
                    <c:pt idx="824">
                      <c:v>1</c:v>
                    </c:pt>
                    <c:pt idx="825">
                      <c:v>1</c:v>
                    </c:pt>
                    <c:pt idx="826">
                      <c:v>1</c:v>
                    </c:pt>
                    <c:pt idx="827">
                      <c:v>1</c:v>
                    </c:pt>
                    <c:pt idx="828">
                      <c:v>1</c:v>
                    </c:pt>
                    <c:pt idx="829">
                      <c:v>1</c:v>
                    </c:pt>
                    <c:pt idx="830">
                      <c:v>1</c:v>
                    </c:pt>
                    <c:pt idx="831">
                      <c:v>1</c:v>
                    </c:pt>
                    <c:pt idx="832">
                      <c:v>1</c:v>
                    </c:pt>
                    <c:pt idx="833">
                      <c:v>1</c:v>
                    </c:pt>
                    <c:pt idx="834">
                      <c:v>1</c:v>
                    </c:pt>
                    <c:pt idx="835">
                      <c:v>1</c:v>
                    </c:pt>
                    <c:pt idx="836">
                      <c:v>1</c:v>
                    </c:pt>
                    <c:pt idx="837">
                      <c:v>1</c:v>
                    </c:pt>
                    <c:pt idx="838">
                      <c:v>1</c:v>
                    </c:pt>
                    <c:pt idx="839">
                      <c:v>1</c:v>
                    </c:pt>
                    <c:pt idx="840">
                      <c:v>1</c:v>
                    </c:pt>
                    <c:pt idx="841">
                      <c:v>1</c:v>
                    </c:pt>
                    <c:pt idx="842">
                      <c:v>1</c:v>
                    </c:pt>
                    <c:pt idx="843">
                      <c:v>1</c:v>
                    </c:pt>
                    <c:pt idx="844">
                      <c:v>1</c:v>
                    </c:pt>
                    <c:pt idx="845">
                      <c:v>1</c:v>
                    </c:pt>
                    <c:pt idx="846">
                      <c:v>1</c:v>
                    </c:pt>
                    <c:pt idx="847">
                      <c:v>1</c:v>
                    </c:pt>
                    <c:pt idx="848">
                      <c:v>1</c:v>
                    </c:pt>
                    <c:pt idx="849">
                      <c:v>1</c:v>
                    </c:pt>
                    <c:pt idx="850">
                      <c:v>1</c:v>
                    </c:pt>
                    <c:pt idx="851">
                      <c:v>1</c:v>
                    </c:pt>
                    <c:pt idx="852">
                      <c:v>1</c:v>
                    </c:pt>
                    <c:pt idx="853">
                      <c:v>1</c:v>
                    </c:pt>
                    <c:pt idx="854">
                      <c:v>1</c:v>
                    </c:pt>
                    <c:pt idx="855">
                      <c:v>1</c:v>
                    </c:pt>
                    <c:pt idx="856">
                      <c:v>1</c:v>
                    </c:pt>
                    <c:pt idx="857">
                      <c:v>1</c:v>
                    </c:pt>
                    <c:pt idx="858">
                      <c:v>1</c:v>
                    </c:pt>
                    <c:pt idx="859">
                      <c:v>1</c:v>
                    </c:pt>
                    <c:pt idx="860">
                      <c:v>1</c:v>
                    </c:pt>
                    <c:pt idx="861">
                      <c:v>1</c:v>
                    </c:pt>
                    <c:pt idx="862">
                      <c:v>1</c:v>
                    </c:pt>
                    <c:pt idx="863">
                      <c:v>1</c:v>
                    </c:pt>
                    <c:pt idx="864">
                      <c:v>1</c:v>
                    </c:pt>
                    <c:pt idx="865">
                      <c:v>1</c:v>
                    </c:pt>
                    <c:pt idx="866">
                      <c:v>1</c:v>
                    </c:pt>
                    <c:pt idx="867">
                      <c:v>1</c:v>
                    </c:pt>
                    <c:pt idx="868">
                      <c:v>1</c:v>
                    </c:pt>
                    <c:pt idx="869">
                      <c:v>1</c:v>
                    </c:pt>
                    <c:pt idx="870">
                      <c:v>1</c:v>
                    </c:pt>
                    <c:pt idx="871">
                      <c:v>1</c:v>
                    </c:pt>
                    <c:pt idx="872">
                      <c:v>1</c:v>
                    </c:pt>
                    <c:pt idx="873">
                      <c:v>1</c:v>
                    </c:pt>
                    <c:pt idx="874">
                      <c:v>1</c:v>
                    </c:pt>
                    <c:pt idx="875">
                      <c:v>1</c:v>
                    </c:pt>
                    <c:pt idx="876">
                      <c:v>1</c:v>
                    </c:pt>
                    <c:pt idx="877">
                      <c:v>1</c:v>
                    </c:pt>
                    <c:pt idx="878">
                      <c:v>1</c:v>
                    </c:pt>
                    <c:pt idx="879">
                      <c:v>1</c:v>
                    </c:pt>
                    <c:pt idx="880">
                      <c:v>1</c:v>
                    </c:pt>
                    <c:pt idx="881">
                      <c:v>1</c:v>
                    </c:pt>
                    <c:pt idx="882">
                      <c:v>1</c:v>
                    </c:pt>
                    <c:pt idx="883">
                      <c:v>1</c:v>
                    </c:pt>
                    <c:pt idx="884">
                      <c:v>1</c:v>
                    </c:pt>
                    <c:pt idx="885">
                      <c:v>1</c:v>
                    </c:pt>
                    <c:pt idx="886">
                      <c:v>1</c:v>
                    </c:pt>
                    <c:pt idx="887">
                      <c:v>1</c:v>
                    </c:pt>
                    <c:pt idx="888">
                      <c:v>1</c:v>
                    </c:pt>
                    <c:pt idx="889">
                      <c:v>1</c:v>
                    </c:pt>
                    <c:pt idx="890">
                      <c:v>1</c:v>
                    </c:pt>
                    <c:pt idx="891">
                      <c:v>1</c:v>
                    </c:pt>
                    <c:pt idx="892">
                      <c:v>1</c:v>
                    </c:pt>
                    <c:pt idx="893">
                      <c:v>1</c:v>
                    </c:pt>
                    <c:pt idx="894">
                      <c:v>1</c:v>
                    </c:pt>
                    <c:pt idx="895">
                      <c:v>1</c:v>
                    </c:pt>
                    <c:pt idx="896">
                      <c:v>1</c:v>
                    </c:pt>
                    <c:pt idx="897">
                      <c:v>1</c:v>
                    </c:pt>
                    <c:pt idx="898">
                      <c:v>1</c:v>
                    </c:pt>
                    <c:pt idx="899">
                      <c:v>1</c:v>
                    </c:pt>
                    <c:pt idx="900">
                      <c:v>1</c:v>
                    </c:pt>
                    <c:pt idx="901">
                      <c:v>1</c:v>
                    </c:pt>
                    <c:pt idx="902">
                      <c:v>1</c:v>
                    </c:pt>
                    <c:pt idx="903">
                      <c:v>1</c:v>
                    </c:pt>
                    <c:pt idx="904">
                      <c:v>1</c:v>
                    </c:pt>
                    <c:pt idx="905">
                      <c:v>1</c:v>
                    </c:pt>
                    <c:pt idx="906">
                      <c:v>1</c:v>
                    </c:pt>
                    <c:pt idx="907">
                      <c:v>1</c:v>
                    </c:pt>
                    <c:pt idx="908">
                      <c:v>1</c:v>
                    </c:pt>
                    <c:pt idx="909">
                      <c:v>1</c:v>
                    </c:pt>
                    <c:pt idx="910">
                      <c:v>1</c:v>
                    </c:pt>
                    <c:pt idx="911">
                      <c:v>1</c:v>
                    </c:pt>
                    <c:pt idx="912">
                      <c:v>1</c:v>
                    </c:pt>
                    <c:pt idx="913">
                      <c:v>1</c:v>
                    </c:pt>
                    <c:pt idx="914">
                      <c:v>1</c:v>
                    </c:pt>
                    <c:pt idx="915">
                      <c:v>1</c:v>
                    </c:pt>
                    <c:pt idx="916">
                      <c:v>1</c:v>
                    </c:pt>
                    <c:pt idx="917">
                      <c:v>1</c:v>
                    </c:pt>
                    <c:pt idx="918">
                      <c:v>1</c:v>
                    </c:pt>
                    <c:pt idx="919">
                      <c:v>1</c:v>
                    </c:pt>
                    <c:pt idx="920">
                      <c:v>1</c:v>
                    </c:pt>
                    <c:pt idx="921">
                      <c:v>1</c:v>
                    </c:pt>
                    <c:pt idx="922">
                      <c:v>1</c:v>
                    </c:pt>
                    <c:pt idx="923">
                      <c:v>1</c:v>
                    </c:pt>
                    <c:pt idx="924">
                      <c:v>1</c:v>
                    </c:pt>
                    <c:pt idx="925">
                      <c:v>1</c:v>
                    </c:pt>
                    <c:pt idx="926">
                      <c:v>1</c:v>
                    </c:pt>
                    <c:pt idx="927">
                      <c:v>1</c:v>
                    </c:pt>
                    <c:pt idx="928">
                      <c:v>1</c:v>
                    </c:pt>
                    <c:pt idx="929">
                      <c:v>1</c:v>
                    </c:pt>
                    <c:pt idx="930">
                      <c:v>1</c:v>
                    </c:pt>
                    <c:pt idx="931">
                      <c:v>1</c:v>
                    </c:pt>
                    <c:pt idx="932">
                      <c:v>1</c:v>
                    </c:pt>
                    <c:pt idx="933">
                      <c:v>1</c:v>
                    </c:pt>
                    <c:pt idx="934">
                      <c:v>1</c:v>
                    </c:pt>
                    <c:pt idx="935">
                      <c:v>1</c:v>
                    </c:pt>
                    <c:pt idx="936">
                      <c:v>1</c:v>
                    </c:pt>
                    <c:pt idx="937">
                      <c:v>1</c:v>
                    </c:pt>
                    <c:pt idx="938">
                      <c:v>1</c:v>
                    </c:pt>
                    <c:pt idx="939">
                      <c:v>1</c:v>
                    </c:pt>
                    <c:pt idx="940">
                      <c:v>1</c:v>
                    </c:pt>
                    <c:pt idx="941">
                      <c:v>1</c:v>
                    </c:pt>
                    <c:pt idx="942">
                      <c:v>1</c:v>
                    </c:pt>
                    <c:pt idx="943">
                      <c:v>1</c:v>
                    </c:pt>
                    <c:pt idx="944">
                      <c:v>1</c:v>
                    </c:pt>
                    <c:pt idx="945">
                      <c:v>1</c:v>
                    </c:pt>
                    <c:pt idx="946">
                      <c:v>1</c:v>
                    </c:pt>
                    <c:pt idx="947">
                      <c:v>1</c:v>
                    </c:pt>
                    <c:pt idx="948">
                      <c:v>1</c:v>
                    </c:pt>
                    <c:pt idx="949">
                      <c:v>1</c:v>
                    </c:pt>
                    <c:pt idx="950">
                      <c:v>1</c:v>
                    </c:pt>
                    <c:pt idx="951">
                      <c:v>1</c:v>
                    </c:pt>
                    <c:pt idx="952">
                      <c:v>1</c:v>
                    </c:pt>
                    <c:pt idx="953">
                      <c:v>1</c:v>
                    </c:pt>
                    <c:pt idx="954">
                      <c:v>1</c:v>
                    </c:pt>
                    <c:pt idx="955">
                      <c:v>1</c:v>
                    </c:pt>
                    <c:pt idx="956">
                      <c:v>1</c:v>
                    </c:pt>
                    <c:pt idx="957">
                      <c:v>1</c:v>
                    </c:pt>
                    <c:pt idx="958">
                      <c:v>1</c:v>
                    </c:pt>
                    <c:pt idx="959">
                      <c:v>1</c:v>
                    </c:pt>
                    <c:pt idx="960">
                      <c:v>1</c:v>
                    </c:pt>
                    <c:pt idx="961">
                      <c:v>1</c:v>
                    </c:pt>
                    <c:pt idx="962">
                      <c:v>1</c:v>
                    </c:pt>
                    <c:pt idx="963">
                      <c:v>1</c:v>
                    </c:pt>
                    <c:pt idx="964">
                      <c:v>1</c:v>
                    </c:pt>
                    <c:pt idx="965">
                      <c:v>1</c:v>
                    </c:pt>
                    <c:pt idx="966">
                      <c:v>1</c:v>
                    </c:pt>
                    <c:pt idx="967">
                      <c:v>1</c:v>
                    </c:pt>
                    <c:pt idx="968">
                      <c:v>1</c:v>
                    </c:pt>
                    <c:pt idx="969">
                      <c:v>1</c:v>
                    </c:pt>
                    <c:pt idx="970">
                      <c:v>1</c:v>
                    </c:pt>
                    <c:pt idx="971">
                      <c:v>1</c:v>
                    </c:pt>
                    <c:pt idx="972">
                      <c:v>1</c:v>
                    </c:pt>
                    <c:pt idx="973">
                      <c:v>1</c:v>
                    </c:pt>
                    <c:pt idx="974">
                      <c:v>1</c:v>
                    </c:pt>
                    <c:pt idx="975">
                      <c:v>1</c:v>
                    </c:pt>
                    <c:pt idx="976">
                      <c:v>1</c:v>
                    </c:pt>
                    <c:pt idx="977">
                      <c:v>1</c:v>
                    </c:pt>
                    <c:pt idx="978">
                      <c:v>1</c:v>
                    </c:pt>
                    <c:pt idx="979">
                      <c:v>1</c:v>
                    </c:pt>
                    <c:pt idx="980">
                      <c:v>1</c:v>
                    </c:pt>
                    <c:pt idx="981">
                      <c:v>1</c:v>
                    </c:pt>
                    <c:pt idx="982">
                      <c:v>1</c:v>
                    </c:pt>
                    <c:pt idx="983">
                      <c:v>1</c:v>
                    </c:pt>
                    <c:pt idx="984">
                      <c:v>1</c:v>
                    </c:pt>
                    <c:pt idx="985">
                      <c:v>1</c:v>
                    </c:pt>
                    <c:pt idx="986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MrBeast_Cleaned_Dataset!$I$2:$I$988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3.0485343872286577</c:v>
                      </c:pt>
                      <c:pt idx="1">
                        <c:v>4.0501863549865442</c:v>
                      </c:pt>
                      <c:pt idx="2">
                        <c:v>3.3678318016979154</c:v>
                      </c:pt>
                      <c:pt idx="3">
                        <c:v>4.2198218412270476</c:v>
                      </c:pt>
                      <c:pt idx="4">
                        <c:v>2.2963386467901614</c:v>
                      </c:pt>
                      <c:pt idx="5">
                        <c:v>1.0061365753878018</c:v>
                      </c:pt>
                      <c:pt idx="6">
                        <c:v>2.5028892018171045</c:v>
                      </c:pt>
                      <c:pt idx="7">
                        <c:v>3.5426819859710856</c:v>
                      </c:pt>
                      <c:pt idx="8">
                        <c:v>2.041860646325957</c:v>
                      </c:pt>
                      <c:pt idx="9">
                        <c:v>2.8813456337947718</c:v>
                      </c:pt>
                      <c:pt idx="10">
                        <c:v>2.1260772999291135</c:v>
                      </c:pt>
                      <c:pt idx="11">
                        <c:v>4.992117039409707</c:v>
                      </c:pt>
                      <c:pt idx="12">
                        <c:v>2.1570175280163562</c:v>
                      </c:pt>
                      <c:pt idx="13">
                        <c:v>3.1735115141001558</c:v>
                      </c:pt>
                      <c:pt idx="14">
                        <c:v>2.1556694476281133</c:v>
                      </c:pt>
                      <c:pt idx="15">
                        <c:v>2.7640912547936156</c:v>
                      </c:pt>
                      <c:pt idx="16">
                        <c:v>1.4526966725724939</c:v>
                      </c:pt>
                      <c:pt idx="17">
                        <c:v>3.7583559140884391</c:v>
                      </c:pt>
                      <c:pt idx="18">
                        <c:v>2.1141677505650809</c:v>
                      </c:pt>
                      <c:pt idx="19">
                        <c:v>2.215462631771882</c:v>
                      </c:pt>
                      <c:pt idx="20">
                        <c:v>2.7261466958277629</c:v>
                      </c:pt>
                      <c:pt idx="21">
                        <c:v>2.4152698624823103</c:v>
                      </c:pt>
                      <c:pt idx="22">
                        <c:v>2.7188423556462298</c:v>
                      </c:pt>
                      <c:pt idx="23">
                        <c:v>2.8954395297700102</c:v>
                      </c:pt>
                      <c:pt idx="24">
                        <c:v>2.256645107154966</c:v>
                      </c:pt>
                      <c:pt idx="25">
                        <c:v>2.6460181996857832</c:v>
                      </c:pt>
                      <c:pt idx="26">
                        <c:v>2.0165059404798713</c:v>
                      </c:pt>
                      <c:pt idx="27">
                        <c:v>2.2011770368693275</c:v>
                      </c:pt>
                      <c:pt idx="28">
                        <c:v>2.1324321533332329</c:v>
                      </c:pt>
                      <c:pt idx="29">
                        <c:v>2.2425423211068232</c:v>
                      </c:pt>
                      <c:pt idx="30">
                        <c:v>1.7962737612059718</c:v>
                      </c:pt>
                      <c:pt idx="31">
                        <c:v>0.57036237251812361</c:v>
                      </c:pt>
                      <c:pt idx="32">
                        <c:v>1.9148584596750247</c:v>
                      </c:pt>
                      <c:pt idx="33">
                        <c:v>1.6365943547000057</c:v>
                      </c:pt>
                      <c:pt idx="34">
                        <c:v>1.9754306582298709</c:v>
                      </c:pt>
                      <c:pt idx="35">
                        <c:v>0.56363978983348617</c:v>
                      </c:pt>
                      <c:pt idx="36">
                        <c:v>2.5676733606253417</c:v>
                      </c:pt>
                      <c:pt idx="37">
                        <c:v>1.9882598115763654</c:v>
                      </c:pt>
                      <c:pt idx="38">
                        <c:v>1.0978462800660715</c:v>
                      </c:pt>
                      <c:pt idx="39">
                        <c:v>0.77393307040580528</c:v>
                      </c:pt>
                      <c:pt idx="40">
                        <c:v>1.1157309499932708</c:v>
                      </c:pt>
                      <c:pt idx="41">
                        <c:v>1.6835886642132334</c:v>
                      </c:pt>
                      <c:pt idx="42">
                        <c:v>1.3720672030957193</c:v>
                      </c:pt>
                      <c:pt idx="43">
                        <c:v>0.91477776263045374</c:v>
                      </c:pt>
                      <c:pt idx="44">
                        <c:v>1.3379878362099622</c:v>
                      </c:pt>
                      <c:pt idx="45">
                        <c:v>1.4585149434012699</c:v>
                      </c:pt>
                      <c:pt idx="46">
                        <c:v>1.7744636592871534</c:v>
                      </c:pt>
                      <c:pt idx="47">
                        <c:v>0.68031031515352436</c:v>
                      </c:pt>
                      <c:pt idx="48">
                        <c:v>1.380174142800467</c:v>
                      </c:pt>
                      <c:pt idx="49">
                        <c:v>1.2416967721797652</c:v>
                      </c:pt>
                      <c:pt idx="50">
                        <c:v>0.77837642121866957</c:v>
                      </c:pt>
                      <c:pt idx="51">
                        <c:v>0.47519655012156109</c:v>
                      </c:pt>
                      <c:pt idx="52">
                        <c:v>0.94999281938897162</c:v>
                      </c:pt>
                      <c:pt idx="53">
                        <c:v>1.2029612496772468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F7F-4E5A-BF54-E24540A37BE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MrBeast_Cleaned_Dataset!$A$2:$H$988</c15:sqref>
                        </c15:formulaRef>
                      </c:ext>
                    </c:extLst>
                    <c:multiLvlStrCache>
                      <c:ptCount val="54"/>
                      <c:lvl>
                        <c:pt idx="0">
                          <c:v>Saturday</c:v>
                        </c:pt>
                        <c:pt idx="1">
                          <c:v>Friday</c:v>
                        </c:pt>
                        <c:pt idx="2">
                          <c:v>Saturday</c:v>
                        </c:pt>
                        <c:pt idx="3">
                          <c:v>Wednesday</c:v>
                        </c:pt>
                        <c:pt idx="4">
                          <c:v>Saturday</c:v>
                        </c:pt>
                        <c:pt idx="5">
                          <c:v>Thursday</c:v>
                        </c:pt>
                        <c:pt idx="6">
                          <c:v>Saturday</c:v>
                        </c:pt>
                        <c:pt idx="7">
                          <c:v>Saturday</c:v>
                        </c:pt>
                        <c:pt idx="8">
                          <c:v>Saturday</c:v>
                        </c:pt>
                        <c:pt idx="9">
                          <c:v>Saturday</c:v>
                        </c:pt>
                        <c:pt idx="10">
                          <c:v>Saturday</c:v>
                        </c:pt>
                        <c:pt idx="11">
                          <c:v>Tuesday</c:v>
                        </c:pt>
                        <c:pt idx="12">
                          <c:v>Wednesday</c:v>
                        </c:pt>
                        <c:pt idx="13">
                          <c:v>Tuesday</c:v>
                        </c:pt>
                        <c:pt idx="14">
                          <c:v>Saturday</c:v>
                        </c:pt>
                        <c:pt idx="15">
                          <c:v>Sunday</c:v>
                        </c:pt>
                        <c:pt idx="16">
                          <c:v>Saturday</c:v>
                        </c:pt>
                        <c:pt idx="17">
                          <c:v>Sunday</c:v>
                        </c:pt>
                        <c:pt idx="18">
                          <c:v>Saturday</c:v>
                        </c:pt>
                        <c:pt idx="19">
                          <c:v>Monday</c:v>
                        </c:pt>
                        <c:pt idx="20">
                          <c:v>Thursday</c:v>
                        </c:pt>
                        <c:pt idx="21">
                          <c:v>Friday</c:v>
                        </c:pt>
                        <c:pt idx="22">
                          <c:v>Thursday</c:v>
                        </c:pt>
                        <c:pt idx="23">
                          <c:v>Tuesday</c:v>
                        </c:pt>
                        <c:pt idx="24">
                          <c:v>Friday</c:v>
                        </c:pt>
                        <c:pt idx="25">
                          <c:v>Friday</c:v>
                        </c:pt>
                        <c:pt idx="26">
                          <c:v>Sunday</c:v>
                        </c:pt>
                        <c:pt idx="27">
                          <c:v>Sunday</c:v>
                        </c:pt>
                        <c:pt idx="28">
                          <c:v>Wednesday</c:v>
                        </c:pt>
                        <c:pt idx="29">
                          <c:v>Thursday</c:v>
                        </c:pt>
                        <c:pt idx="30">
                          <c:v>Friday</c:v>
                        </c:pt>
                        <c:pt idx="31">
                          <c:v>Tuesday</c:v>
                        </c:pt>
                        <c:pt idx="32">
                          <c:v>Tuesday</c:v>
                        </c:pt>
                        <c:pt idx="33">
                          <c:v>Tuesday</c:v>
                        </c:pt>
                        <c:pt idx="34">
                          <c:v>Friday</c:v>
                        </c:pt>
                        <c:pt idx="35">
                          <c:v>Friday</c:v>
                        </c:pt>
                        <c:pt idx="36">
                          <c:v>Friday</c:v>
                        </c:pt>
                        <c:pt idx="37">
                          <c:v>Tuesday</c:v>
                        </c:pt>
                        <c:pt idx="38">
                          <c:v>Friday</c:v>
                        </c:pt>
                        <c:pt idx="39">
                          <c:v>Tuesday</c:v>
                        </c:pt>
                        <c:pt idx="40">
                          <c:v>Friday</c:v>
                        </c:pt>
                        <c:pt idx="41">
                          <c:v>Friday</c:v>
                        </c:pt>
                        <c:pt idx="42">
                          <c:v>Monday</c:v>
                        </c:pt>
                        <c:pt idx="43">
                          <c:v>Saturday</c:v>
                        </c:pt>
                        <c:pt idx="44">
                          <c:v>Wednesday</c:v>
                        </c:pt>
                        <c:pt idx="45">
                          <c:v>Friday</c:v>
                        </c:pt>
                        <c:pt idx="46">
                          <c:v>Friday</c:v>
                        </c:pt>
                        <c:pt idx="47">
                          <c:v>Sunday</c:v>
                        </c:pt>
                        <c:pt idx="48">
                          <c:v>Tuesday</c:v>
                        </c:pt>
                        <c:pt idx="49">
                          <c:v>Tuesday</c:v>
                        </c:pt>
                        <c:pt idx="50">
                          <c:v>Tuesday</c:v>
                        </c:pt>
                        <c:pt idx="51">
                          <c:v>Wednesday</c:v>
                        </c:pt>
                        <c:pt idx="52">
                          <c:v>Tuesday</c:v>
                        </c:pt>
                        <c:pt idx="53">
                          <c:v>Friday</c:v>
                        </c:pt>
                      </c:lvl>
                      <c:lvl>
                        <c:pt idx="0">
                          <c:v>May</c:v>
                        </c:pt>
                        <c:pt idx="1">
                          <c:v>June</c:v>
                        </c:pt>
                        <c:pt idx="2">
                          <c:v>June</c:v>
                        </c:pt>
                        <c:pt idx="3">
                          <c:v>June</c:v>
                        </c:pt>
                        <c:pt idx="4">
                          <c:v>May</c:v>
                        </c:pt>
                        <c:pt idx="5">
                          <c:v>May</c:v>
                        </c:pt>
                        <c:pt idx="6">
                          <c:v>April</c:v>
                        </c:pt>
                        <c:pt idx="7">
                          <c:v>February</c:v>
                        </c:pt>
                        <c:pt idx="8">
                          <c:v>March</c:v>
                        </c:pt>
                        <c:pt idx="9">
                          <c:v>May</c:v>
                        </c:pt>
                        <c:pt idx="10">
                          <c:v>April</c:v>
                        </c:pt>
                        <c:pt idx="11">
                          <c:v>March</c:v>
                        </c:pt>
                        <c:pt idx="12">
                          <c:v>January</c:v>
                        </c:pt>
                        <c:pt idx="13">
                          <c:v>April</c:v>
                        </c:pt>
                        <c:pt idx="14">
                          <c:v>March</c:v>
                        </c:pt>
                        <c:pt idx="15">
                          <c:v>May</c:v>
                        </c:pt>
                        <c:pt idx="16">
                          <c:v>February</c:v>
                        </c:pt>
                        <c:pt idx="17">
                          <c:v>February</c:v>
                        </c:pt>
                        <c:pt idx="18">
                          <c:v>January</c:v>
                        </c:pt>
                        <c:pt idx="19">
                          <c:v>April</c:v>
                        </c:pt>
                        <c:pt idx="20">
                          <c:v>April</c:v>
                        </c:pt>
                        <c:pt idx="21">
                          <c:v>January</c:v>
                        </c:pt>
                        <c:pt idx="22">
                          <c:v>March</c:v>
                        </c:pt>
                        <c:pt idx="23">
                          <c:v>April</c:v>
                        </c:pt>
                        <c:pt idx="24">
                          <c:v>May</c:v>
                        </c:pt>
                        <c:pt idx="25">
                          <c:v>March</c:v>
                        </c:pt>
                        <c:pt idx="26">
                          <c:v>June</c:v>
                        </c:pt>
                        <c:pt idx="27">
                          <c:v>January</c:v>
                        </c:pt>
                        <c:pt idx="28">
                          <c:v>April</c:v>
                        </c:pt>
                        <c:pt idx="29">
                          <c:v>February</c:v>
                        </c:pt>
                        <c:pt idx="30">
                          <c:v>March</c:v>
                        </c:pt>
                        <c:pt idx="31">
                          <c:v>January</c:v>
                        </c:pt>
                        <c:pt idx="32">
                          <c:v>March</c:v>
                        </c:pt>
                        <c:pt idx="33">
                          <c:v>April</c:v>
                        </c:pt>
                        <c:pt idx="34">
                          <c:v>January</c:v>
                        </c:pt>
                        <c:pt idx="35">
                          <c:v>May</c:v>
                        </c:pt>
                        <c:pt idx="36">
                          <c:v>March</c:v>
                        </c:pt>
                        <c:pt idx="37">
                          <c:v>April</c:v>
                        </c:pt>
                        <c:pt idx="38">
                          <c:v>May</c:v>
                        </c:pt>
                        <c:pt idx="39">
                          <c:v>May</c:v>
                        </c:pt>
                        <c:pt idx="40">
                          <c:v>April</c:v>
                        </c:pt>
                        <c:pt idx="41">
                          <c:v>April</c:v>
                        </c:pt>
                        <c:pt idx="42">
                          <c:v>February</c:v>
                        </c:pt>
                        <c:pt idx="43">
                          <c:v>February</c:v>
                        </c:pt>
                        <c:pt idx="44">
                          <c:v>February</c:v>
                        </c:pt>
                        <c:pt idx="45">
                          <c:v>April</c:v>
                        </c:pt>
                        <c:pt idx="46">
                          <c:v>February</c:v>
                        </c:pt>
                        <c:pt idx="47">
                          <c:v>May</c:v>
                        </c:pt>
                        <c:pt idx="48">
                          <c:v>May</c:v>
                        </c:pt>
                        <c:pt idx="49">
                          <c:v>January</c:v>
                        </c:pt>
                        <c:pt idx="50">
                          <c:v>January</c:v>
                        </c:pt>
                        <c:pt idx="51">
                          <c:v>April</c:v>
                        </c:pt>
                        <c:pt idx="52">
                          <c:v>May</c:v>
                        </c:pt>
                        <c:pt idx="53">
                          <c:v>April</c:v>
                        </c:pt>
                      </c:lvl>
                      <c:lvl>
                        <c:pt idx="0">
                          <c:v>2026</c:v>
                        </c:pt>
                        <c:pt idx="1">
                          <c:v>2026</c:v>
                        </c:pt>
                        <c:pt idx="2">
                          <c:v>2026</c:v>
                        </c:pt>
                        <c:pt idx="3">
                          <c:v>2026</c:v>
                        </c:pt>
                        <c:pt idx="4">
                          <c:v>2026</c:v>
                        </c:pt>
                        <c:pt idx="5">
                          <c:v>2026</c:v>
                        </c:pt>
                        <c:pt idx="6">
                          <c:v>2026</c:v>
                        </c:pt>
                        <c:pt idx="7">
                          <c:v>2026</c:v>
                        </c:pt>
                        <c:pt idx="8">
                          <c:v>2026</c:v>
                        </c:pt>
                        <c:pt idx="9">
                          <c:v>2026</c:v>
                        </c:pt>
                        <c:pt idx="10">
                          <c:v>2026</c:v>
                        </c:pt>
                        <c:pt idx="11">
                          <c:v>2026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  <c:pt idx="14">
                          <c:v>2026</c:v>
                        </c:pt>
                        <c:pt idx="15">
                          <c:v>2026</c:v>
                        </c:pt>
                        <c:pt idx="16">
                          <c:v>2026</c:v>
                        </c:pt>
                        <c:pt idx="17">
                          <c:v>2026</c:v>
                        </c:pt>
                        <c:pt idx="18">
                          <c:v>2026</c:v>
                        </c:pt>
                        <c:pt idx="19">
                          <c:v>2026</c:v>
                        </c:pt>
                        <c:pt idx="20">
                          <c:v>2026</c:v>
                        </c:pt>
                        <c:pt idx="21">
                          <c:v>2026</c:v>
                        </c:pt>
                        <c:pt idx="22">
                          <c:v>2026</c:v>
                        </c:pt>
                        <c:pt idx="23">
                          <c:v>2026</c:v>
                        </c:pt>
                        <c:pt idx="24">
                          <c:v>2026</c:v>
                        </c:pt>
                        <c:pt idx="25">
                          <c:v>2026</c:v>
                        </c:pt>
                        <c:pt idx="26">
                          <c:v>2026</c:v>
                        </c:pt>
                        <c:pt idx="27">
                          <c:v>2026</c:v>
                        </c:pt>
                        <c:pt idx="28">
                          <c:v>2026</c:v>
                        </c:pt>
                        <c:pt idx="29">
                          <c:v>2026</c:v>
                        </c:pt>
                        <c:pt idx="30">
                          <c:v>2026</c:v>
                        </c:pt>
                        <c:pt idx="31">
                          <c:v>2026</c:v>
                        </c:pt>
                        <c:pt idx="32">
                          <c:v>2026</c:v>
                        </c:pt>
                        <c:pt idx="33">
                          <c:v>2026</c:v>
                        </c:pt>
                        <c:pt idx="34">
                          <c:v>2026</c:v>
                        </c:pt>
                        <c:pt idx="35">
                          <c:v>2026</c:v>
                        </c:pt>
                        <c:pt idx="36">
                          <c:v>2026</c:v>
                        </c:pt>
                        <c:pt idx="37">
                          <c:v>2026</c:v>
                        </c:pt>
                        <c:pt idx="38">
                          <c:v>2026</c:v>
                        </c:pt>
                        <c:pt idx="39">
                          <c:v>2026</c:v>
                        </c:pt>
                        <c:pt idx="40">
                          <c:v>2026</c:v>
                        </c:pt>
                        <c:pt idx="41">
                          <c:v>2026</c:v>
                        </c:pt>
                        <c:pt idx="42">
                          <c:v>2026</c:v>
                        </c:pt>
                        <c:pt idx="43">
                          <c:v>2026</c:v>
                        </c:pt>
                        <c:pt idx="44">
                          <c:v>2026</c:v>
                        </c:pt>
                        <c:pt idx="45">
                          <c:v>2026</c:v>
                        </c:pt>
                        <c:pt idx="46">
                          <c:v>2026</c:v>
                        </c:pt>
                        <c:pt idx="47">
                          <c:v>2026</c:v>
                        </c:pt>
                        <c:pt idx="48">
                          <c:v>2026</c:v>
                        </c:pt>
                        <c:pt idx="49">
                          <c:v>2026</c:v>
                        </c:pt>
                        <c:pt idx="50">
                          <c:v>2026</c:v>
                        </c:pt>
                        <c:pt idx="51">
                          <c:v>2026</c:v>
                        </c:pt>
                        <c:pt idx="52">
                          <c:v>2026</c:v>
                        </c:pt>
                        <c:pt idx="53">
                          <c:v>2026</c:v>
                        </c:pt>
                      </c:lvl>
                      <c:lvl>
                        <c:pt idx="0">
                          <c:v>1399899.00</c:v>
                        </c:pt>
                        <c:pt idx="1">
                          <c:v>19736.00</c:v>
                        </c:pt>
                        <c:pt idx="2">
                          <c:v>131250.00</c:v>
                        </c:pt>
                        <c:pt idx="3">
                          <c:v>17767.00</c:v>
                        </c:pt>
                        <c:pt idx="4">
                          <c:v>136619.00</c:v>
                        </c:pt>
                        <c:pt idx="5">
                          <c:v>1054577.00</c:v>
                        </c:pt>
                        <c:pt idx="6">
                          <c:v>171141.00</c:v>
                        </c:pt>
                        <c:pt idx="7">
                          <c:v>96244.00</c:v>
                        </c:pt>
                        <c:pt idx="8">
                          <c:v>151158.00</c:v>
                        </c:pt>
                        <c:pt idx="9">
                          <c:v>97537.00</c:v>
                        </c:pt>
                        <c:pt idx="10">
                          <c:v>168813.00</c:v>
                        </c:pt>
                        <c:pt idx="11">
                          <c:v>20005.00</c:v>
                        </c:pt>
                        <c:pt idx="12">
                          <c:v>119334.00</c:v>
                        </c:pt>
                        <c:pt idx="13">
                          <c:v>16318.00</c:v>
                        </c:pt>
                        <c:pt idx="14">
                          <c:v>118253.00</c:v>
                        </c:pt>
                        <c:pt idx="15">
                          <c:v>12014.00</c:v>
                        </c:pt>
                        <c:pt idx="16">
                          <c:v>86987.00</c:v>
                        </c:pt>
                        <c:pt idx="17">
                          <c:v>16175.00</c:v>
                        </c:pt>
                        <c:pt idx="18">
                          <c:v>90178.00</c:v>
                        </c:pt>
                        <c:pt idx="19">
                          <c:v>8907.00</c:v>
                        </c:pt>
                        <c:pt idx="20">
                          <c:v>8025.00</c:v>
                        </c:pt>
                        <c:pt idx="21">
                          <c:v>14509.00</c:v>
                        </c:pt>
                        <c:pt idx="22">
                          <c:v>15004.00</c:v>
                        </c:pt>
                        <c:pt idx="23">
                          <c:v>14905.00</c:v>
                        </c:pt>
                        <c:pt idx="24">
                          <c:v>61502.00</c:v>
                        </c:pt>
                        <c:pt idx="25">
                          <c:v>21677.00</c:v>
                        </c:pt>
                        <c:pt idx="26">
                          <c:v>21554.00</c:v>
                        </c:pt>
                        <c:pt idx="27">
                          <c:v>33150.00</c:v>
                        </c:pt>
                        <c:pt idx="28">
                          <c:v>11721.00</c:v>
                        </c:pt>
                        <c:pt idx="29">
                          <c:v>17851.00</c:v>
                        </c:pt>
                        <c:pt idx="30">
                          <c:v>19695.00</c:v>
                        </c:pt>
                        <c:pt idx="31">
                          <c:v>180100.00</c:v>
                        </c:pt>
                        <c:pt idx="32">
                          <c:v>13433.00</c:v>
                        </c:pt>
                        <c:pt idx="33">
                          <c:v>17718.00</c:v>
                        </c:pt>
                        <c:pt idx="34">
                          <c:v>13834.00</c:v>
                        </c:pt>
                        <c:pt idx="35">
                          <c:v>83407.00</c:v>
                        </c:pt>
                        <c:pt idx="36">
                          <c:v>11347.00</c:v>
                        </c:pt>
                        <c:pt idx="37">
                          <c:v>11908.00</c:v>
                        </c:pt>
                        <c:pt idx="38">
                          <c:v>37637.00</c:v>
                        </c:pt>
                        <c:pt idx="39">
                          <c:v>36624.00</c:v>
                        </c:pt>
                        <c:pt idx="40">
                          <c:v>13039.00</c:v>
                        </c:pt>
                        <c:pt idx="41">
                          <c:v>13495.00</c:v>
                        </c:pt>
                        <c:pt idx="42">
                          <c:v>32337.00</c:v>
                        </c:pt>
                        <c:pt idx="43">
                          <c:v>25039.00</c:v>
                        </c:pt>
                        <c:pt idx="44">
                          <c:v>9317.00</c:v>
                        </c:pt>
                        <c:pt idx="45">
                          <c:v>12214.00</c:v>
                        </c:pt>
                        <c:pt idx="46">
                          <c:v>10434.00</c:v>
                        </c:pt>
                        <c:pt idx="47">
                          <c:v>21083.00</c:v>
                        </c:pt>
                        <c:pt idx="48">
                          <c:v>20137.00</c:v>
                        </c:pt>
                        <c:pt idx="49">
                          <c:v>20065.00</c:v>
                        </c:pt>
                        <c:pt idx="50">
                          <c:v>40603.00</c:v>
                        </c:pt>
                        <c:pt idx="51">
                          <c:v>21756.00</c:v>
                        </c:pt>
                        <c:pt idx="52">
                          <c:v>16883.00</c:v>
                        </c:pt>
                        <c:pt idx="53">
                          <c:v>19719.00</c:v>
                        </c:pt>
                      </c:lvl>
                      <c:lvl>
                        <c:pt idx="0">
                          <c:v>2579009.00</c:v>
                        </c:pt>
                        <c:pt idx="1">
                          <c:v>339957.00</c:v>
                        </c:pt>
                        <c:pt idx="2">
                          <c:v>1965717.00</c:v>
                        </c:pt>
                        <c:pt idx="3">
                          <c:v>446914.00</c:v>
                        </c:pt>
                        <c:pt idx="4">
                          <c:v>1847674.00</c:v>
                        </c:pt>
                        <c:pt idx="5">
                          <c:v>5785615.00</c:v>
                        </c:pt>
                        <c:pt idx="6">
                          <c:v>2619052.00</c:v>
                        </c:pt>
                        <c:pt idx="7">
                          <c:v>2387295.00</c:v>
                        </c:pt>
                        <c:pt idx="8">
                          <c:v>2473487.00</c:v>
                        </c:pt>
                        <c:pt idx="9">
                          <c:v>2372163.00</c:v>
                        </c:pt>
                        <c:pt idx="10">
                          <c:v>3208380.00</c:v>
                        </c:pt>
                        <c:pt idx="11">
                          <c:v>940015.00</c:v>
                        </c:pt>
                        <c:pt idx="12">
                          <c:v>2660932.00</c:v>
                        </c:pt>
                        <c:pt idx="13">
                          <c:v>566707.00</c:v>
                        </c:pt>
                        <c:pt idx="14">
                          <c:v>2900664.00</c:v>
                        </c:pt>
                        <c:pt idx="15">
                          <c:v>421128.00</c:v>
                        </c:pt>
                        <c:pt idx="16">
                          <c:v>1749517.00</c:v>
                        </c:pt>
                        <c:pt idx="17">
                          <c:v>988766.00</c:v>
                        </c:pt>
                        <c:pt idx="18">
                          <c:v>3150143.00</c:v>
                        </c:pt>
                        <c:pt idx="19">
                          <c:v>400068.00</c:v>
                        </c:pt>
                        <c:pt idx="20">
                          <c:v>453994.00</c:v>
                        </c:pt>
                        <c:pt idx="21">
                          <c:v>883076.00</c:v>
                        </c:pt>
                        <c:pt idx="22">
                          <c:v>1119219.00</c:v>
                        </c:pt>
                        <c:pt idx="23">
                          <c:v>1484672.00</c:v>
                        </c:pt>
                        <c:pt idx="24">
                          <c:v>5129789.00</c:v>
                        </c:pt>
                        <c:pt idx="25">
                          <c:v>2293405.00</c:v>
                        </c:pt>
                        <c:pt idx="26">
                          <c:v>2256693.00</c:v>
                        </c:pt>
                        <c:pt idx="27">
                          <c:v>3817798.00</c:v>
                        </c:pt>
                        <c:pt idx="28">
                          <c:v>1337947.00</c:v>
                        </c:pt>
                        <c:pt idx="29">
                          <c:v>2445299.00</c:v>
                        </c:pt>
                        <c:pt idx="30">
                          <c:v>2277697.00</c:v>
                        </c:pt>
                        <c:pt idx="31">
                          <c:v>6780422.00</c:v>
                        </c:pt>
                        <c:pt idx="32">
                          <c:v>1892392.00</c:v>
                        </c:pt>
                        <c:pt idx="33">
                          <c:v>2139059.00</c:v>
                        </c:pt>
                        <c:pt idx="34">
                          <c:v>2034248.00</c:v>
                        </c:pt>
                        <c:pt idx="35">
                          <c:v>3494242.00</c:v>
                        </c:pt>
                        <c:pt idx="36">
                          <c:v>2300242.00</c:v>
                        </c:pt>
                        <c:pt idx="37">
                          <c:v>1917110.00</c:v>
                        </c:pt>
                        <c:pt idx="38">
                          <c:v>3483909.00</c:v>
                        </c:pt>
                        <c:pt idx="39">
                          <c:v>2706368.00</c:v>
                        </c:pt>
                        <c:pt idx="40">
                          <c:v>1411717.00</c:v>
                        </c:pt>
                        <c:pt idx="41">
                          <c:v>2455195.00</c:v>
                        </c:pt>
                        <c:pt idx="42">
                          <c:v>4942868.00</c:v>
                        </c:pt>
                        <c:pt idx="43">
                          <c:v>2951349.00</c:v>
                        </c:pt>
                        <c:pt idx="44">
                          <c:v>1675369.00</c:v>
                        </c:pt>
                        <c:pt idx="45">
                          <c:v>2622280.00</c:v>
                        </c:pt>
                        <c:pt idx="46">
                          <c:v>2774150.00</c:v>
                        </c:pt>
                        <c:pt idx="47">
                          <c:v>2146674.00</c:v>
                        </c:pt>
                        <c:pt idx="48">
                          <c:v>4628087.00</c:v>
                        </c:pt>
                        <c:pt idx="49">
                          <c:v>6084981.00</c:v>
                        </c:pt>
                        <c:pt idx="50">
                          <c:v>8917138.00</c:v>
                        </c:pt>
                        <c:pt idx="51">
                          <c:v>3333954.00</c:v>
                        </c:pt>
                        <c:pt idx="52">
                          <c:v>5439422.00</c:v>
                        </c:pt>
                        <c:pt idx="53">
                          <c:v>8112213.00</c:v>
                        </c:pt>
                      </c:lvl>
                      <c:lvl>
                        <c:pt idx="0">
                          <c:v>130518718.00</c:v>
                        </c:pt>
                        <c:pt idx="1">
                          <c:v>8880900.00</c:v>
                        </c:pt>
                        <c:pt idx="2">
                          <c:v>62264600.00</c:v>
                        </c:pt>
                        <c:pt idx="3">
                          <c:v>11011863.00</c:v>
                        </c:pt>
                        <c:pt idx="4">
                          <c:v>86411166.00</c:v>
                        </c:pt>
                        <c:pt idx="5">
                          <c:v>679847266.00</c:v>
                        </c:pt>
                        <c:pt idx="6">
                          <c:v>111478886.00</c:v>
                        </c:pt>
                        <c:pt idx="7">
                          <c:v>70103357.00</c:v>
                        </c:pt>
                        <c:pt idx="8">
                          <c:v>128541828.00</c:v>
                        </c:pt>
                        <c:pt idx="9">
                          <c:v>85713424.00</c:v>
                        </c:pt>
                        <c:pt idx="10">
                          <c:v>158846200.00</c:v>
                        </c:pt>
                        <c:pt idx="11">
                          <c:v>19230719.00</c:v>
                        </c:pt>
                        <c:pt idx="12">
                          <c:v>128893992.00</c:v>
                        </c:pt>
                        <c:pt idx="13">
                          <c:v>18371605.00</c:v>
                        </c:pt>
                        <c:pt idx="14">
                          <c:v>140045451.00</c:v>
                        </c:pt>
                        <c:pt idx="15">
                          <c:v>15670322.00</c:v>
                        </c:pt>
                        <c:pt idx="16">
                          <c:v>126420335.00</c:v>
                        </c:pt>
                        <c:pt idx="17">
                          <c:v>26738846.00</c:v>
                        </c:pt>
                        <c:pt idx="18">
                          <c:v>153266977.00</c:v>
                        </c:pt>
                        <c:pt idx="19">
                          <c:v>18460027.00</c:v>
                        </c:pt>
                        <c:pt idx="20">
                          <c:v>16947694.00</c:v>
                        </c:pt>
                        <c:pt idx="21">
                          <c:v>37162928.00</c:v>
                        </c:pt>
                        <c:pt idx="22">
                          <c:v>41717130.00</c:v>
                        </c:pt>
                        <c:pt idx="23">
                          <c:v>51790997.00</c:v>
                        </c:pt>
                        <c:pt idx="24">
                          <c:v>230044635.00</c:v>
                        </c:pt>
                        <c:pt idx="25">
                          <c:v>87493049.00</c:v>
                        </c:pt>
                        <c:pt idx="26">
                          <c:v>112979930.00</c:v>
                        </c:pt>
                        <c:pt idx="27">
                          <c:v>174949490.00</c:v>
                        </c:pt>
                        <c:pt idx="28">
                          <c:v>63292424.00</c:v>
                        </c:pt>
                        <c:pt idx="29">
                          <c:v>109837392.00</c:v>
                        </c:pt>
                        <c:pt idx="30">
                          <c:v>127897654.00</c:v>
                        </c:pt>
                        <c:pt idx="31">
                          <c:v>1220368372.00</c:v>
                        </c:pt>
                        <c:pt idx="32">
                          <c:v>99528244.00</c:v>
                        </c:pt>
                        <c:pt idx="33">
                          <c:v>131784458.00</c:v>
                        </c:pt>
                        <c:pt idx="34">
                          <c:v>103677747.00</c:v>
                        </c:pt>
                        <c:pt idx="35">
                          <c:v>634740319.00</c:v>
                        </c:pt>
                        <c:pt idx="36">
                          <c:v>90026599.00</c:v>
                        </c:pt>
                        <c:pt idx="37">
                          <c:v>97020419.00</c:v>
                        </c:pt>
                        <c:pt idx="38">
                          <c:v>320768587.00</c:v>
                        </c:pt>
                        <c:pt idx="39">
                          <c:v>354422379.00</c:v>
                        </c:pt>
                        <c:pt idx="40">
                          <c:v>127697094.00</c:v>
                        </c:pt>
                        <c:pt idx="41">
                          <c:v>146632610.00</c:v>
                        </c:pt>
                        <c:pt idx="42">
                          <c:v>362606510.00</c:v>
                        </c:pt>
                        <c:pt idx="43">
                          <c:v>325367332.00</c:v>
                        </c:pt>
                        <c:pt idx="44">
                          <c:v>125911907.00</c:v>
                        </c:pt>
                        <c:pt idx="45">
                          <c:v>180628523.00</c:v>
                        </c:pt>
                        <c:pt idx="46">
                          <c:v>156925389.00</c:v>
                        </c:pt>
                        <c:pt idx="47">
                          <c:v>318642383.00</c:v>
                        </c:pt>
                        <c:pt idx="48">
                          <c:v>336785327.00</c:v>
                        </c:pt>
                        <c:pt idx="49">
                          <c:v>491669636.00</c:v>
                        </c:pt>
                        <c:pt idx="50">
                          <c:v>1150823786.00</c:v>
                        </c:pt>
                        <c:pt idx="51">
                          <c:v>706173056.00</c:v>
                        </c:pt>
                        <c:pt idx="52">
                          <c:v>574352236.00</c:v>
                        </c:pt>
                        <c:pt idx="53">
                          <c:v>675992847.00</c:v>
                        </c:pt>
                      </c:lvl>
                      <c:lvl>
                        <c:pt idx="0">
                          <c:v>02-05-2026</c:v>
                        </c:pt>
                        <c:pt idx="1">
                          <c:v>12-06-2026</c:v>
                        </c:pt>
                        <c:pt idx="2">
                          <c:v>13-06-2026</c:v>
                        </c:pt>
                        <c:pt idx="3">
                          <c:v>17-06-2026</c:v>
                        </c:pt>
                        <c:pt idx="4">
                          <c:v>16-05-2026</c:v>
                        </c:pt>
                        <c:pt idx="5">
                          <c:v>07-05-2026</c:v>
                        </c:pt>
                        <c:pt idx="6">
                          <c:v>04-04-2026</c:v>
                        </c:pt>
                        <c:pt idx="7">
                          <c:v>21-02-2026</c:v>
                        </c:pt>
                        <c:pt idx="8">
                          <c:v>07-03-2026</c:v>
                        </c:pt>
                        <c:pt idx="9">
                          <c:v>30-05-2026</c:v>
                        </c:pt>
                        <c:pt idx="10">
                          <c:v>18-04-2026</c:v>
                        </c:pt>
                        <c:pt idx="11">
                          <c:v>10-03-2026</c:v>
                        </c:pt>
                        <c:pt idx="12">
                          <c:v>07-01-2026</c:v>
                        </c:pt>
                        <c:pt idx="13">
                          <c:v>28-04-2026</c:v>
                        </c:pt>
                        <c:pt idx="14">
                          <c:v>21-03-2026</c:v>
                        </c:pt>
                        <c:pt idx="15">
                          <c:v>03-05-2026</c:v>
                        </c:pt>
                        <c:pt idx="16">
                          <c:v>07-02-2026</c:v>
                        </c:pt>
                        <c:pt idx="17">
                          <c:v>22-02-2026</c:v>
                        </c:pt>
                        <c:pt idx="18">
                          <c:v>24-01-2026</c:v>
                        </c:pt>
                        <c:pt idx="19">
                          <c:v>27-04-2026</c:v>
                        </c:pt>
                        <c:pt idx="20">
                          <c:v>02-04-2026</c:v>
                        </c:pt>
                        <c:pt idx="21">
                          <c:v>16-01-2026</c:v>
                        </c:pt>
                        <c:pt idx="22">
                          <c:v>26-03-2026</c:v>
                        </c:pt>
                        <c:pt idx="23">
                          <c:v>07-04-2026</c:v>
                        </c:pt>
                        <c:pt idx="24">
                          <c:v>29-05-2026</c:v>
                        </c:pt>
                        <c:pt idx="25">
                          <c:v>13-03-2026</c:v>
                        </c:pt>
                        <c:pt idx="26">
                          <c:v>14-06-2026</c:v>
                        </c:pt>
                        <c:pt idx="27">
                          <c:v>25-01-2026</c:v>
                        </c:pt>
                        <c:pt idx="28">
                          <c:v>29-04-2026</c:v>
                        </c:pt>
                        <c:pt idx="29">
                          <c:v>12-02-2026</c:v>
                        </c:pt>
                        <c:pt idx="30">
                          <c:v>20-03-2026</c:v>
                        </c:pt>
                        <c:pt idx="31">
                          <c:v>13-01-2026</c:v>
                        </c:pt>
                        <c:pt idx="32">
                          <c:v>17-03-2026</c:v>
                        </c:pt>
                        <c:pt idx="33">
                          <c:v>21-04-2026</c:v>
                        </c:pt>
                        <c:pt idx="34">
                          <c:v>09-01-2026</c:v>
                        </c:pt>
                        <c:pt idx="35">
                          <c:v>15-05-2026</c:v>
                        </c:pt>
                        <c:pt idx="36">
                          <c:v>06-03-2026</c:v>
                        </c:pt>
                        <c:pt idx="37">
                          <c:v>14-04-2026</c:v>
                        </c:pt>
                        <c:pt idx="38">
                          <c:v>22-05-2026</c:v>
                        </c:pt>
                        <c:pt idx="39">
                          <c:v>19-05-2026</c:v>
                        </c:pt>
                        <c:pt idx="40">
                          <c:v>24-04-2026</c:v>
                        </c:pt>
                        <c:pt idx="41">
                          <c:v>10-04-2026</c:v>
                        </c:pt>
                        <c:pt idx="42">
                          <c:v>09-02-2026</c:v>
                        </c:pt>
                        <c:pt idx="43">
                          <c:v>28-02-2026</c:v>
                        </c:pt>
                        <c:pt idx="44">
                          <c:v>18-02-2026</c:v>
                        </c:pt>
                        <c:pt idx="45">
                          <c:v>17-04-2026</c:v>
                        </c:pt>
                        <c:pt idx="46">
                          <c:v>06-02-2026</c:v>
                        </c:pt>
                        <c:pt idx="47">
                          <c:v>17-05-2026</c:v>
                        </c:pt>
                        <c:pt idx="48">
                          <c:v>12-05-2026</c:v>
                        </c:pt>
                        <c:pt idx="49">
                          <c:v>06-01-2026</c:v>
                        </c:pt>
                        <c:pt idx="50">
                          <c:v>27-01-2026</c:v>
                        </c:pt>
                        <c:pt idx="51">
                          <c:v>01-04-2026</c:v>
                        </c:pt>
                        <c:pt idx="52">
                          <c:v>05-05-2026</c:v>
                        </c:pt>
                        <c:pt idx="53">
                          <c:v>03-04-2026</c:v>
                        </c:pt>
                      </c:lvl>
                      <c:lvl>
                        <c:pt idx="0">
                          <c:v>I Stranded 100 People In The Wilderness For $250,000</c:v>
                        </c:pt>
                        <c:pt idx="1">
                          <c:v>POV: You Time Traveled Back to 2016</c:v>
                        </c:pt>
                        <c:pt idx="2">
                          <c:v>50 YouTube Legends Fight For $1,000,000</c:v>
                        </c:pt>
                        <c:pt idx="3">
                          <c:v>We Made Make-A-Wish Kidsâ€™ Dreams Come True</c:v>
                        </c:pt>
                        <c:pt idx="4">
                          <c:v>Survive 30 Days On An Island With Your Ex, Win $250,000</c:v>
                        </c:pt>
                        <c:pt idx="5">
                          <c:v>Iâ€™m Granting Wishes For My Subscribers</c:v>
                        </c:pt>
                        <c:pt idx="6">
                          <c:v>50 Streamers Fight for $1,000,000</c:v>
                        </c:pt>
                        <c:pt idx="7">
                          <c:v>I Built 10 Schools Around The World</c:v>
                        </c:pt>
                        <c:pt idx="8">
                          <c:v>Survive 30 Days Stranded With Your Ex, Win $250,000</c:v>
                        </c:pt>
                        <c:pt idx="9">
                          <c:v>7 Days Stranded in The Arctic</c:v>
                        </c:pt>
                        <c:pt idx="10">
                          <c:v>Last To Leave Grocery Store, Wins $250,000</c:v>
                        </c:pt>
                        <c:pt idx="11">
                          <c:v>My Chocolate Factory Blew Up</c:v>
                        </c:pt>
                        <c:pt idx="12">
                          <c:v>30 Celebrities Fight For $1,000,000!</c:v>
                        </c:pt>
                        <c:pt idx="13">
                          <c:v>Important Announcement From The Grocery Store</c:v>
                        </c:pt>
                        <c:pt idx="14">
                          <c:v>Trapped On An Island Until I Build A Boat</c:v>
                        </c:pt>
                        <c:pt idx="15">
                          <c:v>Asking My FiancÃ©e on a Date</c:v>
                        </c:pt>
                        <c:pt idx="16">
                          <c:v>Ages 1 - 100 Race For $250,000!</c:v>
                        </c:pt>
                        <c:pt idx="17">
                          <c:v>I Built a School in Mexico</c:v>
                        </c:pt>
                        <c:pt idx="18">
                          <c:v>$1 vs $1,000,000,000 Futuristic Tech!</c:v>
                        </c:pt>
                        <c:pt idx="19">
                          <c:v>Can My FiancÃ©e Lift Me?</c:v>
                        </c:pt>
                        <c:pt idx="20">
                          <c:v>Spreading Rumors About Streamers</c:v>
                        </c:pt>
                        <c:pt idx="21">
                          <c:v>Survivor vs Beast Games</c:v>
                        </c:pt>
                        <c:pt idx="22">
                          <c:v>Bring Me A Glass Of Water = Win $10,000</c:v>
                        </c:pt>
                        <c:pt idx="23">
                          <c:v>$1 or Mystery Vial?</c:v>
                        </c:pt>
                        <c:pt idx="24">
                          <c:v>I Surprised a Random Subscriber With $10,000</c:v>
                        </c:pt>
                        <c:pt idx="25">
                          <c:v>5 Strangers Split $100,000</c:v>
                        </c:pt>
                        <c:pt idx="26">
                          <c:v>Guess The Youtuber = Win $1,000</c:v>
                        </c:pt>
                        <c:pt idx="27">
                          <c:v>Wait... Was He Famous?</c:v>
                        </c:pt>
                        <c:pt idx="28">
                          <c:v>Would Your Dog Pick $10,000 or Steak?</c:v>
                        </c:pt>
                        <c:pt idx="29">
                          <c:v>Surprising My FiancÃ©e With A Chocolate Heart</c:v>
                        </c:pt>
                        <c:pt idx="30">
                          <c:v>I Hid $1,000,000 In This Vault</c:v>
                        </c:pt>
                        <c:pt idx="31">
                          <c:v>Subscribe for an iPhone</c:v>
                        </c:pt>
                        <c:pt idx="32">
                          <c:v>Pop The Balloons, Win $10,000</c:v>
                        </c:pt>
                        <c:pt idx="33">
                          <c:v>Winner Picks Our Honeymoon</c:v>
                        </c:pt>
                        <c:pt idx="34">
                          <c:v>Pass the Phone</c:v>
                        </c:pt>
                        <c:pt idx="35">
                          <c:v>Hit The Button, Win $1,000</c:v>
                        </c:pt>
                        <c:pt idx="36">
                          <c:v>Would You Steal Money From A Stranger?</c:v>
                        </c:pt>
                        <c:pt idx="37">
                          <c:v>Can a Window Stop a Wrecking Ball?</c:v>
                        </c:pt>
                        <c:pt idx="38">
                          <c:v>YouTube CEO Has A Surprise For Me</c:v>
                        </c:pt>
                        <c:pt idx="39">
                          <c:v>Every Youtube Play Button</c:v>
                        </c:pt>
                        <c:pt idx="40">
                          <c:v>Try Not To Get Slimed</c:v>
                        </c:pt>
                        <c:pt idx="41">
                          <c:v>Donâ€™t Eat The Spicy Yoshi Egg</c:v>
                        </c:pt>
                        <c:pt idx="42">
                          <c:v>Guess What Age Punched You</c:v>
                        </c:pt>
                        <c:pt idx="43">
                          <c:v>Subscribe, Iâ€™ll Double Your Bank Account</c:v>
                        </c:pt>
                        <c:pt idx="44">
                          <c:v>Every Step You Take, Win $1,000</c:v>
                        </c:pt>
                        <c:pt idx="45">
                          <c:v>Guess The Animal</c:v>
                        </c:pt>
                        <c:pt idx="46">
                          <c:v>Is Being Smart or Strong Better?</c:v>
                        </c:pt>
                        <c:pt idx="47">
                          <c:v>Can He Make This Shot?</c:v>
                        </c:pt>
                        <c:pt idx="48">
                          <c:v>World's Fastest Date</c:v>
                        </c:pt>
                        <c:pt idx="49">
                          <c:v>Guess the Animal</c:v>
                        </c:pt>
                        <c:pt idx="50">
                          <c:v>Flip a Coin, Win $30,000</c:v>
                        </c:pt>
                        <c:pt idx="51">
                          <c:v>Will a Zebra Subscribe to me?</c:v>
                        </c:pt>
                        <c:pt idx="52">
                          <c:v>Guess The Animal</c:v>
                        </c:pt>
                        <c:pt idx="53">
                          <c:v>Who's The Strongest Streamer?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MrBeast_Cleaned_Dataset!$J$2:$J$988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19.759686882612499</c:v>
                      </c:pt>
                      <c:pt idx="1">
                        <c:v>38.279566260176331</c:v>
                      </c:pt>
                      <c:pt idx="2">
                        <c:v>31.570378674238654</c:v>
                      </c:pt>
                      <c:pt idx="3">
                        <c:v>40.584776617725808</c:v>
                      </c:pt>
                      <c:pt idx="4">
                        <c:v>21.382352368674205</c:v>
                      </c:pt>
                      <c:pt idx="5">
                        <c:v>8.5101688119460643</c:v>
                      </c:pt>
                      <c:pt idx="6">
                        <c:v>23.493704449109764</c:v>
                      </c:pt>
                      <c:pt idx="7">
                        <c:v>34.053932681141077</c:v>
                      </c:pt>
                      <c:pt idx="8">
                        <c:v>19.2426623962435</c:v>
                      </c:pt>
                      <c:pt idx="9">
                        <c:v>27.675513231159684</c:v>
                      </c:pt>
                      <c:pt idx="10">
                        <c:v>20.198028029628659</c:v>
                      </c:pt>
                      <c:pt idx="11">
                        <c:v>48.880907676930853</c:v>
                      </c:pt>
                      <c:pt idx="12">
                        <c:v>20.644344695290375</c:v>
                      </c:pt>
                      <c:pt idx="13">
                        <c:v>30.846896610285278</c:v>
                      </c:pt>
                      <c:pt idx="14">
                        <c:v>20.712304321830491</c:v>
                      </c:pt>
                      <c:pt idx="15">
                        <c:v>26.874240363407974</c:v>
                      </c:pt>
                      <c:pt idx="16">
                        <c:v>13.838889131246171</c:v>
                      </c:pt>
                      <c:pt idx="17">
                        <c:v>36.978634006867757</c:v>
                      </c:pt>
                      <c:pt idx="18">
                        <c:v>20.553305491240948</c:v>
                      </c:pt>
                      <c:pt idx="19">
                        <c:v>21.672124314877763</c:v>
                      </c:pt>
                      <c:pt idx="20">
                        <c:v>26.787951210353455</c:v>
                      </c:pt>
                      <c:pt idx="21">
                        <c:v>23.762282670515091</c:v>
                      </c:pt>
                      <c:pt idx="22">
                        <c:v>26.828763148375742</c:v>
                      </c:pt>
                      <c:pt idx="23">
                        <c:v>28.666603965936396</c:v>
                      </c:pt>
                      <c:pt idx="24">
                        <c:v>22.299102954520109</c:v>
                      </c:pt>
                      <c:pt idx="25">
                        <c:v>26.212425172198536</c:v>
                      </c:pt>
                      <c:pt idx="26">
                        <c:v>19.97428215790185</c:v>
                      </c:pt>
                      <c:pt idx="27">
                        <c:v>21.822287106981566</c:v>
                      </c:pt>
                      <c:pt idx="28">
                        <c:v>21.139133492501408</c:v>
                      </c:pt>
                      <c:pt idx="29">
                        <c:v>22.262901143901889</c:v>
                      </c:pt>
                      <c:pt idx="30">
                        <c:v>17.808747297272554</c:v>
                      </c:pt>
                      <c:pt idx="31">
                        <c:v>5.5560453348097756</c:v>
                      </c:pt>
                      <c:pt idx="32">
                        <c:v>19.013617883180981</c:v>
                      </c:pt>
                      <c:pt idx="33">
                        <c:v>16.231496736891387</c:v>
                      </c:pt>
                      <c:pt idx="34">
                        <c:v>19.620873898812636</c:v>
                      </c:pt>
                      <c:pt idx="35">
                        <c:v>5.5049945551040373</c:v>
                      </c:pt>
                      <c:pt idx="36">
                        <c:v>25.550693079053225</c:v>
                      </c:pt>
                      <c:pt idx="37">
                        <c:v>19.759861065947366</c:v>
                      </c:pt>
                      <c:pt idx="38">
                        <c:v>10.861128992035619</c:v>
                      </c:pt>
                      <c:pt idx="39">
                        <c:v>7.6359963714368044</c:v>
                      </c:pt>
                      <c:pt idx="40">
                        <c:v>11.055200676688852</c:v>
                      </c:pt>
                      <c:pt idx="41">
                        <c:v>16.74385390807679</c:v>
                      </c:pt>
                      <c:pt idx="42">
                        <c:v>13.631492716443507</c:v>
                      </c:pt>
                      <c:pt idx="43">
                        <c:v>9.0708215291878158</c:v>
                      </c:pt>
                      <c:pt idx="44">
                        <c:v>13.305882183167951</c:v>
                      </c:pt>
                      <c:pt idx="45">
                        <c:v>14.517529991650322</c:v>
                      </c:pt>
                      <c:pt idx="46">
                        <c:v>17.678146396055769</c:v>
                      </c:pt>
                      <c:pt idx="47">
                        <c:v>6.736938067651848</c:v>
                      </c:pt>
                      <c:pt idx="48">
                        <c:v>13.741949630721292</c:v>
                      </c:pt>
                      <c:pt idx="49">
                        <c:v>12.376157798770393</c:v>
                      </c:pt>
                      <c:pt idx="50">
                        <c:v>7.748482529192354</c:v>
                      </c:pt>
                      <c:pt idx="51">
                        <c:v>4.7211571889822999</c:v>
                      </c:pt>
                      <c:pt idx="52">
                        <c:v>9.4705333401017686</c:v>
                      </c:pt>
                      <c:pt idx="53">
                        <c:v>12.000442069766457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F7F-4E5A-BF54-E24540A37BE9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MrBeast_Cleaned_Dataset!$A$2:$H$988</c15:sqref>
                        </c15:formulaRef>
                      </c:ext>
                    </c:extLst>
                    <c:multiLvlStrCache>
                      <c:ptCount val="54"/>
                      <c:lvl>
                        <c:pt idx="0">
                          <c:v>Saturday</c:v>
                        </c:pt>
                        <c:pt idx="1">
                          <c:v>Friday</c:v>
                        </c:pt>
                        <c:pt idx="2">
                          <c:v>Saturday</c:v>
                        </c:pt>
                        <c:pt idx="3">
                          <c:v>Wednesday</c:v>
                        </c:pt>
                        <c:pt idx="4">
                          <c:v>Saturday</c:v>
                        </c:pt>
                        <c:pt idx="5">
                          <c:v>Thursday</c:v>
                        </c:pt>
                        <c:pt idx="6">
                          <c:v>Saturday</c:v>
                        </c:pt>
                        <c:pt idx="7">
                          <c:v>Saturday</c:v>
                        </c:pt>
                        <c:pt idx="8">
                          <c:v>Saturday</c:v>
                        </c:pt>
                        <c:pt idx="9">
                          <c:v>Saturday</c:v>
                        </c:pt>
                        <c:pt idx="10">
                          <c:v>Saturday</c:v>
                        </c:pt>
                        <c:pt idx="11">
                          <c:v>Tuesday</c:v>
                        </c:pt>
                        <c:pt idx="12">
                          <c:v>Wednesday</c:v>
                        </c:pt>
                        <c:pt idx="13">
                          <c:v>Tuesday</c:v>
                        </c:pt>
                        <c:pt idx="14">
                          <c:v>Saturday</c:v>
                        </c:pt>
                        <c:pt idx="15">
                          <c:v>Sunday</c:v>
                        </c:pt>
                        <c:pt idx="16">
                          <c:v>Saturday</c:v>
                        </c:pt>
                        <c:pt idx="17">
                          <c:v>Sunday</c:v>
                        </c:pt>
                        <c:pt idx="18">
                          <c:v>Saturday</c:v>
                        </c:pt>
                        <c:pt idx="19">
                          <c:v>Monday</c:v>
                        </c:pt>
                        <c:pt idx="20">
                          <c:v>Thursday</c:v>
                        </c:pt>
                        <c:pt idx="21">
                          <c:v>Friday</c:v>
                        </c:pt>
                        <c:pt idx="22">
                          <c:v>Thursday</c:v>
                        </c:pt>
                        <c:pt idx="23">
                          <c:v>Tuesday</c:v>
                        </c:pt>
                        <c:pt idx="24">
                          <c:v>Friday</c:v>
                        </c:pt>
                        <c:pt idx="25">
                          <c:v>Friday</c:v>
                        </c:pt>
                        <c:pt idx="26">
                          <c:v>Sunday</c:v>
                        </c:pt>
                        <c:pt idx="27">
                          <c:v>Sunday</c:v>
                        </c:pt>
                        <c:pt idx="28">
                          <c:v>Wednesday</c:v>
                        </c:pt>
                        <c:pt idx="29">
                          <c:v>Thursday</c:v>
                        </c:pt>
                        <c:pt idx="30">
                          <c:v>Friday</c:v>
                        </c:pt>
                        <c:pt idx="31">
                          <c:v>Tuesday</c:v>
                        </c:pt>
                        <c:pt idx="32">
                          <c:v>Tuesday</c:v>
                        </c:pt>
                        <c:pt idx="33">
                          <c:v>Tuesday</c:v>
                        </c:pt>
                        <c:pt idx="34">
                          <c:v>Friday</c:v>
                        </c:pt>
                        <c:pt idx="35">
                          <c:v>Friday</c:v>
                        </c:pt>
                        <c:pt idx="36">
                          <c:v>Friday</c:v>
                        </c:pt>
                        <c:pt idx="37">
                          <c:v>Tuesday</c:v>
                        </c:pt>
                        <c:pt idx="38">
                          <c:v>Friday</c:v>
                        </c:pt>
                        <c:pt idx="39">
                          <c:v>Tuesday</c:v>
                        </c:pt>
                        <c:pt idx="40">
                          <c:v>Friday</c:v>
                        </c:pt>
                        <c:pt idx="41">
                          <c:v>Friday</c:v>
                        </c:pt>
                        <c:pt idx="42">
                          <c:v>Monday</c:v>
                        </c:pt>
                        <c:pt idx="43">
                          <c:v>Saturday</c:v>
                        </c:pt>
                        <c:pt idx="44">
                          <c:v>Wednesday</c:v>
                        </c:pt>
                        <c:pt idx="45">
                          <c:v>Friday</c:v>
                        </c:pt>
                        <c:pt idx="46">
                          <c:v>Friday</c:v>
                        </c:pt>
                        <c:pt idx="47">
                          <c:v>Sunday</c:v>
                        </c:pt>
                        <c:pt idx="48">
                          <c:v>Tuesday</c:v>
                        </c:pt>
                        <c:pt idx="49">
                          <c:v>Tuesday</c:v>
                        </c:pt>
                        <c:pt idx="50">
                          <c:v>Tuesday</c:v>
                        </c:pt>
                        <c:pt idx="51">
                          <c:v>Wednesday</c:v>
                        </c:pt>
                        <c:pt idx="52">
                          <c:v>Tuesday</c:v>
                        </c:pt>
                        <c:pt idx="53">
                          <c:v>Friday</c:v>
                        </c:pt>
                      </c:lvl>
                      <c:lvl>
                        <c:pt idx="0">
                          <c:v>May</c:v>
                        </c:pt>
                        <c:pt idx="1">
                          <c:v>June</c:v>
                        </c:pt>
                        <c:pt idx="2">
                          <c:v>June</c:v>
                        </c:pt>
                        <c:pt idx="3">
                          <c:v>June</c:v>
                        </c:pt>
                        <c:pt idx="4">
                          <c:v>May</c:v>
                        </c:pt>
                        <c:pt idx="5">
                          <c:v>May</c:v>
                        </c:pt>
                        <c:pt idx="6">
                          <c:v>April</c:v>
                        </c:pt>
                        <c:pt idx="7">
                          <c:v>February</c:v>
                        </c:pt>
                        <c:pt idx="8">
                          <c:v>March</c:v>
                        </c:pt>
                        <c:pt idx="9">
                          <c:v>May</c:v>
                        </c:pt>
                        <c:pt idx="10">
                          <c:v>April</c:v>
                        </c:pt>
                        <c:pt idx="11">
                          <c:v>March</c:v>
                        </c:pt>
                        <c:pt idx="12">
                          <c:v>January</c:v>
                        </c:pt>
                        <c:pt idx="13">
                          <c:v>April</c:v>
                        </c:pt>
                        <c:pt idx="14">
                          <c:v>March</c:v>
                        </c:pt>
                        <c:pt idx="15">
                          <c:v>May</c:v>
                        </c:pt>
                        <c:pt idx="16">
                          <c:v>February</c:v>
                        </c:pt>
                        <c:pt idx="17">
                          <c:v>February</c:v>
                        </c:pt>
                        <c:pt idx="18">
                          <c:v>January</c:v>
                        </c:pt>
                        <c:pt idx="19">
                          <c:v>April</c:v>
                        </c:pt>
                        <c:pt idx="20">
                          <c:v>April</c:v>
                        </c:pt>
                        <c:pt idx="21">
                          <c:v>January</c:v>
                        </c:pt>
                        <c:pt idx="22">
                          <c:v>March</c:v>
                        </c:pt>
                        <c:pt idx="23">
                          <c:v>April</c:v>
                        </c:pt>
                        <c:pt idx="24">
                          <c:v>May</c:v>
                        </c:pt>
                        <c:pt idx="25">
                          <c:v>March</c:v>
                        </c:pt>
                        <c:pt idx="26">
                          <c:v>June</c:v>
                        </c:pt>
                        <c:pt idx="27">
                          <c:v>January</c:v>
                        </c:pt>
                        <c:pt idx="28">
                          <c:v>April</c:v>
                        </c:pt>
                        <c:pt idx="29">
                          <c:v>February</c:v>
                        </c:pt>
                        <c:pt idx="30">
                          <c:v>March</c:v>
                        </c:pt>
                        <c:pt idx="31">
                          <c:v>January</c:v>
                        </c:pt>
                        <c:pt idx="32">
                          <c:v>March</c:v>
                        </c:pt>
                        <c:pt idx="33">
                          <c:v>April</c:v>
                        </c:pt>
                        <c:pt idx="34">
                          <c:v>January</c:v>
                        </c:pt>
                        <c:pt idx="35">
                          <c:v>May</c:v>
                        </c:pt>
                        <c:pt idx="36">
                          <c:v>March</c:v>
                        </c:pt>
                        <c:pt idx="37">
                          <c:v>April</c:v>
                        </c:pt>
                        <c:pt idx="38">
                          <c:v>May</c:v>
                        </c:pt>
                        <c:pt idx="39">
                          <c:v>May</c:v>
                        </c:pt>
                        <c:pt idx="40">
                          <c:v>April</c:v>
                        </c:pt>
                        <c:pt idx="41">
                          <c:v>April</c:v>
                        </c:pt>
                        <c:pt idx="42">
                          <c:v>February</c:v>
                        </c:pt>
                        <c:pt idx="43">
                          <c:v>February</c:v>
                        </c:pt>
                        <c:pt idx="44">
                          <c:v>February</c:v>
                        </c:pt>
                        <c:pt idx="45">
                          <c:v>April</c:v>
                        </c:pt>
                        <c:pt idx="46">
                          <c:v>February</c:v>
                        </c:pt>
                        <c:pt idx="47">
                          <c:v>May</c:v>
                        </c:pt>
                        <c:pt idx="48">
                          <c:v>May</c:v>
                        </c:pt>
                        <c:pt idx="49">
                          <c:v>January</c:v>
                        </c:pt>
                        <c:pt idx="50">
                          <c:v>January</c:v>
                        </c:pt>
                        <c:pt idx="51">
                          <c:v>April</c:v>
                        </c:pt>
                        <c:pt idx="52">
                          <c:v>May</c:v>
                        </c:pt>
                        <c:pt idx="53">
                          <c:v>April</c:v>
                        </c:pt>
                      </c:lvl>
                      <c:lvl>
                        <c:pt idx="0">
                          <c:v>2026</c:v>
                        </c:pt>
                        <c:pt idx="1">
                          <c:v>2026</c:v>
                        </c:pt>
                        <c:pt idx="2">
                          <c:v>2026</c:v>
                        </c:pt>
                        <c:pt idx="3">
                          <c:v>2026</c:v>
                        </c:pt>
                        <c:pt idx="4">
                          <c:v>2026</c:v>
                        </c:pt>
                        <c:pt idx="5">
                          <c:v>2026</c:v>
                        </c:pt>
                        <c:pt idx="6">
                          <c:v>2026</c:v>
                        </c:pt>
                        <c:pt idx="7">
                          <c:v>2026</c:v>
                        </c:pt>
                        <c:pt idx="8">
                          <c:v>2026</c:v>
                        </c:pt>
                        <c:pt idx="9">
                          <c:v>2026</c:v>
                        </c:pt>
                        <c:pt idx="10">
                          <c:v>2026</c:v>
                        </c:pt>
                        <c:pt idx="11">
                          <c:v>2026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  <c:pt idx="14">
                          <c:v>2026</c:v>
                        </c:pt>
                        <c:pt idx="15">
                          <c:v>2026</c:v>
                        </c:pt>
                        <c:pt idx="16">
                          <c:v>2026</c:v>
                        </c:pt>
                        <c:pt idx="17">
                          <c:v>2026</c:v>
                        </c:pt>
                        <c:pt idx="18">
                          <c:v>2026</c:v>
                        </c:pt>
                        <c:pt idx="19">
                          <c:v>2026</c:v>
                        </c:pt>
                        <c:pt idx="20">
                          <c:v>2026</c:v>
                        </c:pt>
                        <c:pt idx="21">
                          <c:v>2026</c:v>
                        </c:pt>
                        <c:pt idx="22">
                          <c:v>2026</c:v>
                        </c:pt>
                        <c:pt idx="23">
                          <c:v>2026</c:v>
                        </c:pt>
                        <c:pt idx="24">
                          <c:v>2026</c:v>
                        </c:pt>
                        <c:pt idx="25">
                          <c:v>2026</c:v>
                        </c:pt>
                        <c:pt idx="26">
                          <c:v>2026</c:v>
                        </c:pt>
                        <c:pt idx="27">
                          <c:v>2026</c:v>
                        </c:pt>
                        <c:pt idx="28">
                          <c:v>2026</c:v>
                        </c:pt>
                        <c:pt idx="29">
                          <c:v>2026</c:v>
                        </c:pt>
                        <c:pt idx="30">
                          <c:v>2026</c:v>
                        </c:pt>
                        <c:pt idx="31">
                          <c:v>2026</c:v>
                        </c:pt>
                        <c:pt idx="32">
                          <c:v>2026</c:v>
                        </c:pt>
                        <c:pt idx="33">
                          <c:v>2026</c:v>
                        </c:pt>
                        <c:pt idx="34">
                          <c:v>2026</c:v>
                        </c:pt>
                        <c:pt idx="35">
                          <c:v>2026</c:v>
                        </c:pt>
                        <c:pt idx="36">
                          <c:v>2026</c:v>
                        </c:pt>
                        <c:pt idx="37">
                          <c:v>2026</c:v>
                        </c:pt>
                        <c:pt idx="38">
                          <c:v>2026</c:v>
                        </c:pt>
                        <c:pt idx="39">
                          <c:v>2026</c:v>
                        </c:pt>
                        <c:pt idx="40">
                          <c:v>2026</c:v>
                        </c:pt>
                        <c:pt idx="41">
                          <c:v>2026</c:v>
                        </c:pt>
                        <c:pt idx="42">
                          <c:v>2026</c:v>
                        </c:pt>
                        <c:pt idx="43">
                          <c:v>2026</c:v>
                        </c:pt>
                        <c:pt idx="44">
                          <c:v>2026</c:v>
                        </c:pt>
                        <c:pt idx="45">
                          <c:v>2026</c:v>
                        </c:pt>
                        <c:pt idx="46">
                          <c:v>2026</c:v>
                        </c:pt>
                        <c:pt idx="47">
                          <c:v>2026</c:v>
                        </c:pt>
                        <c:pt idx="48">
                          <c:v>2026</c:v>
                        </c:pt>
                        <c:pt idx="49">
                          <c:v>2026</c:v>
                        </c:pt>
                        <c:pt idx="50">
                          <c:v>2026</c:v>
                        </c:pt>
                        <c:pt idx="51">
                          <c:v>2026</c:v>
                        </c:pt>
                        <c:pt idx="52">
                          <c:v>2026</c:v>
                        </c:pt>
                        <c:pt idx="53">
                          <c:v>2026</c:v>
                        </c:pt>
                      </c:lvl>
                      <c:lvl>
                        <c:pt idx="0">
                          <c:v>1399899.00</c:v>
                        </c:pt>
                        <c:pt idx="1">
                          <c:v>19736.00</c:v>
                        </c:pt>
                        <c:pt idx="2">
                          <c:v>131250.00</c:v>
                        </c:pt>
                        <c:pt idx="3">
                          <c:v>17767.00</c:v>
                        </c:pt>
                        <c:pt idx="4">
                          <c:v>136619.00</c:v>
                        </c:pt>
                        <c:pt idx="5">
                          <c:v>1054577.00</c:v>
                        </c:pt>
                        <c:pt idx="6">
                          <c:v>171141.00</c:v>
                        </c:pt>
                        <c:pt idx="7">
                          <c:v>96244.00</c:v>
                        </c:pt>
                        <c:pt idx="8">
                          <c:v>151158.00</c:v>
                        </c:pt>
                        <c:pt idx="9">
                          <c:v>97537.00</c:v>
                        </c:pt>
                        <c:pt idx="10">
                          <c:v>168813.00</c:v>
                        </c:pt>
                        <c:pt idx="11">
                          <c:v>20005.00</c:v>
                        </c:pt>
                        <c:pt idx="12">
                          <c:v>119334.00</c:v>
                        </c:pt>
                        <c:pt idx="13">
                          <c:v>16318.00</c:v>
                        </c:pt>
                        <c:pt idx="14">
                          <c:v>118253.00</c:v>
                        </c:pt>
                        <c:pt idx="15">
                          <c:v>12014.00</c:v>
                        </c:pt>
                        <c:pt idx="16">
                          <c:v>86987.00</c:v>
                        </c:pt>
                        <c:pt idx="17">
                          <c:v>16175.00</c:v>
                        </c:pt>
                        <c:pt idx="18">
                          <c:v>90178.00</c:v>
                        </c:pt>
                        <c:pt idx="19">
                          <c:v>8907.00</c:v>
                        </c:pt>
                        <c:pt idx="20">
                          <c:v>8025.00</c:v>
                        </c:pt>
                        <c:pt idx="21">
                          <c:v>14509.00</c:v>
                        </c:pt>
                        <c:pt idx="22">
                          <c:v>15004.00</c:v>
                        </c:pt>
                        <c:pt idx="23">
                          <c:v>14905.00</c:v>
                        </c:pt>
                        <c:pt idx="24">
                          <c:v>61502.00</c:v>
                        </c:pt>
                        <c:pt idx="25">
                          <c:v>21677.00</c:v>
                        </c:pt>
                        <c:pt idx="26">
                          <c:v>21554.00</c:v>
                        </c:pt>
                        <c:pt idx="27">
                          <c:v>33150.00</c:v>
                        </c:pt>
                        <c:pt idx="28">
                          <c:v>11721.00</c:v>
                        </c:pt>
                        <c:pt idx="29">
                          <c:v>17851.00</c:v>
                        </c:pt>
                        <c:pt idx="30">
                          <c:v>19695.00</c:v>
                        </c:pt>
                        <c:pt idx="31">
                          <c:v>180100.00</c:v>
                        </c:pt>
                        <c:pt idx="32">
                          <c:v>13433.00</c:v>
                        </c:pt>
                        <c:pt idx="33">
                          <c:v>17718.00</c:v>
                        </c:pt>
                        <c:pt idx="34">
                          <c:v>13834.00</c:v>
                        </c:pt>
                        <c:pt idx="35">
                          <c:v>83407.00</c:v>
                        </c:pt>
                        <c:pt idx="36">
                          <c:v>11347.00</c:v>
                        </c:pt>
                        <c:pt idx="37">
                          <c:v>11908.00</c:v>
                        </c:pt>
                        <c:pt idx="38">
                          <c:v>37637.00</c:v>
                        </c:pt>
                        <c:pt idx="39">
                          <c:v>36624.00</c:v>
                        </c:pt>
                        <c:pt idx="40">
                          <c:v>13039.00</c:v>
                        </c:pt>
                        <c:pt idx="41">
                          <c:v>13495.00</c:v>
                        </c:pt>
                        <c:pt idx="42">
                          <c:v>32337.00</c:v>
                        </c:pt>
                        <c:pt idx="43">
                          <c:v>25039.00</c:v>
                        </c:pt>
                        <c:pt idx="44">
                          <c:v>9317.00</c:v>
                        </c:pt>
                        <c:pt idx="45">
                          <c:v>12214.00</c:v>
                        </c:pt>
                        <c:pt idx="46">
                          <c:v>10434.00</c:v>
                        </c:pt>
                        <c:pt idx="47">
                          <c:v>21083.00</c:v>
                        </c:pt>
                        <c:pt idx="48">
                          <c:v>20137.00</c:v>
                        </c:pt>
                        <c:pt idx="49">
                          <c:v>20065.00</c:v>
                        </c:pt>
                        <c:pt idx="50">
                          <c:v>40603.00</c:v>
                        </c:pt>
                        <c:pt idx="51">
                          <c:v>21756.00</c:v>
                        </c:pt>
                        <c:pt idx="52">
                          <c:v>16883.00</c:v>
                        </c:pt>
                        <c:pt idx="53">
                          <c:v>19719.00</c:v>
                        </c:pt>
                      </c:lvl>
                      <c:lvl>
                        <c:pt idx="0">
                          <c:v>2579009.00</c:v>
                        </c:pt>
                        <c:pt idx="1">
                          <c:v>339957.00</c:v>
                        </c:pt>
                        <c:pt idx="2">
                          <c:v>1965717.00</c:v>
                        </c:pt>
                        <c:pt idx="3">
                          <c:v>446914.00</c:v>
                        </c:pt>
                        <c:pt idx="4">
                          <c:v>1847674.00</c:v>
                        </c:pt>
                        <c:pt idx="5">
                          <c:v>5785615.00</c:v>
                        </c:pt>
                        <c:pt idx="6">
                          <c:v>2619052.00</c:v>
                        </c:pt>
                        <c:pt idx="7">
                          <c:v>2387295.00</c:v>
                        </c:pt>
                        <c:pt idx="8">
                          <c:v>2473487.00</c:v>
                        </c:pt>
                        <c:pt idx="9">
                          <c:v>2372163.00</c:v>
                        </c:pt>
                        <c:pt idx="10">
                          <c:v>3208380.00</c:v>
                        </c:pt>
                        <c:pt idx="11">
                          <c:v>940015.00</c:v>
                        </c:pt>
                        <c:pt idx="12">
                          <c:v>2660932.00</c:v>
                        </c:pt>
                        <c:pt idx="13">
                          <c:v>566707.00</c:v>
                        </c:pt>
                        <c:pt idx="14">
                          <c:v>2900664.00</c:v>
                        </c:pt>
                        <c:pt idx="15">
                          <c:v>421128.00</c:v>
                        </c:pt>
                        <c:pt idx="16">
                          <c:v>1749517.00</c:v>
                        </c:pt>
                        <c:pt idx="17">
                          <c:v>988766.00</c:v>
                        </c:pt>
                        <c:pt idx="18">
                          <c:v>3150143.00</c:v>
                        </c:pt>
                        <c:pt idx="19">
                          <c:v>400068.00</c:v>
                        </c:pt>
                        <c:pt idx="20">
                          <c:v>453994.00</c:v>
                        </c:pt>
                        <c:pt idx="21">
                          <c:v>883076.00</c:v>
                        </c:pt>
                        <c:pt idx="22">
                          <c:v>1119219.00</c:v>
                        </c:pt>
                        <c:pt idx="23">
                          <c:v>1484672.00</c:v>
                        </c:pt>
                        <c:pt idx="24">
                          <c:v>5129789.00</c:v>
                        </c:pt>
                        <c:pt idx="25">
                          <c:v>2293405.00</c:v>
                        </c:pt>
                        <c:pt idx="26">
                          <c:v>2256693.00</c:v>
                        </c:pt>
                        <c:pt idx="27">
                          <c:v>3817798.00</c:v>
                        </c:pt>
                        <c:pt idx="28">
                          <c:v>1337947.00</c:v>
                        </c:pt>
                        <c:pt idx="29">
                          <c:v>2445299.00</c:v>
                        </c:pt>
                        <c:pt idx="30">
                          <c:v>2277697.00</c:v>
                        </c:pt>
                        <c:pt idx="31">
                          <c:v>6780422.00</c:v>
                        </c:pt>
                        <c:pt idx="32">
                          <c:v>1892392.00</c:v>
                        </c:pt>
                        <c:pt idx="33">
                          <c:v>2139059.00</c:v>
                        </c:pt>
                        <c:pt idx="34">
                          <c:v>2034248.00</c:v>
                        </c:pt>
                        <c:pt idx="35">
                          <c:v>3494242.00</c:v>
                        </c:pt>
                        <c:pt idx="36">
                          <c:v>2300242.00</c:v>
                        </c:pt>
                        <c:pt idx="37">
                          <c:v>1917110.00</c:v>
                        </c:pt>
                        <c:pt idx="38">
                          <c:v>3483909.00</c:v>
                        </c:pt>
                        <c:pt idx="39">
                          <c:v>2706368.00</c:v>
                        </c:pt>
                        <c:pt idx="40">
                          <c:v>1411717.00</c:v>
                        </c:pt>
                        <c:pt idx="41">
                          <c:v>2455195.00</c:v>
                        </c:pt>
                        <c:pt idx="42">
                          <c:v>4942868.00</c:v>
                        </c:pt>
                        <c:pt idx="43">
                          <c:v>2951349.00</c:v>
                        </c:pt>
                        <c:pt idx="44">
                          <c:v>1675369.00</c:v>
                        </c:pt>
                        <c:pt idx="45">
                          <c:v>2622280.00</c:v>
                        </c:pt>
                        <c:pt idx="46">
                          <c:v>2774150.00</c:v>
                        </c:pt>
                        <c:pt idx="47">
                          <c:v>2146674.00</c:v>
                        </c:pt>
                        <c:pt idx="48">
                          <c:v>4628087.00</c:v>
                        </c:pt>
                        <c:pt idx="49">
                          <c:v>6084981.00</c:v>
                        </c:pt>
                        <c:pt idx="50">
                          <c:v>8917138.00</c:v>
                        </c:pt>
                        <c:pt idx="51">
                          <c:v>3333954.00</c:v>
                        </c:pt>
                        <c:pt idx="52">
                          <c:v>5439422.00</c:v>
                        </c:pt>
                        <c:pt idx="53">
                          <c:v>8112213.00</c:v>
                        </c:pt>
                      </c:lvl>
                      <c:lvl>
                        <c:pt idx="0">
                          <c:v>130518718.00</c:v>
                        </c:pt>
                        <c:pt idx="1">
                          <c:v>8880900.00</c:v>
                        </c:pt>
                        <c:pt idx="2">
                          <c:v>62264600.00</c:v>
                        </c:pt>
                        <c:pt idx="3">
                          <c:v>11011863.00</c:v>
                        </c:pt>
                        <c:pt idx="4">
                          <c:v>86411166.00</c:v>
                        </c:pt>
                        <c:pt idx="5">
                          <c:v>679847266.00</c:v>
                        </c:pt>
                        <c:pt idx="6">
                          <c:v>111478886.00</c:v>
                        </c:pt>
                        <c:pt idx="7">
                          <c:v>70103357.00</c:v>
                        </c:pt>
                        <c:pt idx="8">
                          <c:v>128541828.00</c:v>
                        </c:pt>
                        <c:pt idx="9">
                          <c:v>85713424.00</c:v>
                        </c:pt>
                        <c:pt idx="10">
                          <c:v>158846200.00</c:v>
                        </c:pt>
                        <c:pt idx="11">
                          <c:v>19230719.00</c:v>
                        </c:pt>
                        <c:pt idx="12">
                          <c:v>128893992.00</c:v>
                        </c:pt>
                        <c:pt idx="13">
                          <c:v>18371605.00</c:v>
                        </c:pt>
                        <c:pt idx="14">
                          <c:v>140045451.00</c:v>
                        </c:pt>
                        <c:pt idx="15">
                          <c:v>15670322.00</c:v>
                        </c:pt>
                        <c:pt idx="16">
                          <c:v>126420335.00</c:v>
                        </c:pt>
                        <c:pt idx="17">
                          <c:v>26738846.00</c:v>
                        </c:pt>
                        <c:pt idx="18">
                          <c:v>153266977.00</c:v>
                        </c:pt>
                        <c:pt idx="19">
                          <c:v>18460027.00</c:v>
                        </c:pt>
                        <c:pt idx="20">
                          <c:v>16947694.00</c:v>
                        </c:pt>
                        <c:pt idx="21">
                          <c:v>37162928.00</c:v>
                        </c:pt>
                        <c:pt idx="22">
                          <c:v>41717130.00</c:v>
                        </c:pt>
                        <c:pt idx="23">
                          <c:v>51790997.00</c:v>
                        </c:pt>
                        <c:pt idx="24">
                          <c:v>230044635.00</c:v>
                        </c:pt>
                        <c:pt idx="25">
                          <c:v>87493049.00</c:v>
                        </c:pt>
                        <c:pt idx="26">
                          <c:v>112979930.00</c:v>
                        </c:pt>
                        <c:pt idx="27">
                          <c:v>174949490.00</c:v>
                        </c:pt>
                        <c:pt idx="28">
                          <c:v>63292424.00</c:v>
                        </c:pt>
                        <c:pt idx="29">
                          <c:v>109837392.00</c:v>
                        </c:pt>
                        <c:pt idx="30">
                          <c:v>127897654.00</c:v>
                        </c:pt>
                        <c:pt idx="31">
                          <c:v>1220368372.00</c:v>
                        </c:pt>
                        <c:pt idx="32">
                          <c:v>99528244.00</c:v>
                        </c:pt>
                        <c:pt idx="33">
                          <c:v>131784458.00</c:v>
                        </c:pt>
                        <c:pt idx="34">
                          <c:v>103677747.00</c:v>
                        </c:pt>
                        <c:pt idx="35">
                          <c:v>634740319.00</c:v>
                        </c:pt>
                        <c:pt idx="36">
                          <c:v>90026599.00</c:v>
                        </c:pt>
                        <c:pt idx="37">
                          <c:v>97020419.00</c:v>
                        </c:pt>
                        <c:pt idx="38">
                          <c:v>320768587.00</c:v>
                        </c:pt>
                        <c:pt idx="39">
                          <c:v>354422379.00</c:v>
                        </c:pt>
                        <c:pt idx="40">
                          <c:v>127697094.00</c:v>
                        </c:pt>
                        <c:pt idx="41">
                          <c:v>146632610.00</c:v>
                        </c:pt>
                        <c:pt idx="42">
                          <c:v>362606510.00</c:v>
                        </c:pt>
                        <c:pt idx="43">
                          <c:v>325367332.00</c:v>
                        </c:pt>
                        <c:pt idx="44">
                          <c:v>125911907.00</c:v>
                        </c:pt>
                        <c:pt idx="45">
                          <c:v>180628523.00</c:v>
                        </c:pt>
                        <c:pt idx="46">
                          <c:v>156925389.00</c:v>
                        </c:pt>
                        <c:pt idx="47">
                          <c:v>318642383.00</c:v>
                        </c:pt>
                        <c:pt idx="48">
                          <c:v>336785327.00</c:v>
                        </c:pt>
                        <c:pt idx="49">
                          <c:v>491669636.00</c:v>
                        </c:pt>
                        <c:pt idx="50">
                          <c:v>1150823786.00</c:v>
                        </c:pt>
                        <c:pt idx="51">
                          <c:v>706173056.00</c:v>
                        </c:pt>
                        <c:pt idx="52">
                          <c:v>574352236.00</c:v>
                        </c:pt>
                        <c:pt idx="53">
                          <c:v>675992847.00</c:v>
                        </c:pt>
                      </c:lvl>
                      <c:lvl>
                        <c:pt idx="0">
                          <c:v>02-05-2026</c:v>
                        </c:pt>
                        <c:pt idx="1">
                          <c:v>12-06-2026</c:v>
                        </c:pt>
                        <c:pt idx="2">
                          <c:v>13-06-2026</c:v>
                        </c:pt>
                        <c:pt idx="3">
                          <c:v>17-06-2026</c:v>
                        </c:pt>
                        <c:pt idx="4">
                          <c:v>16-05-2026</c:v>
                        </c:pt>
                        <c:pt idx="5">
                          <c:v>07-05-2026</c:v>
                        </c:pt>
                        <c:pt idx="6">
                          <c:v>04-04-2026</c:v>
                        </c:pt>
                        <c:pt idx="7">
                          <c:v>21-02-2026</c:v>
                        </c:pt>
                        <c:pt idx="8">
                          <c:v>07-03-2026</c:v>
                        </c:pt>
                        <c:pt idx="9">
                          <c:v>30-05-2026</c:v>
                        </c:pt>
                        <c:pt idx="10">
                          <c:v>18-04-2026</c:v>
                        </c:pt>
                        <c:pt idx="11">
                          <c:v>10-03-2026</c:v>
                        </c:pt>
                        <c:pt idx="12">
                          <c:v>07-01-2026</c:v>
                        </c:pt>
                        <c:pt idx="13">
                          <c:v>28-04-2026</c:v>
                        </c:pt>
                        <c:pt idx="14">
                          <c:v>21-03-2026</c:v>
                        </c:pt>
                        <c:pt idx="15">
                          <c:v>03-05-2026</c:v>
                        </c:pt>
                        <c:pt idx="16">
                          <c:v>07-02-2026</c:v>
                        </c:pt>
                        <c:pt idx="17">
                          <c:v>22-02-2026</c:v>
                        </c:pt>
                        <c:pt idx="18">
                          <c:v>24-01-2026</c:v>
                        </c:pt>
                        <c:pt idx="19">
                          <c:v>27-04-2026</c:v>
                        </c:pt>
                        <c:pt idx="20">
                          <c:v>02-04-2026</c:v>
                        </c:pt>
                        <c:pt idx="21">
                          <c:v>16-01-2026</c:v>
                        </c:pt>
                        <c:pt idx="22">
                          <c:v>26-03-2026</c:v>
                        </c:pt>
                        <c:pt idx="23">
                          <c:v>07-04-2026</c:v>
                        </c:pt>
                        <c:pt idx="24">
                          <c:v>29-05-2026</c:v>
                        </c:pt>
                        <c:pt idx="25">
                          <c:v>13-03-2026</c:v>
                        </c:pt>
                        <c:pt idx="26">
                          <c:v>14-06-2026</c:v>
                        </c:pt>
                        <c:pt idx="27">
                          <c:v>25-01-2026</c:v>
                        </c:pt>
                        <c:pt idx="28">
                          <c:v>29-04-2026</c:v>
                        </c:pt>
                        <c:pt idx="29">
                          <c:v>12-02-2026</c:v>
                        </c:pt>
                        <c:pt idx="30">
                          <c:v>20-03-2026</c:v>
                        </c:pt>
                        <c:pt idx="31">
                          <c:v>13-01-2026</c:v>
                        </c:pt>
                        <c:pt idx="32">
                          <c:v>17-03-2026</c:v>
                        </c:pt>
                        <c:pt idx="33">
                          <c:v>21-04-2026</c:v>
                        </c:pt>
                        <c:pt idx="34">
                          <c:v>09-01-2026</c:v>
                        </c:pt>
                        <c:pt idx="35">
                          <c:v>15-05-2026</c:v>
                        </c:pt>
                        <c:pt idx="36">
                          <c:v>06-03-2026</c:v>
                        </c:pt>
                        <c:pt idx="37">
                          <c:v>14-04-2026</c:v>
                        </c:pt>
                        <c:pt idx="38">
                          <c:v>22-05-2026</c:v>
                        </c:pt>
                        <c:pt idx="39">
                          <c:v>19-05-2026</c:v>
                        </c:pt>
                        <c:pt idx="40">
                          <c:v>24-04-2026</c:v>
                        </c:pt>
                        <c:pt idx="41">
                          <c:v>10-04-2026</c:v>
                        </c:pt>
                        <c:pt idx="42">
                          <c:v>09-02-2026</c:v>
                        </c:pt>
                        <c:pt idx="43">
                          <c:v>28-02-2026</c:v>
                        </c:pt>
                        <c:pt idx="44">
                          <c:v>18-02-2026</c:v>
                        </c:pt>
                        <c:pt idx="45">
                          <c:v>17-04-2026</c:v>
                        </c:pt>
                        <c:pt idx="46">
                          <c:v>06-02-2026</c:v>
                        </c:pt>
                        <c:pt idx="47">
                          <c:v>17-05-2026</c:v>
                        </c:pt>
                        <c:pt idx="48">
                          <c:v>12-05-2026</c:v>
                        </c:pt>
                        <c:pt idx="49">
                          <c:v>06-01-2026</c:v>
                        </c:pt>
                        <c:pt idx="50">
                          <c:v>27-01-2026</c:v>
                        </c:pt>
                        <c:pt idx="51">
                          <c:v>01-04-2026</c:v>
                        </c:pt>
                        <c:pt idx="52">
                          <c:v>05-05-2026</c:v>
                        </c:pt>
                        <c:pt idx="53">
                          <c:v>03-04-2026</c:v>
                        </c:pt>
                      </c:lvl>
                      <c:lvl>
                        <c:pt idx="0">
                          <c:v>I Stranded 100 People In The Wilderness For $250,000</c:v>
                        </c:pt>
                        <c:pt idx="1">
                          <c:v>POV: You Time Traveled Back to 2016</c:v>
                        </c:pt>
                        <c:pt idx="2">
                          <c:v>50 YouTube Legends Fight For $1,000,000</c:v>
                        </c:pt>
                        <c:pt idx="3">
                          <c:v>We Made Make-A-Wish Kidsâ€™ Dreams Come True</c:v>
                        </c:pt>
                        <c:pt idx="4">
                          <c:v>Survive 30 Days On An Island With Your Ex, Win $250,000</c:v>
                        </c:pt>
                        <c:pt idx="5">
                          <c:v>Iâ€™m Granting Wishes For My Subscribers</c:v>
                        </c:pt>
                        <c:pt idx="6">
                          <c:v>50 Streamers Fight for $1,000,000</c:v>
                        </c:pt>
                        <c:pt idx="7">
                          <c:v>I Built 10 Schools Around The World</c:v>
                        </c:pt>
                        <c:pt idx="8">
                          <c:v>Survive 30 Days Stranded With Your Ex, Win $250,000</c:v>
                        </c:pt>
                        <c:pt idx="9">
                          <c:v>7 Days Stranded in The Arctic</c:v>
                        </c:pt>
                        <c:pt idx="10">
                          <c:v>Last To Leave Grocery Store, Wins $250,000</c:v>
                        </c:pt>
                        <c:pt idx="11">
                          <c:v>My Chocolate Factory Blew Up</c:v>
                        </c:pt>
                        <c:pt idx="12">
                          <c:v>30 Celebrities Fight For $1,000,000!</c:v>
                        </c:pt>
                        <c:pt idx="13">
                          <c:v>Important Announcement From The Grocery Store</c:v>
                        </c:pt>
                        <c:pt idx="14">
                          <c:v>Trapped On An Island Until I Build A Boat</c:v>
                        </c:pt>
                        <c:pt idx="15">
                          <c:v>Asking My FiancÃ©e on a Date</c:v>
                        </c:pt>
                        <c:pt idx="16">
                          <c:v>Ages 1 - 100 Race For $250,000!</c:v>
                        </c:pt>
                        <c:pt idx="17">
                          <c:v>I Built a School in Mexico</c:v>
                        </c:pt>
                        <c:pt idx="18">
                          <c:v>$1 vs $1,000,000,000 Futuristic Tech!</c:v>
                        </c:pt>
                        <c:pt idx="19">
                          <c:v>Can My FiancÃ©e Lift Me?</c:v>
                        </c:pt>
                        <c:pt idx="20">
                          <c:v>Spreading Rumors About Streamers</c:v>
                        </c:pt>
                        <c:pt idx="21">
                          <c:v>Survivor vs Beast Games</c:v>
                        </c:pt>
                        <c:pt idx="22">
                          <c:v>Bring Me A Glass Of Water = Win $10,000</c:v>
                        </c:pt>
                        <c:pt idx="23">
                          <c:v>$1 or Mystery Vial?</c:v>
                        </c:pt>
                        <c:pt idx="24">
                          <c:v>I Surprised a Random Subscriber With $10,000</c:v>
                        </c:pt>
                        <c:pt idx="25">
                          <c:v>5 Strangers Split $100,000</c:v>
                        </c:pt>
                        <c:pt idx="26">
                          <c:v>Guess The Youtuber = Win $1,000</c:v>
                        </c:pt>
                        <c:pt idx="27">
                          <c:v>Wait... Was He Famous?</c:v>
                        </c:pt>
                        <c:pt idx="28">
                          <c:v>Would Your Dog Pick $10,000 or Steak?</c:v>
                        </c:pt>
                        <c:pt idx="29">
                          <c:v>Surprising My FiancÃ©e With A Chocolate Heart</c:v>
                        </c:pt>
                        <c:pt idx="30">
                          <c:v>I Hid $1,000,000 In This Vault</c:v>
                        </c:pt>
                        <c:pt idx="31">
                          <c:v>Subscribe for an iPhone</c:v>
                        </c:pt>
                        <c:pt idx="32">
                          <c:v>Pop The Balloons, Win $10,000</c:v>
                        </c:pt>
                        <c:pt idx="33">
                          <c:v>Winner Picks Our Honeymoon</c:v>
                        </c:pt>
                        <c:pt idx="34">
                          <c:v>Pass the Phone</c:v>
                        </c:pt>
                        <c:pt idx="35">
                          <c:v>Hit The Button, Win $1,000</c:v>
                        </c:pt>
                        <c:pt idx="36">
                          <c:v>Would You Steal Money From A Stranger?</c:v>
                        </c:pt>
                        <c:pt idx="37">
                          <c:v>Can a Window Stop a Wrecking Ball?</c:v>
                        </c:pt>
                        <c:pt idx="38">
                          <c:v>YouTube CEO Has A Surprise For Me</c:v>
                        </c:pt>
                        <c:pt idx="39">
                          <c:v>Every Youtube Play Button</c:v>
                        </c:pt>
                        <c:pt idx="40">
                          <c:v>Try Not To Get Slimed</c:v>
                        </c:pt>
                        <c:pt idx="41">
                          <c:v>Donâ€™t Eat The Spicy Yoshi Egg</c:v>
                        </c:pt>
                        <c:pt idx="42">
                          <c:v>Guess What Age Punched You</c:v>
                        </c:pt>
                        <c:pt idx="43">
                          <c:v>Subscribe, Iâ€™ll Double Your Bank Account</c:v>
                        </c:pt>
                        <c:pt idx="44">
                          <c:v>Every Step You Take, Win $1,000</c:v>
                        </c:pt>
                        <c:pt idx="45">
                          <c:v>Guess The Animal</c:v>
                        </c:pt>
                        <c:pt idx="46">
                          <c:v>Is Being Smart or Strong Better?</c:v>
                        </c:pt>
                        <c:pt idx="47">
                          <c:v>Can He Make This Shot?</c:v>
                        </c:pt>
                        <c:pt idx="48">
                          <c:v>World's Fastest Date</c:v>
                        </c:pt>
                        <c:pt idx="49">
                          <c:v>Guess the Animal</c:v>
                        </c:pt>
                        <c:pt idx="50">
                          <c:v>Flip a Coin, Win $30,000</c:v>
                        </c:pt>
                        <c:pt idx="51">
                          <c:v>Will a Zebra Subscribe to me?</c:v>
                        </c:pt>
                        <c:pt idx="52">
                          <c:v>Guess The Animal</c:v>
                        </c:pt>
                        <c:pt idx="53">
                          <c:v>Who's The Strongest Streamer?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MrBeast_Cleaned_Dataset!$K$2:$K$988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10.725656989674079</c:v>
                      </c:pt>
                      <c:pt idx="1">
                        <c:v>2.222297289689108</c:v>
                      </c:pt>
                      <c:pt idx="2">
                        <c:v>2.1079393427404978</c:v>
                      </c:pt>
                      <c:pt idx="3">
                        <c:v>1.6134417945446651</c:v>
                      </c:pt>
                      <c:pt idx="4">
                        <c:v>1.5810340992274079</c:v>
                      </c:pt>
                      <c:pt idx="5">
                        <c:v>1.5511969419319545</c:v>
                      </c:pt>
                      <c:pt idx="6">
                        <c:v>1.535187569061284</c:v>
                      </c:pt>
                      <c:pt idx="7">
                        <c:v>1.3728871785697796</c:v>
                      </c:pt>
                      <c:pt idx="8">
                        <c:v>1.1759440670160688</c:v>
                      </c:pt>
                      <c:pt idx="9">
                        <c:v>1.1379431067880335</c:v>
                      </c:pt>
                      <c:pt idx="10">
                        <c:v>1.0627449696624787</c:v>
                      </c:pt>
                      <c:pt idx="11">
                        <c:v>1.0402627171662171</c:v>
                      </c:pt>
                      <c:pt idx="12">
                        <c:v>0.92583058487318781</c:v>
                      </c:pt>
                      <c:pt idx="13">
                        <c:v>0.88821853071628742</c:v>
                      </c:pt>
                      <c:pt idx="14">
                        <c:v>0.84439015445064336</c:v>
                      </c:pt>
                      <c:pt idx="15">
                        <c:v>0.76667218452818009</c:v>
                      </c:pt>
                      <c:pt idx="16">
                        <c:v>0.68807759447876804</c:v>
                      </c:pt>
                      <c:pt idx="17">
                        <c:v>0.60492513401662884</c:v>
                      </c:pt>
                      <c:pt idx="18">
                        <c:v>0.58837201440986209</c:v>
                      </c:pt>
                      <c:pt idx="19">
                        <c:v>0.48250200284105765</c:v>
                      </c:pt>
                      <c:pt idx="20">
                        <c:v>0.47351574792417184</c:v>
                      </c:pt>
                      <c:pt idx="21">
                        <c:v>0.39041595430801362</c:v>
                      </c:pt>
                      <c:pt idx="22">
                        <c:v>0.35966040808655825</c:v>
                      </c:pt>
                      <c:pt idx="23">
                        <c:v>0.28779133176370403</c:v>
                      </c:pt>
                      <c:pt idx="24">
                        <c:v>0.26734811702954953</c:v>
                      </c:pt>
                      <c:pt idx="25">
                        <c:v>0.24775682465929377</c:v>
                      </c:pt>
                      <c:pt idx="26">
                        <c:v>0.19077724689686035</c:v>
                      </c:pt>
                      <c:pt idx="27">
                        <c:v>0.1894832617117089</c:v>
                      </c:pt>
                      <c:pt idx="28">
                        <c:v>0.18518804083092158</c:v>
                      </c:pt>
                      <c:pt idx="29">
                        <c:v>0.16252206716634349</c:v>
                      </c:pt>
                      <c:pt idx="30">
                        <c:v>0.15399031478716568</c:v>
                      </c:pt>
                      <c:pt idx="31">
                        <c:v>0.14757839037146073</c:v>
                      </c:pt>
                      <c:pt idx="32">
                        <c:v>0.13496671356926584</c:v>
                      </c:pt>
                      <c:pt idx="33">
                        <c:v>0.13444681010867002</c:v>
                      </c:pt>
                      <c:pt idx="34">
                        <c:v>0.13343268348607151</c:v>
                      </c:pt>
                      <c:pt idx="35">
                        <c:v>0.13140334323082445</c:v>
                      </c:pt>
                      <c:pt idx="36">
                        <c:v>0.12604052720018891</c:v>
                      </c:pt>
                      <c:pt idx="37">
                        <c:v>0.12273704981628661</c:v>
                      </c:pt>
                      <c:pt idx="38">
                        <c:v>0.11733380862509457</c:v>
                      </c:pt>
                      <c:pt idx="39">
                        <c:v>0.10333433262124794</c:v>
                      </c:pt>
                      <c:pt idx="40">
                        <c:v>0.10210882324385549</c:v>
                      </c:pt>
                      <c:pt idx="41">
                        <c:v>9.2032734055541937E-2</c:v>
                      </c:pt>
                      <c:pt idx="42">
                        <c:v>8.9179314513685923E-2</c:v>
                      </c:pt>
                      <c:pt idx="43">
                        <c:v>7.695609711671976E-2</c:v>
                      </c:pt>
                      <c:pt idx="44">
                        <c:v>7.3996178931671638E-2</c:v>
                      </c:pt>
                      <c:pt idx="45">
                        <c:v>6.7619442362378171E-2</c:v>
                      </c:pt>
                      <c:pt idx="46">
                        <c:v>6.6490196815761918E-2</c:v>
                      </c:pt>
                      <c:pt idx="47">
                        <c:v>6.6165083883395384E-2</c:v>
                      </c:pt>
                      <c:pt idx="48">
                        <c:v>5.9791797283377496E-2</c:v>
                      </c:pt>
                      <c:pt idx="49">
                        <c:v>4.0809923027258083E-2</c:v>
                      </c:pt>
                      <c:pt idx="50">
                        <c:v>3.528168299434159E-2</c:v>
                      </c:pt>
                      <c:pt idx="51">
                        <c:v>3.0808312233311833E-2</c:v>
                      </c:pt>
                      <c:pt idx="52">
                        <c:v>2.9394853787946252E-2</c:v>
                      </c:pt>
                      <c:pt idx="53">
                        <c:v>2.9170427006012387E-2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F7F-4E5A-BF54-E24540A37BE9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MrBeast_Cleaned_Dataset!$A$2:$H$988</c15:sqref>
                        </c15:formulaRef>
                      </c:ext>
                    </c:extLst>
                    <c:multiLvlStrCache>
                      <c:ptCount val="54"/>
                      <c:lvl>
                        <c:pt idx="0">
                          <c:v>Saturday</c:v>
                        </c:pt>
                        <c:pt idx="1">
                          <c:v>Friday</c:v>
                        </c:pt>
                        <c:pt idx="2">
                          <c:v>Saturday</c:v>
                        </c:pt>
                        <c:pt idx="3">
                          <c:v>Wednesday</c:v>
                        </c:pt>
                        <c:pt idx="4">
                          <c:v>Saturday</c:v>
                        </c:pt>
                        <c:pt idx="5">
                          <c:v>Thursday</c:v>
                        </c:pt>
                        <c:pt idx="6">
                          <c:v>Saturday</c:v>
                        </c:pt>
                        <c:pt idx="7">
                          <c:v>Saturday</c:v>
                        </c:pt>
                        <c:pt idx="8">
                          <c:v>Saturday</c:v>
                        </c:pt>
                        <c:pt idx="9">
                          <c:v>Saturday</c:v>
                        </c:pt>
                        <c:pt idx="10">
                          <c:v>Saturday</c:v>
                        </c:pt>
                        <c:pt idx="11">
                          <c:v>Tuesday</c:v>
                        </c:pt>
                        <c:pt idx="12">
                          <c:v>Wednesday</c:v>
                        </c:pt>
                        <c:pt idx="13">
                          <c:v>Tuesday</c:v>
                        </c:pt>
                        <c:pt idx="14">
                          <c:v>Saturday</c:v>
                        </c:pt>
                        <c:pt idx="15">
                          <c:v>Sunday</c:v>
                        </c:pt>
                        <c:pt idx="16">
                          <c:v>Saturday</c:v>
                        </c:pt>
                        <c:pt idx="17">
                          <c:v>Sunday</c:v>
                        </c:pt>
                        <c:pt idx="18">
                          <c:v>Saturday</c:v>
                        </c:pt>
                        <c:pt idx="19">
                          <c:v>Monday</c:v>
                        </c:pt>
                        <c:pt idx="20">
                          <c:v>Thursday</c:v>
                        </c:pt>
                        <c:pt idx="21">
                          <c:v>Friday</c:v>
                        </c:pt>
                        <c:pt idx="22">
                          <c:v>Thursday</c:v>
                        </c:pt>
                        <c:pt idx="23">
                          <c:v>Tuesday</c:v>
                        </c:pt>
                        <c:pt idx="24">
                          <c:v>Friday</c:v>
                        </c:pt>
                        <c:pt idx="25">
                          <c:v>Friday</c:v>
                        </c:pt>
                        <c:pt idx="26">
                          <c:v>Sunday</c:v>
                        </c:pt>
                        <c:pt idx="27">
                          <c:v>Sunday</c:v>
                        </c:pt>
                        <c:pt idx="28">
                          <c:v>Wednesday</c:v>
                        </c:pt>
                        <c:pt idx="29">
                          <c:v>Thursday</c:v>
                        </c:pt>
                        <c:pt idx="30">
                          <c:v>Friday</c:v>
                        </c:pt>
                        <c:pt idx="31">
                          <c:v>Tuesday</c:v>
                        </c:pt>
                        <c:pt idx="32">
                          <c:v>Tuesday</c:v>
                        </c:pt>
                        <c:pt idx="33">
                          <c:v>Tuesday</c:v>
                        </c:pt>
                        <c:pt idx="34">
                          <c:v>Friday</c:v>
                        </c:pt>
                        <c:pt idx="35">
                          <c:v>Friday</c:v>
                        </c:pt>
                        <c:pt idx="36">
                          <c:v>Friday</c:v>
                        </c:pt>
                        <c:pt idx="37">
                          <c:v>Tuesday</c:v>
                        </c:pt>
                        <c:pt idx="38">
                          <c:v>Friday</c:v>
                        </c:pt>
                        <c:pt idx="39">
                          <c:v>Tuesday</c:v>
                        </c:pt>
                        <c:pt idx="40">
                          <c:v>Friday</c:v>
                        </c:pt>
                        <c:pt idx="41">
                          <c:v>Friday</c:v>
                        </c:pt>
                        <c:pt idx="42">
                          <c:v>Monday</c:v>
                        </c:pt>
                        <c:pt idx="43">
                          <c:v>Saturday</c:v>
                        </c:pt>
                        <c:pt idx="44">
                          <c:v>Wednesday</c:v>
                        </c:pt>
                        <c:pt idx="45">
                          <c:v>Friday</c:v>
                        </c:pt>
                        <c:pt idx="46">
                          <c:v>Friday</c:v>
                        </c:pt>
                        <c:pt idx="47">
                          <c:v>Sunday</c:v>
                        </c:pt>
                        <c:pt idx="48">
                          <c:v>Tuesday</c:v>
                        </c:pt>
                        <c:pt idx="49">
                          <c:v>Tuesday</c:v>
                        </c:pt>
                        <c:pt idx="50">
                          <c:v>Tuesday</c:v>
                        </c:pt>
                        <c:pt idx="51">
                          <c:v>Wednesday</c:v>
                        </c:pt>
                        <c:pt idx="52">
                          <c:v>Tuesday</c:v>
                        </c:pt>
                        <c:pt idx="53">
                          <c:v>Friday</c:v>
                        </c:pt>
                      </c:lvl>
                      <c:lvl>
                        <c:pt idx="0">
                          <c:v>May</c:v>
                        </c:pt>
                        <c:pt idx="1">
                          <c:v>June</c:v>
                        </c:pt>
                        <c:pt idx="2">
                          <c:v>June</c:v>
                        </c:pt>
                        <c:pt idx="3">
                          <c:v>June</c:v>
                        </c:pt>
                        <c:pt idx="4">
                          <c:v>May</c:v>
                        </c:pt>
                        <c:pt idx="5">
                          <c:v>May</c:v>
                        </c:pt>
                        <c:pt idx="6">
                          <c:v>April</c:v>
                        </c:pt>
                        <c:pt idx="7">
                          <c:v>February</c:v>
                        </c:pt>
                        <c:pt idx="8">
                          <c:v>March</c:v>
                        </c:pt>
                        <c:pt idx="9">
                          <c:v>May</c:v>
                        </c:pt>
                        <c:pt idx="10">
                          <c:v>April</c:v>
                        </c:pt>
                        <c:pt idx="11">
                          <c:v>March</c:v>
                        </c:pt>
                        <c:pt idx="12">
                          <c:v>January</c:v>
                        </c:pt>
                        <c:pt idx="13">
                          <c:v>April</c:v>
                        </c:pt>
                        <c:pt idx="14">
                          <c:v>March</c:v>
                        </c:pt>
                        <c:pt idx="15">
                          <c:v>May</c:v>
                        </c:pt>
                        <c:pt idx="16">
                          <c:v>February</c:v>
                        </c:pt>
                        <c:pt idx="17">
                          <c:v>February</c:v>
                        </c:pt>
                        <c:pt idx="18">
                          <c:v>January</c:v>
                        </c:pt>
                        <c:pt idx="19">
                          <c:v>April</c:v>
                        </c:pt>
                        <c:pt idx="20">
                          <c:v>April</c:v>
                        </c:pt>
                        <c:pt idx="21">
                          <c:v>January</c:v>
                        </c:pt>
                        <c:pt idx="22">
                          <c:v>March</c:v>
                        </c:pt>
                        <c:pt idx="23">
                          <c:v>April</c:v>
                        </c:pt>
                        <c:pt idx="24">
                          <c:v>May</c:v>
                        </c:pt>
                        <c:pt idx="25">
                          <c:v>March</c:v>
                        </c:pt>
                        <c:pt idx="26">
                          <c:v>June</c:v>
                        </c:pt>
                        <c:pt idx="27">
                          <c:v>January</c:v>
                        </c:pt>
                        <c:pt idx="28">
                          <c:v>April</c:v>
                        </c:pt>
                        <c:pt idx="29">
                          <c:v>February</c:v>
                        </c:pt>
                        <c:pt idx="30">
                          <c:v>March</c:v>
                        </c:pt>
                        <c:pt idx="31">
                          <c:v>January</c:v>
                        </c:pt>
                        <c:pt idx="32">
                          <c:v>March</c:v>
                        </c:pt>
                        <c:pt idx="33">
                          <c:v>April</c:v>
                        </c:pt>
                        <c:pt idx="34">
                          <c:v>January</c:v>
                        </c:pt>
                        <c:pt idx="35">
                          <c:v>May</c:v>
                        </c:pt>
                        <c:pt idx="36">
                          <c:v>March</c:v>
                        </c:pt>
                        <c:pt idx="37">
                          <c:v>April</c:v>
                        </c:pt>
                        <c:pt idx="38">
                          <c:v>May</c:v>
                        </c:pt>
                        <c:pt idx="39">
                          <c:v>May</c:v>
                        </c:pt>
                        <c:pt idx="40">
                          <c:v>April</c:v>
                        </c:pt>
                        <c:pt idx="41">
                          <c:v>April</c:v>
                        </c:pt>
                        <c:pt idx="42">
                          <c:v>February</c:v>
                        </c:pt>
                        <c:pt idx="43">
                          <c:v>February</c:v>
                        </c:pt>
                        <c:pt idx="44">
                          <c:v>February</c:v>
                        </c:pt>
                        <c:pt idx="45">
                          <c:v>April</c:v>
                        </c:pt>
                        <c:pt idx="46">
                          <c:v>February</c:v>
                        </c:pt>
                        <c:pt idx="47">
                          <c:v>May</c:v>
                        </c:pt>
                        <c:pt idx="48">
                          <c:v>May</c:v>
                        </c:pt>
                        <c:pt idx="49">
                          <c:v>January</c:v>
                        </c:pt>
                        <c:pt idx="50">
                          <c:v>January</c:v>
                        </c:pt>
                        <c:pt idx="51">
                          <c:v>April</c:v>
                        </c:pt>
                        <c:pt idx="52">
                          <c:v>May</c:v>
                        </c:pt>
                        <c:pt idx="53">
                          <c:v>April</c:v>
                        </c:pt>
                      </c:lvl>
                      <c:lvl>
                        <c:pt idx="0">
                          <c:v>2026</c:v>
                        </c:pt>
                        <c:pt idx="1">
                          <c:v>2026</c:v>
                        </c:pt>
                        <c:pt idx="2">
                          <c:v>2026</c:v>
                        </c:pt>
                        <c:pt idx="3">
                          <c:v>2026</c:v>
                        </c:pt>
                        <c:pt idx="4">
                          <c:v>2026</c:v>
                        </c:pt>
                        <c:pt idx="5">
                          <c:v>2026</c:v>
                        </c:pt>
                        <c:pt idx="6">
                          <c:v>2026</c:v>
                        </c:pt>
                        <c:pt idx="7">
                          <c:v>2026</c:v>
                        </c:pt>
                        <c:pt idx="8">
                          <c:v>2026</c:v>
                        </c:pt>
                        <c:pt idx="9">
                          <c:v>2026</c:v>
                        </c:pt>
                        <c:pt idx="10">
                          <c:v>2026</c:v>
                        </c:pt>
                        <c:pt idx="11">
                          <c:v>2026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  <c:pt idx="14">
                          <c:v>2026</c:v>
                        </c:pt>
                        <c:pt idx="15">
                          <c:v>2026</c:v>
                        </c:pt>
                        <c:pt idx="16">
                          <c:v>2026</c:v>
                        </c:pt>
                        <c:pt idx="17">
                          <c:v>2026</c:v>
                        </c:pt>
                        <c:pt idx="18">
                          <c:v>2026</c:v>
                        </c:pt>
                        <c:pt idx="19">
                          <c:v>2026</c:v>
                        </c:pt>
                        <c:pt idx="20">
                          <c:v>2026</c:v>
                        </c:pt>
                        <c:pt idx="21">
                          <c:v>2026</c:v>
                        </c:pt>
                        <c:pt idx="22">
                          <c:v>2026</c:v>
                        </c:pt>
                        <c:pt idx="23">
                          <c:v>2026</c:v>
                        </c:pt>
                        <c:pt idx="24">
                          <c:v>2026</c:v>
                        </c:pt>
                        <c:pt idx="25">
                          <c:v>2026</c:v>
                        </c:pt>
                        <c:pt idx="26">
                          <c:v>2026</c:v>
                        </c:pt>
                        <c:pt idx="27">
                          <c:v>2026</c:v>
                        </c:pt>
                        <c:pt idx="28">
                          <c:v>2026</c:v>
                        </c:pt>
                        <c:pt idx="29">
                          <c:v>2026</c:v>
                        </c:pt>
                        <c:pt idx="30">
                          <c:v>2026</c:v>
                        </c:pt>
                        <c:pt idx="31">
                          <c:v>2026</c:v>
                        </c:pt>
                        <c:pt idx="32">
                          <c:v>2026</c:v>
                        </c:pt>
                        <c:pt idx="33">
                          <c:v>2026</c:v>
                        </c:pt>
                        <c:pt idx="34">
                          <c:v>2026</c:v>
                        </c:pt>
                        <c:pt idx="35">
                          <c:v>2026</c:v>
                        </c:pt>
                        <c:pt idx="36">
                          <c:v>2026</c:v>
                        </c:pt>
                        <c:pt idx="37">
                          <c:v>2026</c:v>
                        </c:pt>
                        <c:pt idx="38">
                          <c:v>2026</c:v>
                        </c:pt>
                        <c:pt idx="39">
                          <c:v>2026</c:v>
                        </c:pt>
                        <c:pt idx="40">
                          <c:v>2026</c:v>
                        </c:pt>
                        <c:pt idx="41">
                          <c:v>2026</c:v>
                        </c:pt>
                        <c:pt idx="42">
                          <c:v>2026</c:v>
                        </c:pt>
                        <c:pt idx="43">
                          <c:v>2026</c:v>
                        </c:pt>
                        <c:pt idx="44">
                          <c:v>2026</c:v>
                        </c:pt>
                        <c:pt idx="45">
                          <c:v>2026</c:v>
                        </c:pt>
                        <c:pt idx="46">
                          <c:v>2026</c:v>
                        </c:pt>
                        <c:pt idx="47">
                          <c:v>2026</c:v>
                        </c:pt>
                        <c:pt idx="48">
                          <c:v>2026</c:v>
                        </c:pt>
                        <c:pt idx="49">
                          <c:v>2026</c:v>
                        </c:pt>
                        <c:pt idx="50">
                          <c:v>2026</c:v>
                        </c:pt>
                        <c:pt idx="51">
                          <c:v>2026</c:v>
                        </c:pt>
                        <c:pt idx="52">
                          <c:v>2026</c:v>
                        </c:pt>
                        <c:pt idx="53">
                          <c:v>2026</c:v>
                        </c:pt>
                      </c:lvl>
                      <c:lvl>
                        <c:pt idx="0">
                          <c:v>1399899.00</c:v>
                        </c:pt>
                        <c:pt idx="1">
                          <c:v>19736.00</c:v>
                        </c:pt>
                        <c:pt idx="2">
                          <c:v>131250.00</c:v>
                        </c:pt>
                        <c:pt idx="3">
                          <c:v>17767.00</c:v>
                        </c:pt>
                        <c:pt idx="4">
                          <c:v>136619.00</c:v>
                        </c:pt>
                        <c:pt idx="5">
                          <c:v>1054577.00</c:v>
                        </c:pt>
                        <c:pt idx="6">
                          <c:v>171141.00</c:v>
                        </c:pt>
                        <c:pt idx="7">
                          <c:v>96244.00</c:v>
                        </c:pt>
                        <c:pt idx="8">
                          <c:v>151158.00</c:v>
                        </c:pt>
                        <c:pt idx="9">
                          <c:v>97537.00</c:v>
                        </c:pt>
                        <c:pt idx="10">
                          <c:v>168813.00</c:v>
                        </c:pt>
                        <c:pt idx="11">
                          <c:v>20005.00</c:v>
                        </c:pt>
                        <c:pt idx="12">
                          <c:v>119334.00</c:v>
                        </c:pt>
                        <c:pt idx="13">
                          <c:v>16318.00</c:v>
                        </c:pt>
                        <c:pt idx="14">
                          <c:v>118253.00</c:v>
                        </c:pt>
                        <c:pt idx="15">
                          <c:v>12014.00</c:v>
                        </c:pt>
                        <c:pt idx="16">
                          <c:v>86987.00</c:v>
                        </c:pt>
                        <c:pt idx="17">
                          <c:v>16175.00</c:v>
                        </c:pt>
                        <c:pt idx="18">
                          <c:v>90178.00</c:v>
                        </c:pt>
                        <c:pt idx="19">
                          <c:v>8907.00</c:v>
                        </c:pt>
                        <c:pt idx="20">
                          <c:v>8025.00</c:v>
                        </c:pt>
                        <c:pt idx="21">
                          <c:v>14509.00</c:v>
                        </c:pt>
                        <c:pt idx="22">
                          <c:v>15004.00</c:v>
                        </c:pt>
                        <c:pt idx="23">
                          <c:v>14905.00</c:v>
                        </c:pt>
                        <c:pt idx="24">
                          <c:v>61502.00</c:v>
                        </c:pt>
                        <c:pt idx="25">
                          <c:v>21677.00</c:v>
                        </c:pt>
                        <c:pt idx="26">
                          <c:v>21554.00</c:v>
                        </c:pt>
                        <c:pt idx="27">
                          <c:v>33150.00</c:v>
                        </c:pt>
                        <c:pt idx="28">
                          <c:v>11721.00</c:v>
                        </c:pt>
                        <c:pt idx="29">
                          <c:v>17851.00</c:v>
                        </c:pt>
                        <c:pt idx="30">
                          <c:v>19695.00</c:v>
                        </c:pt>
                        <c:pt idx="31">
                          <c:v>180100.00</c:v>
                        </c:pt>
                        <c:pt idx="32">
                          <c:v>13433.00</c:v>
                        </c:pt>
                        <c:pt idx="33">
                          <c:v>17718.00</c:v>
                        </c:pt>
                        <c:pt idx="34">
                          <c:v>13834.00</c:v>
                        </c:pt>
                        <c:pt idx="35">
                          <c:v>83407.00</c:v>
                        </c:pt>
                        <c:pt idx="36">
                          <c:v>11347.00</c:v>
                        </c:pt>
                        <c:pt idx="37">
                          <c:v>11908.00</c:v>
                        </c:pt>
                        <c:pt idx="38">
                          <c:v>37637.00</c:v>
                        </c:pt>
                        <c:pt idx="39">
                          <c:v>36624.00</c:v>
                        </c:pt>
                        <c:pt idx="40">
                          <c:v>13039.00</c:v>
                        </c:pt>
                        <c:pt idx="41">
                          <c:v>13495.00</c:v>
                        </c:pt>
                        <c:pt idx="42">
                          <c:v>32337.00</c:v>
                        </c:pt>
                        <c:pt idx="43">
                          <c:v>25039.00</c:v>
                        </c:pt>
                        <c:pt idx="44">
                          <c:v>9317.00</c:v>
                        </c:pt>
                        <c:pt idx="45">
                          <c:v>12214.00</c:v>
                        </c:pt>
                        <c:pt idx="46">
                          <c:v>10434.00</c:v>
                        </c:pt>
                        <c:pt idx="47">
                          <c:v>21083.00</c:v>
                        </c:pt>
                        <c:pt idx="48">
                          <c:v>20137.00</c:v>
                        </c:pt>
                        <c:pt idx="49">
                          <c:v>20065.00</c:v>
                        </c:pt>
                        <c:pt idx="50">
                          <c:v>40603.00</c:v>
                        </c:pt>
                        <c:pt idx="51">
                          <c:v>21756.00</c:v>
                        </c:pt>
                        <c:pt idx="52">
                          <c:v>16883.00</c:v>
                        </c:pt>
                        <c:pt idx="53">
                          <c:v>19719.00</c:v>
                        </c:pt>
                      </c:lvl>
                      <c:lvl>
                        <c:pt idx="0">
                          <c:v>2579009.00</c:v>
                        </c:pt>
                        <c:pt idx="1">
                          <c:v>339957.00</c:v>
                        </c:pt>
                        <c:pt idx="2">
                          <c:v>1965717.00</c:v>
                        </c:pt>
                        <c:pt idx="3">
                          <c:v>446914.00</c:v>
                        </c:pt>
                        <c:pt idx="4">
                          <c:v>1847674.00</c:v>
                        </c:pt>
                        <c:pt idx="5">
                          <c:v>5785615.00</c:v>
                        </c:pt>
                        <c:pt idx="6">
                          <c:v>2619052.00</c:v>
                        </c:pt>
                        <c:pt idx="7">
                          <c:v>2387295.00</c:v>
                        </c:pt>
                        <c:pt idx="8">
                          <c:v>2473487.00</c:v>
                        </c:pt>
                        <c:pt idx="9">
                          <c:v>2372163.00</c:v>
                        </c:pt>
                        <c:pt idx="10">
                          <c:v>3208380.00</c:v>
                        </c:pt>
                        <c:pt idx="11">
                          <c:v>940015.00</c:v>
                        </c:pt>
                        <c:pt idx="12">
                          <c:v>2660932.00</c:v>
                        </c:pt>
                        <c:pt idx="13">
                          <c:v>566707.00</c:v>
                        </c:pt>
                        <c:pt idx="14">
                          <c:v>2900664.00</c:v>
                        </c:pt>
                        <c:pt idx="15">
                          <c:v>421128.00</c:v>
                        </c:pt>
                        <c:pt idx="16">
                          <c:v>1749517.00</c:v>
                        </c:pt>
                        <c:pt idx="17">
                          <c:v>988766.00</c:v>
                        </c:pt>
                        <c:pt idx="18">
                          <c:v>3150143.00</c:v>
                        </c:pt>
                        <c:pt idx="19">
                          <c:v>400068.00</c:v>
                        </c:pt>
                        <c:pt idx="20">
                          <c:v>453994.00</c:v>
                        </c:pt>
                        <c:pt idx="21">
                          <c:v>883076.00</c:v>
                        </c:pt>
                        <c:pt idx="22">
                          <c:v>1119219.00</c:v>
                        </c:pt>
                        <c:pt idx="23">
                          <c:v>1484672.00</c:v>
                        </c:pt>
                        <c:pt idx="24">
                          <c:v>5129789.00</c:v>
                        </c:pt>
                        <c:pt idx="25">
                          <c:v>2293405.00</c:v>
                        </c:pt>
                        <c:pt idx="26">
                          <c:v>2256693.00</c:v>
                        </c:pt>
                        <c:pt idx="27">
                          <c:v>3817798.00</c:v>
                        </c:pt>
                        <c:pt idx="28">
                          <c:v>1337947.00</c:v>
                        </c:pt>
                        <c:pt idx="29">
                          <c:v>2445299.00</c:v>
                        </c:pt>
                        <c:pt idx="30">
                          <c:v>2277697.00</c:v>
                        </c:pt>
                        <c:pt idx="31">
                          <c:v>6780422.00</c:v>
                        </c:pt>
                        <c:pt idx="32">
                          <c:v>1892392.00</c:v>
                        </c:pt>
                        <c:pt idx="33">
                          <c:v>2139059.00</c:v>
                        </c:pt>
                        <c:pt idx="34">
                          <c:v>2034248.00</c:v>
                        </c:pt>
                        <c:pt idx="35">
                          <c:v>3494242.00</c:v>
                        </c:pt>
                        <c:pt idx="36">
                          <c:v>2300242.00</c:v>
                        </c:pt>
                        <c:pt idx="37">
                          <c:v>1917110.00</c:v>
                        </c:pt>
                        <c:pt idx="38">
                          <c:v>3483909.00</c:v>
                        </c:pt>
                        <c:pt idx="39">
                          <c:v>2706368.00</c:v>
                        </c:pt>
                        <c:pt idx="40">
                          <c:v>1411717.00</c:v>
                        </c:pt>
                        <c:pt idx="41">
                          <c:v>2455195.00</c:v>
                        </c:pt>
                        <c:pt idx="42">
                          <c:v>4942868.00</c:v>
                        </c:pt>
                        <c:pt idx="43">
                          <c:v>2951349.00</c:v>
                        </c:pt>
                        <c:pt idx="44">
                          <c:v>1675369.00</c:v>
                        </c:pt>
                        <c:pt idx="45">
                          <c:v>2622280.00</c:v>
                        </c:pt>
                        <c:pt idx="46">
                          <c:v>2774150.00</c:v>
                        </c:pt>
                        <c:pt idx="47">
                          <c:v>2146674.00</c:v>
                        </c:pt>
                        <c:pt idx="48">
                          <c:v>4628087.00</c:v>
                        </c:pt>
                        <c:pt idx="49">
                          <c:v>6084981.00</c:v>
                        </c:pt>
                        <c:pt idx="50">
                          <c:v>8917138.00</c:v>
                        </c:pt>
                        <c:pt idx="51">
                          <c:v>3333954.00</c:v>
                        </c:pt>
                        <c:pt idx="52">
                          <c:v>5439422.00</c:v>
                        </c:pt>
                        <c:pt idx="53">
                          <c:v>8112213.00</c:v>
                        </c:pt>
                      </c:lvl>
                      <c:lvl>
                        <c:pt idx="0">
                          <c:v>130518718.00</c:v>
                        </c:pt>
                        <c:pt idx="1">
                          <c:v>8880900.00</c:v>
                        </c:pt>
                        <c:pt idx="2">
                          <c:v>62264600.00</c:v>
                        </c:pt>
                        <c:pt idx="3">
                          <c:v>11011863.00</c:v>
                        </c:pt>
                        <c:pt idx="4">
                          <c:v>86411166.00</c:v>
                        </c:pt>
                        <c:pt idx="5">
                          <c:v>679847266.00</c:v>
                        </c:pt>
                        <c:pt idx="6">
                          <c:v>111478886.00</c:v>
                        </c:pt>
                        <c:pt idx="7">
                          <c:v>70103357.00</c:v>
                        </c:pt>
                        <c:pt idx="8">
                          <c:v>128541828.00</c:v>
                        </c:pt>
                        <c:pt idx="9">
                          <c:v>85713424.00</c:v>
                        </c:pt>
                        <c:pt idx="10">
                          <c:v>158846200.00</c:v>
                        </c:pt>
                        <c:pt idx="11">
                          <c:v>19230719.00</c:v>
                        </c:pt>
                        <c:pt idx="12">
                          <c:v>128893992.00</c:v>
                        </c:pt>
                        <c:pt idx="13">
                          <c:v>18371605.00</c:v>
                        </c:pt>
                        <c:pt idx="14">
                          <c:v>140045451.00</c:v>
                        </c:pt>
                        <c:pt idx="15">
                          <c:v>15670322.00</c:v>
                        </c:pt>
                        <c:pt idx="16">
                          <c:v>126420335.00</c:v>
                        </c:pt>
                        <c:pt idx="17">
                          <c:v>26738846.00</c:v>
                        </c:pt>
                        <c:pt idx="18">
                          <c:v>153266977.00</c:v>
                        </c:pt>
                        <c:pt idx="19">
                          <c:v>18460027.00</c:v>
                        </c:pt>
                        <c:pt idx="20">
                          <c:v>16947694.00</c:v>
                        </c:pt>
                        <c:pt idx="21">
                          <c:v>37162928.00</c:v>
                        </c:pt>
                        <c:pt idx="22">
                          <c:v>41717130.00</c:v>
                        </c:pt>
                        <c:pt idx="23">
                          <c:v>51790997.00</c:v>
                        </c:pt>
                        <c:pt idx="24">
                          <c:v>230044635.00</c:v>
                        </c:pt>
                        <c:pt idx="25">
                          <c:v>87493049.00</c:v>
                        </c:pt>
                        <c:pt idx="26">
                          <c:v>112979930.00</c:v>
                        </c:pt>
                        <c:pt idx="27">
                          <c:v>174949490.00</c:v>
                        </c:pt>
                        <c:pt idx="28">
                          <c:v>63292424.00</c:v>
                        </c:pt>
                        <c:pt idx="29">
                          <c:v>109837392.00</c:v>
                        </c:pt>
                        <c:pt idx="30">
                          <c:v>127897654.00</c:v>
                        </c:pt>
                        <c:pt idx="31">
                          <c:v>1220368372.00</c:v>
                        </c:pt>
                        <c:pt idx="32">
                          <c:v>99528244.00</c:v>
                        </c:pt>
                        <c:pt idx="33">
                          <c:v>131784458.00</c:v>
                        </c:pt>
                        <c:pt idx="34">
                          <c:v>103677747.00</c:v>
                        </c:pt>
                        <c:pt idx="35">
                          <c:v>634740319.00</c:v>
                        </c:pt>
                        <c:pt idx="36">
                          <c:v>90026599.00</c:v>
                        </c:pt>
                        <c:pt idx="37">
                          <c:v>97020419.00</c:v>
                        </c:pt>
                        <c:pt idx="38">
                          <c:v>320768587.00</c:v>
                        </c:pt>
                        <c:pt idx="39">
                          <c:v>354422379.00</c:v>
                        </c:pt>
                        <c:pt idx="40">
                          <c:v>127697094.00</c:v>
                        </c:pt>
                        <c:pt idx="41">
                          <c:v>146632610.00</c:v>
                        </c:pt>
                        <c:pt idx="42">
                          <c:v>362606510.00</c:v>
                        </c:pt>
                        <c:pt idx="43">
                          <c:v>325367332.00</c:v>
                        </c:pt>
                        <c:pt idx="44">
                          <c:v>125911907.00</c:v>
                        </c:pt>
                        <c:pt idx="45">
                          <c:v>180628523.00</c:v>
                        </c:pt>
                        <c:pt idx="46">
                          <c:v>156925389.00</c:v>
                        </c:pt>
                        <c:pt idx="47">
                          <c:v>318642383.00</c:v>
                        </c:pt>
                        <c:pt idx="48">
                          <c:v>336785327.00</c:v>
                        </c:pt>
                        <c:pt idx="49">
                          <c:v>491669636.00</c:v>
                        </c:pt>
                        <c:pt idx="50">
                          <c:v>1150823786.00</c:v>
                        </c:pt>
                        <c:pt idx="51">
                          <c:v>706173056.00</c:v>
                        </c:pt>
                        <c:pt idx="52">
                          <c:v>574352236.00</c:v>
                        </c:pt>
                        <c:pt idx="53">
                          <c:v>675992847.00</c:v>
                        </c:pt>
                      </c:lvl>
                      <c:lvl>
                        <c:pt idx="0">
                          <c:v>02-05-2026</c:v>
                        </c:pt>
                        <c:pt idx="1">
                          <c:v>12-06-2026</c:v>
                        </c:pt>
                        <c:pt idx="2">
                          <c:v>13-06-2026</c:v>
                        </c:pt>
                        <c:pt idx="3">
                          <c:v>17-06-2026</c:v>
                        </c:pt>
                        <c:pt idx="4">
                          <c:v>16-05-2026</c:v>
                        </c:pt>
                        <c:pt idx="5">
                          <c:v>07-05-2026</c:v>
                        </c:pt>
                        <c:pt idx="6">
                          <c:v>04-04-2026</c:v>
                        </c:pt>
                        <c:pt idx="7">
                          <c:v>21-02-2026</c:v>
                        </c:pt>
                        <c:pt idx="8">
                          <c:v>07-03-2026</c:v>
                        </c:pt>
                        <c:pt idx="9">
                          <c:v>30-05-2026</c:v>
                        </c:pt>
                        <c:pt idx="10">
                          <c:v>18-04-2026</c:v>
                        </c:pt>
                        <c:pt idx="11">
                          <c:v>10-03-2026</c:v>
                        </c:pt>
                        <c:pt idx="12">
                          <c:v>07-01-2026</c:v>
                        </c:pt>
                        <c:pt idx="13">
                          <c:v>28-04-2026</c:v>
                        </c:pt>
                        <c:pt idx="14">
                          <c:v>21-03-2026</c:v>
                        </c:pt>
                        <c:pt idx="15">
                          <c:v>03-05-2026</c:v>
                        </c:pt>
                        <c:pt idx="16">
                          <c:v>07-02-2026</c:v>
                        </c:pt>
                        <c:pt idx="17">
                          <c:v>22-02-2026</c:v>
                        </c:pt>
                        <c:pt idx="18">
                          <c:v>24-01-2026</c:v>
                        </c:pt>
                        <c:pt idx="19">
                          <c:v>27-04-2026</c:v>
                        </c:pt>
                        <c:pt idx="20">
                          <c:v>02-04-2026</c:v>
                        </c:pt>
                        <c:pt idx="21">
                          <c:v>16-01-2026</c:v>
                        </c:pt>
                        <c:pt idx="22">
                          <c:v>26-03-2026</c:v>
                        </c:pt>
                        <c:pt idx="23">
                          <c:v>07-04-2026</c:v>
                        </c:pt>
                        <c:pt idx="24">
                          <c:v>29-05-2026</c:v>
                        </c:pt>
                        <c:pt idx="25">
                          <c:v>13-03-2026</c:v>
                        </c:pt>
                        <c:pt idx="26">
                          <c:v>14-06-2026</c:v>
                        </c:pt>
                        <c:pt idx="27">
                          <c:v>25-01-2026</c:v>
                        </c:pt>
                        <c:pt idx="28">
                          <c:v>29-04-2026</c:v>
                        </c:pt>
                        <c:pt idx="29">
                          <c:v>12-02-2026</c:v>
                        </c:pt>
                        <c:pt idx="30">
                          <c:v>20-03-2026</c:v>
                        </c:pt>
                        <c:pt idx="31">
                          <c:v>13-01-2026</c:v>
                        </c:pt>
                        <c:pt idx="32">
                          <c:v>17-03-2026</c:v>
                        </c:pt>
                        <c:pt idx="33">
                          <c:v>21-04-2026</c:v>
                        </c:pt>
                        <c:pt idx="34">
                          <c:v>09-01-2026</c:v>
                        </c:pt>
                        <c:pt idx="35">
                          <c:v>15-05-2026</c:v>
                        </c:pt>
                        <c:pt idx="36">
                          <c:v>06-03-2026</c:v>
                        </c:pt>
                        <c:pt idx="37">
                          <c:v>14-04-2026</c:v>
                        </c:pt>
                        <c:pt idx="38">
                          <c:v>22-05-2026</c:v>
                        </c:pt>
                        <c:pt idx="39">
                          <c:v>19-05-2026</c:v>
                        </c:pt>
                        <c:pt idx="40">
                          <c:v>24-04-2026</c:v>
                        </c:pt>
                        <c:pt idx="41">
                          <c:v>10-04-2026</c:v>
                        </c:pt>
                        <c:pt idx="42">
                          <c:v>09-02-2026</c:v>
                        </c:pt>
                        <c:pt idx="43">
                          <c:v>28-02-2026</c:v>
                        </c:pt>
                        <c:pt idx="44">
                          <c:v>18-02-2026</c:v>
                        </c:pt>
                        <c:pt idx="45">
                          <c:v>17-04-2026</c:v>
                        </c:pt>
                        <c:pt idx="46">
                          <c:v>06-02-2026</c:v>
                        </c:pt>
                        <c:pt idx="47">
                          <c:v>17-05-2026</c:v>
                        </c:pt>
                        <c:pt idx="48">
                          <c:v>12-05-2026</c:v>
                        </c:pt>
                        <c:pt idx="49">
                          <c:v>06-01-2026</c:v>
                        </c:pt>
                        <c:pt idx="50">
                          <c:v>27-01-2026</c:v>
                        </c:pt>
                        <c:pt idx="51">
                          <c:v>01-04-2026</c:v>
                        </c:pt>
                        <c:pt idx="52">
                          <c:v>05-05-2026</c:v>
                        </c:pt>
                        <c:pt idx="53">
                          <c:v>03-04-2026</c:v>
                        </c:pt>
                      </c:lvl>
                      <c:lvl>
                        <c:pt idx="0">
                          <c:v>I Stranded 100 People In The Wilderness For $250,000</c:v>
                        </c:pt>
                        <c:pt idx="1">
                          <c:v>POV: You Time Traveled Back to 2016</c:v>
                        </c:pt>
                        <c:pt idx="2">
                          <c:v>50 YouTube Legends Fight For $1,000,000</c:v>
                        </c:pt>
                        <c:pt idx="3">
                          <c:v>We Made Make-A-Wish Kidsâ€™ Dreams Come True</c:v>
                        </c:pt>
                        <c:pt idx="4">
                          <c:v>Survive 30 Days On An Island With Your Ex, Win $250,000</c:v>
                        </c:pt>
                        <c:pt idx="5">
                          <c:v>Iâ€™m Granting Wishes For My Subscribers</c:v>
                        </c:pt>
                        <c:pt idx="6">
                          <c:v>50 Streamers Fight for $1,000,000</c:v>
                        </c:pt>
                        <c:pt idx="7">
                          <c:v>I Built 10 Schools Around The World</c:v>
                        </c:pt>
                        <c:pt idx="8">
                          <c:v>Survive 30 Days Stranded With Your Ex, Win $250,000</c:v>
                        </c:pt>
                        <c:pt idx="9">
                          <c:v>7 Days Stranded in The Arctic</c:v>
                        </c:pt>
                        <c:pt idx="10">
                          <c:v>Last To Leave Grocery Store, Wins $250,000</c:v>
                        </c:pt>
                        <c:pt idx="11">
                          <c:v>My Chocolate Factory Blew Up</c:v>
                        </c:pt>
                        <c:pt idx="12">
                          <c:v>30 Celebrities Fight For $1,000,000!</c:v>
                        </c:pt>
                        <c:pt idx="13">
                          <c:v>Important Announcement From The Grocery Store</c:v>
                        </c:pt>
                        <c:pt idx="14">
                          <c:v>Trapped On An Island Until I Build A Boat</c:v>
                        </c:pt>
                        <c:pt idx="15">
                          <c:v>Asking My FiancÃ©e on a Date</c:v>
                        </c:pt>
                        <c:pt idx="16">
                          <c:v>Ages 1 - 100 Race For $250,000!</c:v>
                        </c:pt>
                        <c:pt idx="17">
                          <c:v>I Built a School in Mexico</c:v>
                        </c:pt>
                        <c:pt idx="18">
                          <c:v>$1 vs $1,000,000,000 Futuristic Tech!</c:v>
                        </c:pt>
                        <c:pt idx="19">
                          <c:v>Can My FiancÃ©e Lift Me?</c:v>
                        </c:pt>
                        <c:pt idx="20">
                          <c:v>Spreading Rumors About Streamers</c:v>
                        </c:pt>
                        <c:pt idx="21">
                          <c:v>Survivor vs Beast Games</c:v>
                        </c:pt>
                        <c:pt idx="22">
                          <c:v>Bring Me A Glass Of Water = Win $10,000</c:v>
                        </c:pt>
                        <c:pt idx="23">
                          <c:v>$1 or Mystery Vial?</c:v>
                        </c:pt>
                        <c:pt idx="24">
                          <c:v>I Surprised a Random Subscriber With $10,000</c:v>
                        </c:pt>
                        <c:pt idx="25">
                          <c:v>5 Strangers Split $100,000</c:v>
                        </c:pt>
                        <c:pt idx="26">
                          <c:v>Guess The Youtuber = Win $1,000</c:v>
                        </c:pt>
                        <c:pt idx="27">
                          <c:v>Wait... Was He Famous?</c:v>
                        </c:pt>
                        <c:pt idx="28">
                          <c:v>Would Your Dog Pick $10,000 or Steak?</c:v>
                        </c:pt>
                        <c:pt idx="29">
                          <c:v>Surprising My FiancÃ©e With A Chocolate Heart</c:v>
                        </c:pt>
                        <c:pt idx="30">
                          <c:v>I Hid $1,000,000 In This Vault</c:v>
                        </c:pt>
                        <c:pt idx="31">
                          <c:v>Subscribe for an iPhone</c:v>
                        </c:pt>
                        <c:pt idx="32">
                          <c:v>Pop The Balloons, Win $10,000</c:v>
                        </c:pt>
                        <c:pt idx="33">
                          <c:v>Winner Picks Our Honeymoon</c:v>
                        </c:pt>
                        <c:pt idx="34">
                          <c:v>Pass the Phone</c:v>
                        </c:pt>
                        <c:pt idx="35">
                          <c:v>Hit The Button, Win $1,000</c:v>
                        </c:pt>
                        <c:pt idx="36">
                          <c:v>Would You Steal Money From A Stranger?</c:v>
                        </c:pt>
                        <c:pt idx="37">
                          <c:v>Can a Window Stop a Wrecking Ball?</c:v>
                        </c:pt>
                        <c:pt idx="38">
                          <c:v>YouTube CEO Has A Surprise For Me</c:v>
                        </c:pt>
                        <c:pt idx="39">
                          <c:v>Every Youtube Play Button</c:v>
                        </c:pt>
                        <c:pt idx="40">
                          <c:v>Try Not To Get Slimed</c:v>
                        </c:pt>
                        <c:pt idx="41">
                          <c:v>Donâ€™t Eat The Spicy Yoshi Egg</c:v>
                        </c:pt>
                        <c:pt idx="42">
                          <c:v>Guess What Age Punched You</c:v>
                        </c:pt>
                        <c:pt idx="43">
                          <c:v>Subscribe, Iâ€™ll Double Your Bank Account</c:v>
                        </c:pt>
                        <c:pt idx="44">
                          <c:v>Every Step You Take, Win $1,000</c:v>
                        </c:pt>
                        <c:pt idx="45">
                          <c:v>Guess The Animal</c:v>
                        </c:pt>
                        <c:pt idx="46">
                          <c:v>Is Being Smart or Strong Better?</c:v>
                        </c:pt>
                        <c:pt idx="47">
                          <c:v>Can He Make This Shot?</c:v>
                        </c:pt>
                        <c:pt idx="48">
                          <c:v>World's Fastest Date</c:v>
                        </c:pt>
                        <c:pt idx="49">
                          <c:v>Guess the Animal</c:v>
                        </c:pt>
                        <c:pt idx="50">
                          <c:v>Flip a Coin, Win $30,000</c:v>
                        </c:pt>
                        <c:pt idx="51">
                          <c:v>Will a Zebra Subscribe to me?</c:v>
                        </c:pt>
                        <c:pt idx="52">
                          <c:v>Guess The Animal</c:v>
                        </c:pt>
                        <c:pt idx="53">
                          <c:v>Who's The Strongest Streamer?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MrBeast_Cleaned_Dataset!$L$2:$L$988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0.79714349645635973</c:v>
                      </c:pt>
                      <c:pt idx="1">
                        <c:v>0.78706572513800499</c:v>
                      </c:pt>
                      <c:pt idx="2">
                        <c:v>0.72704090035988633</c:v>
                      </c:pt>
                      <c:pt idx="3">
                        <c:v>0.72265121350257955</c:v>
                      </c:pt>
                      <c:pt idx="4">
                        <c:v>0.72270191354785762</c:v>
                      </c:pt>
                      <c:pt idx="5">
                        <c:v>0.7156907440671999</c:v>
                      </c:pt>
                      <c:pt idx="6">
                        <c:v>0.70210052755129615</c:v>
                      </c:pt>
                      <c:pt idx="7">
                        <c:v>0.68208295222329696</c:v>
                      </c:pt>
                      <c:pt idx="8">
                        <c:v>0.64899533102034701</c:v>
                      </c:pt>
                      <c:pt idx="9">
                        <c:v>0.64798550323296333</c:v>
                      </c:pt>
                      <c:pt idx="10">
                        <c:v>0.64248344572851035</c:v>
                      </c:pt>
                      <c:pt idx="11">
                        <c:v>0.64214446793166624</c:v>
                      </c:pt>
                      <c:pt idx="12">
                        <c:v>0.6400376863085161</c:v>
                      </c:pt>
                      <c:pt idx="13">
                        <c:v>0.64017847536623651</c:v>
                      </c:pt>
                      <c:pt idx="14">
                        <c:v>0.63945648007496825</c:v>
                      </c:pt>
                      <c:pt idx="15">
                        <c:v>0.61136231213375425</c:v>
                      </c:pt>
                      <c:pt idx="16">
                        <c:v>0.60647386812074877</c:v>
                      </c:pt>
                      <c:pt idx="17">
                        <c:v>0.59210875066457058</c:v>
                      </c:pt>
                      <c:pt idx="18">
                        <c:v>0.59021513512180157</c:v>
                      </c:pt>
                      <c:pt idx="19">
                        <c:v>0.78343633240335042</c:v>
                      </c:pt>
                      <c:pt idx="20">
                        <c:v>0.79243092847879049</c:v>
                      </c:pt>
                      <c:pt idx="21">
                        <c:v>0.79643375943870498</c:v>
                      </c:pt>
                      <c:pt idx="22">
                        <c:v>0.80411742033128852</c:v>
                      </c:pt>
                      <c:pt idx="23">
                        <c:v>0.80400677244271679</c:v>
                      </c:pt>
                      <c:pt idx="24">
                        <c:v>0.80432610599297694</c:v>
                      </c:pt>
                      <c:pt idx="25">
                        <c:v>0.80470610509125207</c:v>
                      </c:pt>
                      <c:pt idx="26">
                        <c:v>0.80512825732162119</c:v>
                      </c:pt>
                      <c:pt idx="27">
                        <c:v>0.80511491609161001</c:v>
                      </c:pt>
                      <c:pt idx="28">
                        <c:v>0.80532343145881091</c:v>
                      </c:pt>
                      <c:pt idx="29">
                        <c:v>0.80514500616061313</c:v>
                      </c:pt>
                      <c:pt idx="30">
                        <c:v>0.81498917904855683</c:v>
                      </c:pt>
                      <c:pt idx="31">
                        <c:v>0.81635353700077096</c:v>
                      </c:pt>
                      <c:pt idx="32">
                        <c:v>0.82857826872410567</c:v>
                      </c:pt>
                      <c:pt idx="33">
                        <c:v>0.83088643187386513</c:v>
                      </c:pt>
                      <c:pt idx="34">
                        <c:v>0.83101513573564378</c:v>
                      </c:pt>
                      <c:pt idx="35">
                        <c:v>0.83192350907903956</c:v>
                      </c:pt>
                      <c:pt idx="36">
                        <c:v>0.84599309181980864</c:v>
                      </c:pt>
                      <c:pt idx="37">
                        <c:v>0.84864408291766047</c:v>
                      </c:pt>
                      <c:pt idx="38">
                        <c:v>0.84863876433791707</c:v>
                      </c:pt>
                      <c:pt idx="39">
                        <c:v>0.84529940067285902</c:v>
                      </c:pt>
                      <c:pt idx="40">
                        <c:v>0.87503183423888142</c:v>
                      </c:pt>
                      <c:pt idx="41">
                        <c:v>0.87675530260013312</c:v>
                      </c:pt>
                      <c:pt idx="42">
                        <c:v>0.88584562769427111</c:v>
                      </c:pt>
                      <c:pt idx="43">
                        <c:v>0.9039211970323906</c:v>
                      </c:pt>
                      <c:pt idx="44">
                        <c:v>0.91236122444480094</c:v>
                      </c:pt>
                      <c:pt idx="45">
                        <c:v>0.9222702037489614</c:v>
                      </c:pt>
                      <c:pt idx="46">
                        <c:v>0.94059504007134975</c:v>
                      </c:pt>
                      <c:pt idx="47">
                        <c:v>0.94690552320082699</c:v>
                      </c:pt>
                      <c:pt idx="48">
                        <c:v>0.94716442528910416</c:v>
                      </c:pt>
                      <c:pt idx="49">
                        <c:v>0.94900414671878197</c:v>
                      </c:pt>
                      <c:pt idx="50">
                        <c:v>0.95333767429584826</c:v>
                      </c:pt>
                      <c:pt idx="51">
                        <c:v>0.92146330533932097</c:v>
                      </c:pt>
                      <c:pt idx="52">
                        <c:v>0.98692234746489871</c:v>
                      </c:pt>
                      <c:pt idx="53">
                        <c:v>0.9926028595202635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F7F-4E5A-BF54-E24540A37BE9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MrBeast_Cleaned_Dataset!$A$2:$H$988</c15:sqref>
                        </c15:formulaRef>
                      </c:ext>
                    </c:extLst>
                    <c:multiLvlStrCache>
                      <c:ptCount val="54"/>
                      <c:lvl>
                        <c:pt idx="0">
                          <c:v>Saturday</c:v>
                        </c:pt>
                        <c:pt idx="1">
                          <c:v>Friday</c:v>
                        </c:pt>
                        <c:pt idx="2">
                          <c:v>Saturday</c:v>
                        </c:pt>
                        <c:pt idx="3">
                          <c:v>Wednesday</c:v>
                        </c:pt>
                        <c:pt idx="4">
                          <c:v>Saturday</c:v>
                        </c:pt>
                        <c:pt idx="5">
                          <c:v>Thursday</c:v>
                        </c:pt>
                        <c:pt idx="6">
                          <c:v>Saturday</c:v>
                        </c:pt>
                        <c:pt idx="7">
                          <c:v>Saturday</c:v>
                        </c:pt>
                        <c:pt idx="8">
                          <c:v>Saturday</c:v>
                        </c:pt>
                        <c:pt idx="9">
                          <c:v>Saturday</c:v>
                        </c:pt>
                        <c:pt idx="10">
                          <c:v>Saturday</c:v>
                        </c:pt>
                        <c:pt idx="11">
                          <c:v>Tuesday</c:v>
                        </c:pt>
                        <c:pt idx="12">
                          <c:v>Wednesday</c:v>
                        </c:pt>
                        <c:pt idx="13">
                          <c:v>Tuesday</c:v>
                        </c:pt>
                        <c:pt idx="14">
                          <c:v>Saturday</c:v>
                        </c:pt>
                        <c:pt idx="15">
                          <c:v>Sunday</c:v>
                        </c:pt>
                        <c:pt idx="16">
                          <c:v>Saturday</c:v>
                        </c:pt>
                        <c:pt idx="17">
                          <c:v>Sunday</c:v>
                        </c:pt>
                        <c:pt idx="18">
                          <c:v>Saturday</c:v>
                        </c:pt>
                        <c:pt idx="19">
                          <c:v>Monday</c:v>
                        </c:pt>
                        <c:pt idx="20">
                          <c:v>Thursday</c:v>
                        </c:pt>
                        <c:pt idx="21">
                          <c:v>Friday</c:v>
                        </c:pt>
                        <c:pt idx="22">
                          <c:v>Thursday</c:v>
                        </c:pt>
                        <c:pt idx="23">
                          <c:v>Tuesday</c:v>
                        </c:pt>
                        <c:pt idx="24">
                          <c:v>Friday</c:v>
                        </c:pt>
                        <c:pt idx="25">
                          <c:v>Friday</c:v>
                        </c:pt>
                        <c:pt idx="26">
                          <c:v>Sunday</c:v>
                        </c:pt>
                        <c:pt idx="27">
                          <c:v>Sunday</c:v>
                        </c:pt>
                        <c:pt idx="28">
                          <c:v>Wednesday</c:v>
                        </c:pt>
                        <c:pt idx="29">
                          <c:v>Thursday</c:v>
                        </c:pt>
                        <c:pt idx="30">
                          <c:v>Friday</c:v>
                        </c:pt>
                        <c:pt idx="31">
                          <c:v>Tuesday</c:v>
                        </c:pt>
                        <c:pt idx="32">
                          <c:v>Tuesday</c:v>
                        </c:pt>
                        <c:pt idx="33">
                          <c:v>Tuesday</c:v>
                        </c:pt>
                        <c:pt idx="34">
                          <c:v>Friday</c:v>
                        </c:pt>
                        <c:pt idx="35">
                          <c:v>Friday</c:v>
                        </c:pt>
                        <c:pt idx="36">
                          <c:v>Friday</c:v>
                        </c:pt>
                        <c:pt idx="37">
                          <c:v>Tuesday</c:v>
                        </c:pt>
                        <c:pt idx="38">
                          <c:v>Friday</c:v>
                        </c:pt>
                        <c:pt idx="39">
                          <c:v>Tuesday</c:v>
                        </c:pt>
                        <c:pt idx="40">
                          <c:v>Friday</c:v>
                        </c:pt>
                        <c:pt idx="41">
                          <c:v>Friday</c:v>
                        </c:pt>
                        <c:pt idx="42">
                          <c:v>Monday</c:v>
                        </c:pt>
                        <c:pt idx="43">
                          <c:v>Saturday</c:v>
                        </c:pt>
                        <c:pt idx="44">
                          <c:v>Wednesday</c:v>
                        </c:pt>
                        <c:pt idx="45">
                          <c:v>Friday</c:v>
                        </c:pt>
                        <c:pt idx="46">
                          <c:v>Friday</c:v>
                        </c:pt>
                        <c:pt idx="47">
                          <c:v>Sunday</c:v>
                        </c:pt>
                        <c:pt idx="48">
                          <c:v>Tuesday</c:v>
                        </c:pt>
                        <c:pt idx="49">
                          <c:v>Tuesday</c:v>
                        </c:pt>
                        <c:pt idx="50">
                          <c:v>Tuesday</c:v>
                        </c:pt>
                        <c:pt idx="51">
                          <c:v>Wednesday</c:v>
                        </c:pt>
                        <c:pt idx="52">
                          <c:v>Tuesday</c:v>
                        </c:pt>
                        <c:pt idx="53">
                          <c:v>Friday</c:v>
                        </c:pt>
                      </c:lvl>
                      <c:lvl>
                        <c:pt idx="0">
                          <c:v>May</c:v>
                        </c:pt>
                        <c:pt idx="1">
                          <c:v>June</c:v>
                        </c:pt>
                        <c:pt idx="2">
                          <c:v>June</c:v>
                        </c:pt>
                        <c:pt idx="3">
                          <c:v>June</c:v>
                        </c:pt>
                        <c:pt idx="4">
                          <c:v>May</c:v>
                        </c:pt>
                        <c:pt idx="5">
                          <c:v>May</c:v>
                        </c:pt>
                        <c:pt idx="6">
                          <c:v>April</c:v>
                        </c:pt>
                        <c:pt idx="7">
                          <c:v>February</c:v>
                        </c:pt>
                        <c:pt idx="8">
                          <c:v>March</c:v>
                        </c:pt>
                        <c:pt idx="9">
                          <c:v>May</c:v>
                        </c:pt>
                        <c:pt idx="10">
                          <c:v>April</c:v>
                        </c:pt>
                        <c:pt idx="11">
                          <c:v>March</c:v>
                        </c:pt>
                        <c:pt idx="12">
                          <c:v>January</c:v>
                        </c:pt>
                        <c:pt idx="13">
                          <c:v>April</c:v>
                        </c:pt>
                        <c:pt idx="14">
                          <c:v>March</c:v>
                        </c:pt>
                        <c:pt idx="15">
                          <c:v>May</c:v>
                        </c:pt>
                        <c:pt idx="16">
                          <c:v>February</c:v>
                        </c:pt>
                        <c:pt idx="17">
                          <c:v>February</c:v>
                        </c:pt>
                        <c:pt idx="18">
                          <c:v>January</c:v>
                        </c:pt>
                        <c:pt idx="19">
                          <c:v>April</c:v>
                        </c:pt>
                        <c:pt idx="20">
                          <c:v>April</c:v>
                        </c:pt>
                        <c:pt idx="21">
                          <c:v>January</c:v>
                        </c:pt>
                        <c:pt idx="22">
                          <c:v>March</c:v>
                        </c:pt>
                        <c:pt idx="23">
                          <c:v>April</c:v>
                        </c:pt>
                        <c:pt idx="24">
                          <c:v>May</c:v>
                        </c:pt>
                        <c:pt idx="25">
                          <c:v>March</c:v>
                        </c:pt>
                        <c:pt idx="26">
                          <c:v>June</c:v>
                        </c:pt>
                        <c:pt idx="27">
                          <c:v>January</c:v>
                        </c:pt>
                        <c:pt idx="28">
                          <c:v>April</c:v>
                        </c:pt>
                        <c:pt idx="29">
                          <c:v>February</c:v>
                        </c:pt>
                        <c:pt idx="30">
                          <c:v>March</c:v>
                        </c:pt>
                        <c:pt idx="31">
                          <c:v>January</c:v>
                        </c:pt>
                        <c:pt idx="32">
                          <c:v>March</c:v>
                        </c:pt>
                        <c:pt idx="33">
                          <c:v>April</c:v>
                        </c:pt>
                        <c:pt idx="34">
                          <c:v>January</c:v>
                        </c:pt>
                        <c:pt idx="35">
                          <c:v>May</c:v>
                        </c:pt>
                        <c:pt idx="36">
                          <c:v>March</c:v>
                        </c:pt>
                        <c:pt idx="37">
                          <c:v>April</c:v>
                        </c:pt>
                        <c:pt idx="38">
                          <c:v>May</c:v>
                        </c:pt>
                        <c:pt idx="39">
                          <c:v>May</c:v>
                        </c:pt>
                        <c:pt idx="40">
                          <c:v>April</c:v>
                        </c:pt>
                        <c:pt idx="41">
                          <c:v>April</c:v>
                        </c:pt>
                        <c:pt idx="42">
                          <c:v>February</c:v>
                        </c:pt>
                        <c:pt idx="43">
                          <c:v>February</c:v>
                        </c:pt>
                        <c:pt idx="44">
                          <c:v>February</c:v>
                        </c:pt>
                        <c:pt idx="45">
                          <c:v>April</c:v>
                        </c:pt>
                        <c:pt idx="46">
                          <c:v>February</c:v>
                        </c:pt>
                        <c:pt idx="47">
                          <c:v>May</c:v>
                        </c:pt>
                        <c:pt idx="48">
                          <c:v>May</c:v>
                        </c:pt>
                        <c:pt idx="49">
                          <c:v>January</c:v>
                        </c:pt>
                        <c:pt idx="50">
                          <c:v>January</c:v>
                        </c:pt>
                        <c:pt idx="51">
                          <c:v>April</c:v>
                        </c:pt>
                        <c:pt idx="52">
                          <c:v>May</c:v>
                        </c:pt>
                        <c:pt idx="53">
                          <c:v>April</c:v>
                        </c:pt>
                      </c:lvl>
                      <c:lvl>
                        <c:pt idx="0">
                          <c:v>2026</c:v>
                        </c:pt>
                        <c:pt idx="1">
                          <c:v>2026</c:v>
                        </c:pt>
                        <c:pt idx="2">
                          <c:v>2026</c:v>
                        </c:pt>
                        <c:pt idx="3">
                          <c:v>2026</c:v>
                        </c:pt>
                        <c:pt idx="4">
                          <c:v>2026</c:v>
                        </c:pt>
                        <c:pt idx="5">
                          <c:v>2026</c:v>
                        </c:pt>
                        <c:pt idx="6">
                          <c:v>2026</c:v>
                        </c:pt>
                        <c:pt idx="7">
                          <c:v>2026</c:v>
                        </c:pt>
                        <c:pt idx="8">
                          <c:v>2026</c:v>
                        </c:pt>
                        <c:pt idx="9">
                          <c:v>2026</c:v>
                        </c:pt>
                        <c:pt idx="10">
                          <c:v>2026</c:v>
                        </c:pt>
                        <c:pt idx="11">
                          <c:v>2026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  <c:pt idx="14">
                          <c:v>2026</c:v>
                        </c:pt>
                        <c:pt idx="15">
                          <c:v>2026</c:v>
                        </c:pt>
                        <c:pt idx="16">
                          <c:v>2026</c:v>
                        </c:pt>
                        <c:pt idx="17">
                          <c:v>2026</c:v>
                        </c:pt>
                        <c:pt idx="18">
                          <c:v>2026</c:v>
                        </c:pt>
                        <c:pt idx="19">
                          <c:v>2026</c:v>
                        </c:pt>
                        <c:pt idx="20">
                          <c:v>2026</c:v>
                        </c:pt>
                        <c:pt idx="21">
                          <c:v>2026</c:v>
                        </c:pt>
                        <c:pt idx="22">
                          <c:v>2026</c:v>
                        </c:pt>
                        <c:pt idx="23">
                          <c:v>2026</c:v>
                        </c:pt>
                        <c:pt idx="24">
                          <c:v>2026</c:v>
                        </c:pt>
                        <c:pt idx="25">
                          <c:v>2026</c:v>
                        </c:pt>
                        <c:pt idx="26">
                          <c:v>2026</c:v>
                        </c:pt>
                        <c:pt idx="27">
                          <c:v>2026</c:v>
                        </c:pt>
                        <c:pt idx="28">
                          <c:v>2026</c:v>
                        </c:pt>
                        <c:pt idx="29">
                          <c:v>2026</c:v>
                        </c:pt>
                        <c:pt idx="30">
                          <c:v>2026</c:v>
                        </c:pt>
                        <c:pt idx="31">
                          <c:v>2026</c:v>
                        </c:pt>
                        <c:pt idx="32">
                          <c:v>2026</c:v>
                        </c:pt>
                        <c:pt idx="33">
                          <c:v>2026</c:v>
                        </c:pt>
                        <c:pt idx="34">
                          <c:v>2026</c:v>
                        </c:pt>
                        <c:pt idx="35">
                          <c:v>2026</c:v>
                        </c:pt>
                        <c:pt idx="36">
                          <c:v>2026</c:v>
                        </c:pt>
                        <c:pt idx="37">
                          <c:v>2026</c:v>
                        </c:pt>
                        <c:pt idx="38">
                          <c:v>2026</c:v>
                        </c:pt>
                        <c:pt idx="39">
                          <c:v>2026</c:v>
                        </c:pt>
                        <c:pt idx="40">
                          <c:v>2026</c:v>
                        </c:pt>
                        <c:pt idx="41">
                          <c:v>2026</c:v>
                        </c:pt>
                        <c:pt idx="42">
                          <c:v>2026</c:v>
                        </c:pt>
                        <c:pt idx="43">
                          <c:v>2026</c:v>
                        </c:pt>
                        <c:pt idx="44">
                          <c:v>2026</c:v>
                        </c:pt>
                        <c:pt idx="45">
                          <c:v>2026</c:v>
                        </c:pt>
                        <c:pt idx="46">
                          <c:v>2026</c:v>
                        </c:pt>
                        <c:pt idx="47">
                          <c:v>2026</c:v>
                        </c:pt>
                        <c:pt idx="48">
                          <c:v>2026</c:v>
                        </c:pt>
                        <c:pt idx="49">
                          <c:v>2026</c:v>
                        </c:pt>
                        <c:pt idx="50">
                          <c:v>2026</c:v>
                        </c:pt>
                        <c:pt idx="51">
                          <c:v>2026</c:v>
                        </c:pt>
                        <c:pt idx="52">
                          <c:v>2026</c:v>
                        </c:pt>
                        <c:pt idx="53">
                          <c:v>2026</c:v>
                        </c:pt>
                      </c:lvl>
                      <c:lvl>
                        <c:pt idx="0">
                          <c:v>1399899.00</c:v>
                        </c:pt>
                        <c:pt idx="1">
                          <c:v>19736.00</c:v>
                        </c:pt>
                        <c:pt idx="2">
                          <c:v>131250.00</c:v>
                        </c:pt>
                        <c:pt idx="3">
                          <c:v>17767.00</c:v>
                        </c:pt>
                        <c:pt idx="4">
                          <c:v>136619.00</c:v>
                        </c:pt>
                        <c:pt idx="5">
                          <c:v>1054577.00</c:v>
                        </c:pt>
                        <c:pt idx="6">
                          <c:v>171141.00</c:v>
                        </c:pt>
                        <c:pt idx="7">
                          <c:v>96244.00</c:v>
                        </c:pt>
                        <c:pt idx="8">
                          <c:v>151158.00</c:v>
                        </c:pt>
                        <c:pt idx="9">
                          <c:v>97537.00</c:v>
                        </c:pt>
                        <c:pt idx="10">
                          <c:v>168813.00</c:v>
                        </c:pt>
                        <c:pt idx="11">
                          <c:v>20005.00</c:v>
                        </c:pt>
                        <c:pt idx="12">
                          <c:v>119334.00</c:v>
                        </c:pt>
                        <c:pt idx="13">
                          <c:v>16318.00</c:v>
                        </c:pt>
                        <c:pt idx="14">
                          <c:v>118253.00</c:v>
                        </c:pt>
                        <c:pt idx="15">
                          <c:v>12014.00</c:v>
                        </c:pt>
                        <c:pt idx="16">
                          <c:v>86987.00</c:v>
                        </c:pt>
                        <c:pt idx="17">
                          <c:v>16175.00</c:v>
                        </c:pt>
                        <c:pt idx="18">
                          <c:v>90178.00</c:v>
                        </c:pt>
                        <c:pt idx="19">
                          <c:v>8907.00</c:v>
                        </c:pt>
                        <c:pt idx="20">
                          <c:v>8025.00</c:v>
                        </c:pt>
                        <c:pt idx="21">
                          <c:v>14509.00</c:v>
                        </c:pt>
                        <c:pt idx="22">
                          <c:v>15004.00</c:v>
                        </c:pt>
                        <c:pt idx="23">
                          <c:v>14905.00</c:v>
                        </c:pt>
                        <c:pt idx="24">
                          <c:v>61502.00</c:v>
                        </c:pt>
                        <c:pt idx="25">
                          <c:v>21677.00</c:v>
                        </c:pt>
                        <c:pt idx="26">
                          <c:v>21554.00</c:v>
                        </c:pt>
                        <c:pt idx="27">
                          <c:v>33150.00</c:v>
                        </c:pt>
                        <c:pt idx="28">
                          <c:v>11721.00</c:v>
                        </c:pt>
                        <c:pt idx="29">
                          <c:v>17851.00</c:v>
                        </c:pt>
                        <c:pt idx="30">
                          <c:v>19695.00</c:v>
                        </c:pt>
                        <c:pt idx="31">
                          <c:v>180100.00</c:v>
                        </c:pt>
                        <c:pt idx="32">
                          <c:v>13433.00</c:v>
                        </c:pt>
                        <c:pt idx="33">
                          <c:v>17718.00</c:v>
                        </c:pt>
                        <c:pt idx="34">
                          <c:v>13834.00</c:v>
                        </c:pt>
                        <c:pt idx="35">
                          <c:v>83407.00</c:v>
                        </c:pt>
                        <c:pt idx="36">
                          <c:v>11347.00</c:v>
                        </c:pt>
                        <c:pt idx="37">
                          <c:v>11908.00</c:v>
                        </c:pt>
                        <c:pt idx="38">
                          <c:v>37637.00</c:v>
                        </c:pt>
                        <c:pt idx="39">
                          <c:v>36624.00</c:v>
                        </c:pt>
                        <c:pt idx="40">
                          <c:v>13039.00</c:v>
                        </c:pt>
                        <c:pt idx="41">
                          <c:v>13495.00</c:v>
                        </c:pt>
                        <c:pt idx="42">
                          <c:v>32337.00</c:v>
                        </c:pt>
                        <c:pt idx="43">
                          <c:v>25039.00</c:v>
                        </c:pt>
                        <c:pt idx="44">
                          <c:v>9317.00</c:v>
                        </c:pt>
                        <c:pt idx="45">
                          <c:v>12214.00</c:v>
                        </c:pt>
                        <c:pt idx="46">
                          <c:v>10434.00</c:v>
                        </c:pt>
                        <c:pt idx="47">
                          <c:v>21083.00</c:v>
                        </c:pt>
                        <c:pt idx="48">
                          <c:v>20137.00</c:v>
                        </c:pt>
                        <c:pt idx="49">
                          <c:v>20065.00</c:v>
                        </c:pt>
                        <c:pt idx="50">
                          <c:v>40603.00</c:v>
                        </c:pt>
                        <c:pt idx="51">
                          <c:v>21756.00</c:v>
                        </c:pt>
                        <c:pt idx="52">
                          <c:v>16883.00</c:v>
                        </c:pt>
                        <c:pt idx="53">
                          <c:v>19719.00</c:v>
                        </c:pt>
                      </c:lvl>
                      <c:lvl>
                        <c:pt idx="0">
                          <c:v>2579009.00</c:v>
                        </c:pt>
                        <c:pt idx="1">
                          <c:v>339957.00</c:v>
                        </c:pt>
                        <c:pt idx="2">
                          <c:v>1965717.00</c:v>
                        </c:pt>
                        <c:pt idx="3">
                          <c:v>446914.00</c:v>
                        </c:pt>
                        <c:pt idx="4">
                          <c:v>1847674.00</c:v>
                        </c:pt>
                        <c:pt idx="5">
                          <c:v>5785615.00</c:v>
                        </c:pt>
                        <c:pt idx="6">
                          <c:v>2619052.00</c:v>
                        </c:pt>
                        <c:pt idx="7">
                          <c:v>2387295.00</c:v>
                        </c:pt>
                        <c:pt idx="8">
                          <c:v>2473487.00</c:v>
                        </c:pt>
                        <c:pt idx="9">
                          <c:v>2372163.00</c:v>
                        </c:pt>
                        <c:pt idx="10">
                          <c:v>3208380.00</c:v>
                        </c:pt>
                        <c:pt idx="11">
                          <c:v>940015.00</c:v>
                        </c:pt>
                        <c:pt idx="12">
                          <c:v>2660932.00</c:v>
                        </c:pt>
                        <c:pt idx="13">
                          <c:v>566707.00</c:v>
                        </c:pt>
                        <c:pt idx="14">
                          <c:v>2900664.00</c:v>
                        </c:pt>
                        <c:pt idx="15">
                          <c:v>421128.00</c:v>
                        </c:pt>
                        <c:pt idx="16">
                          <c:v>1749517.00</c:v>
                        </c:pt>
                        <c:pt idx="17">
                          <c:v>988766.00</c:v>
                        </c:pt>
                        <c:pt idx="18">
                          <c:v>3150143.00</c:v>
                        </c:pt>
                        <c:pt idx="19">
                          <c:v>400068.00</c:v>
                        </c:pt>
                        <c:pt idx="20">
                          <c:v>453994.00</c:v>
                        </c:pt>
                        <c:pt idx="21">
                          <c:v>883076.00</c:v>
                        </c:pt>
                        <c:pt idx="22">
                          <c:v>1119219.00</c:v>
                        </c:pt>
                        <c:pt idx="23">
                          <c:v>1484672.00</c:v>
                        </c:pt>
                        <c:pt idx="24">
                          <c:v>5129789.00</c:v>
                        </c:pt>
                        <c:pt idx="25">
                          <c:v>2293405.00</c:v>
                        </c:pt>
                        <c:pt idx="26">
                          <c:v>2256693.00</c:v>
                        </c:pt>
                        <c:pt idx="27">
                          <c:v>3817798.00</c:v>
                        </c:pt>
                        <c:pt idx="28">
                          <c:v>1337947.00</c:v>
                        </c:pt>
                        <c:pt idx="29">
                          <c:v>2445299.00</c:v>
                        </c:pt>
                        <c:pt idx="30">
                          <c:v>2277697.00</c:v>
                        </c:pt>
                        <c:pt idx="31">
                          <c:v>6780422.00</c:v>
                        </c:pt>
                        <c:pt idx="32">
                          <c:v>1892392.00</c:v>
                        </c:pt>
                        <c:pt idx="33">
                          <c:v>2139059.00</c:v>
                        </c:pt>
                        <c:pt idx="34">
                          <c:v>2034248.00</c:v>
                        </c:pt>
                        <c:pt idx="35">
                          <c:v>3494242.00</c:v>
                        </c:pt>
                        <c:pt idx="36">
                          <c:v>2300242.00</c:v>
                        </c:pt>
                        <c:pt idx="37">
                          <c:v>1917110.00</c:v>
                        </c:pt>
                        <c:pt idx="38">
                          <c:v>3483909.00</c:v>
                        </c:pt>
                        <c:pt idx="39">
                          <c:v>2706368.00</c:v>
                        </c:pt>
                        <c:pt idx="40">
                          <c:v>1411717.00</c:v>
                        </c:pt>
                        <c:pt idx="41">
                          <c:v>2455195.00</c:v>
                        </c:pt>
                        <c:pt idx="42">
                          <c:v>4942868.00</c:v>
                        </c:pt>
                        <c:pt idx="43">
                          <c:v>2951349.00</c:v>
                        </c:pt>
                        <c:pt idx="44">
                          <c:v>1675369.00</c:v>
                        </c:pt>
                        <c:pt idx="45">
                          <c:v>2622280.00</c:v>
                        </c:pt>
                        <c:pt idx="46">
                          <c:v>2774150.00</c:v>
                        </c:pt>
                        <c:pt idx="47">
                          <c:v>2146674.00</c:v>
                        </c:pt>
                        <c:pt idx="48">
                          <c:v>4628087.00</c:v>
                        </c:pt>
                        <c:pt idx="49">
                          <c:v>6084981.00</c:v>
                        </c:pt>
                        <c:pt idx="50">
                          <c:v>8917138.00</c:v>
                        </c:pt>
                        <c:pt idx="51">
                          <c:v>3333954.00</c:v>
                        </c:pt>
                        <c:pt idx="52">
                          <c:v>5439422.00</c:v>
                        </c:pt>
                        <c:pt idx="53">
                          <c:v>8112213.00</c:v>
                        </c:pt>
                      </c:lvl>
                      <c:lvl>
                        <c:pt idx="0">
                          <c:v>130518718.00</c:v>
                        </c:pt>
                        <c:pt idx="1">
                          <c:v>8880900.00</c:v>
                        </c:pt>
                        <c:pt idx="2">
                          <c:v>62264600.00</c:v>
                        </c:pt>
                        <c:pt idx="3">
                          <c:v>11011863.00</c:v>
                        </c:pt>
                        <c:pt idx="4">
                          <c:v>86411166.00</c:v>
                        </c:pt>
                        <c:pt idx="5">
                          <c:v>679847266.00</c:v>
                        </c:pt>
                        <c:pt idx="6">
                          <c:v>111478886.00</c:v>
                        </c:pt>
                        <c:pt idx="7">
                          <c:v>70103357.00</c:v>
                        </c:pt>
                        <c:pt idx="8">
                          <c:v>128541828.00</c:v>
                        </c:pt>
                        <c:pt idx="9">
                          <c:v>85713424.00</c:v>
                        </c:pt>
                        <c:pt idx="10">
                          <c:v>158846200.00</c:v>
                        </c:pt>
                        <c:pt idx="11">
                          <c:v>19230719.00</c:v>
                        </c:pt>
                        <c:pt idx="12">
                          <c:v>128893992.00</c:v>
                        </c:pt>
                        <c:pt idx="13">
                          <c:v>18371605.00</c:v>
                        </c:pt>
                        <c:pt idx="14">
                          <c:v>140045451.00</c:v>
                        </c:pt>
                        <c:pt idx="15">
                          <c:v>15670322.00</c:v>
                        </c:pt>
                        <c:pt idx="16">
                          <c:v>126420335.00</c:v>
                        </c:pt>
                        <c:pt idx="17">
                          <c:v>26738846.00</c:v>
                        </c:pt>
                        <c:pt idx="18">
                          <c:v>153266977.00</c:v>
                        </c:pt>
                        <c:pt idx="19">
                          <c:v>18460027.00</c:v>
                        </c:pt>
                        <c:pt idx="20">
                          <c:v>16947694.00</c:v>
                        </c:pt>
                        <c:pt idx="21">
                          <c:v>37162928.00</c:v>
                        </c:pt>
                        <c:pt idx="22">
                          <c:v>41717130.00</c:v>
                        </c:pt>
                        <c:pt idx="23">
                          <c:v>51790997.00</c:v>
                        </c:pt>
                        <c:pt idx="24">
                          <c:v>230044635.00</c:v>
                        </c:pt>
                        <c:pt idx="25">
                          <c:v>87493049.00</c:v>
                        </c:pt>
                        <c:pt idx="26">
                          <c:v>112979930.00</c:v>
                        </c:pt>
                        <c:pt idx="27">
                          <c:v>174949490.00</c:v>
                        </c:pt>
                        <c:pt idx="28">
                          <c:v>63292424.00</c:v>
                        </c:pt>
                        <c:pt idx="29">
                          <c:v>109837392.00</c:v>
                        </c:pt>
                        <c:pt idx="30">
                          <c:v>127897654.00</c:v>
                        </c:pt>
                        <c:pt idx="31">
                          <c:v>1220368372.00</c:v>
                        </c:pt>
                        <c:pt idx="32">
                          <c:v>99528244.00</c:v>
                        </c:pt>
                        <c:pt idx="33">
                          <c:v>131784458.00</c:v>
                        </c:pt>
                        <c:pt idx="34">
                          <c:v>103677747.00</c:v>
                        </c:pt>
                        <c:pt idx="35">
                          <c:v>634740319.00</c:v>
                        </c:pt>
                        <c:pt idx="36">
                          <c:v>90026599.00</c:v>
                        </c:pt>
                        <c:pt idx="37">
                          <c:v>97020419.00</c:v>
                        </c:pt>
                        <c:pt idx="38">
                          <c:v>320768587.00</c:v>
                        </c:pt>
                        <c:pt idx="39">
                          <c:v>354422379.00</c:v>
                        </c:pt>
                        <c:pt idx="40">
                          <c:v>127697094.00</c:v>
                        </c:pt>
                        <c:pt idx="41">
                          <c:v>146632610.00</c:v>
                        </c:pt>
                        <c:pt idx="42">
                          <c:v>362606510.00</c:v>
                        </c:pt>
                        <c:pt idx="43">
                          <c:v>325367332.00</c:v>
                        </c:pt>
                        <c:pt idx="44">
                          <c:v>125911907.00</c:v>
                        </c:pt>
                        <c:pt idx="45">
                          <c:v>180628523.00</c:v>
                        </c:pt>
                        <c:pt idx="46">
                          <c:v>156925389.00</c:v>
                        </c:pt>
                        <c:pt idx="47">
                          <c:v>318642383.00</c:v>
                        </c:pt>
                        <c:pt idx="48">
                          <c:v>336785327.00</c:v>
                        </c:pt>
                        <c:pt idx="49">
                          <c:v>491669636.00</c:v>
                        </c:pt>
                        <c:pt idx="50">
                          <c:v>1150823786.00</c:v>
                        </c:pt>
                        <c:pt idx="51">
                          <c:v>706173056.00</c:v>
                        </c:pt>
                        <c:pt idx="52">
                          <c:v>574352236.00</c:v>
                        </c:pt>
                        <c:pt idx="53">
                          <c:v>675992847.00</c:v>
                        </c:pt>
                      </c:lvl>
                      <c:lvl>
                        <c:pt idx="0">
                          <c:v>02-05-2026</c:v>
                        </c:pt>
                        <c:pt idx="1">
                          <c:v>12-06-2026</c:v>
                        </c:pt>
                        <c:pt idx="2">
                          <c:v>13-06-2026</c:v>
                        </c:pt>
                        <c:pt idx="3">
                          <c:v>17-06-2026</c:v>
                        </c:pt>
                        <c:pt idx="4">
                          <c:v>16-05-2026</c:v>
                        </c:pt>
                        <c:pt idx="5">
                          <c:v>07-05-2026</c:v>
                        </c:pt>
                        <c:pt idx="6">
                          <c:v>04-04-2026</c:v>
                        </c:pt>
                        <c:pt idx="7">
                          <c:v>21-02-2026</c:v>
                        </c:pt>
                        <c:pt idx="8">
                          <c:v>07-03-2026</c:v>
                        </c:pt>
                        <c:pt idx="9">
                          <c:v>30-05-2026</c:v>
                        </c:pt>
                        <c:pt idx="10">
                          <c:v>18-04-2026</c:v>
                        </c:pt>
                        <c:pt idx="11">
                          <c:v>10-03-2026</c:v>
                        </c:pt>
                        <c:pt idx="12">
                          <c:v>07-01-2026</c:v>
                        </c:pt>
                        <c:pt idx="13">
                          <c:v>28-04-2026</c:v>
                        </c:pt>
                        <c:pt idx="14">
                          <c:v>21-03-2026</c:v>
                        </c:pt>
                        <c:pt idx="15">
                          <c:v>03-05-2026</c:v>
                        </c:pt>
                        <c:pt idx="16">
                          <c:v>07-02-2026</c:v>
                        </c:pt>
                        <c:pt idx="17">
                          <c:v>22-02-2026</c:v>
                        </c:pt>
                        <c:pt idx="18">
                          <c:v>24-01-2026</c:v>
                        </c:pt>
                        <c:pt idx="19">
                          <c:v>27-04-2026</c:v>
                        </c:pt>
                        <c:pt idx="20">
                          <c:v>02-04-2026</c:v>
                        </c:pt>
                        <c:pt idx="21">
                          <c:v>16-01-2026</c:v>
                        </c:pt>
                        <c:pt idx="22">
                          <c:v>26-03-2026</c:v>
                        </c:pt>
                        <c:pt idx="23">
                          <c:v>07-04-2026</c:v>
                        </c:pt>
                        <c:pt idx="24">
                          <c:v>29-05-2026</c:v>
                        </c:pt>
                        <c:pt idx="25">
                          <c:v>13-03-2026</c:v>
                        </c:pt>
                        <c:pt idx="26">
                          <c:v>14-06-2026</c:v>
                        </c:pt>
                        <c:pt idx="27">
                          <c:v>25-01-2026</c:v>
                        </c:pt>
                        <c:pt idx="28">
                          <c:v>29-04-2026</c:v>
                        </c:pt>
                        <c:pt idx="29">
                          <c:v>12-02-2026</c:v>
                        </c:pt>
                        <c:pt idx="30">
                          <c:v>20-03-2026</c:v>
                        </c:pt>
                        <c:pt idx="31">
                          <c:v>13-01-2026</c:v>
                        </c:pt>
                        <c:pt idx="32">
                          <c:v>17-03-2026</c:v>
                        </c:pt>
                        <c:pt idx="33">
                          <c:v>21-04-2026</c:v>
                        </c:pt>
                        <c:pt idx="34">
                          <c:v>09-01-2026</c:v>
                        </c:pt>
                        <c:pt idx="35">
                          <c:v>15-05-2026</c:v>
                        </c:pt>
                        <c:pt idx="36">
                          <c:v>06-03-2026</c:v>
                        </c:pt>
                        <c:pt idx="37">
                          <c:v>14-04-2026</c:v>
                        </c:pt>
                        <c:pt idx="38">
                          <c:v>22-05-2026</c:v>
                        </c:pt>
                        <c:pt idx="39">
                          <c:v>19-05-2026</c:v>
                        </c:pt>
                        <c:pt idx="40">
                          <c:v>24-04-2026</c:v>
                        </c:pt>
                        <c:pt idx="41">
                          <c:v>10-04-2026</c:v>
                        </c:pt>
                        <c:pt idx="42">
                          <c:v>09-02-2026</c:v>
                        </c:pt>
                        <c:pt idx="43">
                          <c:v>28-02-2026</c:v>
                        </c:pt>
                        <c:pt idx="44">
                          <c:v>18-02-2026</c:v>
                        </c:pt>
                        <c:pt idx="45">
                          <c:v>17-04-2026</c:v>
                        </c:pt>
                        <c:pt idx="46">
                          <c:v>06-02-2026</c:v>
                        </c:pt>
                        <c:pt idx="47">
                          <c:v>17-05-2026</c:v>
                        </c:pt>
                        <c:pt idx="48">
                          <c:v>12-05-2026</c:v>
                        </c:pt>
                        <c:pt idx="49">
                          <c:v>06-01-2026</c:v>
                        </c:pt>
                        <c:pt idx="50">
                          <c:v>27-01-2026</c:v>
                        </c:pt>
                        <c:pt idx="51">
                          <c:v>01-04-2026</c:v>
                        </c:pt>
                        <c:pt idx="52">
                          <c:v>05-05-2026</c:v>
                        </c:pt>
                        <c:pt idx="53">
                          <c:v>03-04-2026</c:v>
                        </c:pt>
                      </c:lvl>
                      <c:lvl>
                        <c:pt idx="0">
                          <c:v>I Stranded 100 People In The Wilderness For $250,000</c:v>
                        </c:pt>
                        <c:pt idx="1">
                          <c:v>POV: You Time Traveled Back to 2016</c:v>
                        </c:pt>
                        <c:pt idx="2">
                          <c:v>50 YouTube Legends Fight For $1,000,000</c:v>
                        </c:pt>
                        <c:pt idx="3">
                          <c:v>We Made Make-A-Wish Kidsâ€™ Dreams Come True</c:v>
                        </c:pt>
                        <c:pt idx="4">
                          <c:v>Survive 30 Days On An Island With Your Ex, Win $250,000</c:v>
                        </c:pt>
                        <c:pt idx="5">
                          <c:v>Iâ€™m Granting Wishes For My Subscribers</c:v>
                        </c:pt>
                        <c:pt idx="6">
                          <c:v>50 Streamers Fight for $1,000,000</c:v>
                        </c:pt>
                        <c:pt idx="7">
                          <c:v>I Built 10 Schools Around The World</c:v>
                        </c:pt>
                        <c:pt idx="8">
                          <c:v>Survive 30 Days Stranded With Your Ex, Win $250,000</c:v>
                        </c:pt>
                        <c:pt idx="9">
                          <c:v>7 Days Stranded in The Arctic</c:v>
                        </c:pt>
                        <c:pt idx="10">
                          <c:v>Last To Leave Grocery Store, Wins $250,000</c:v>
                        </c:pt>
                        <c:pt idx="11">
                          <c:v>My Chocolate Factory Blew Up</c:v>
                        </c:pt>
                        <c:pt idx="12">
                          <c:v>30 Celebrities Fight For $1,000,000!</c:v>
                        </c:pt>
                        <c:pt idx="13">
                          <c:v>Important Announcement From The Grocery Store</c:v>
                        </c:pt>
                        <c:pt idx="14">
                          <c:v>Trapped On An Island Until I Build A Boat</c:v>
                        </c:pt>
                        <c:pt idx="15">
                          <c:v>Asking My FiancÃ©e on a Date</c:v>
                        </c:pt>
                        <c:pt idx="16">
                          <c:v>Ages 1 - 100 Race For $250,000!</c:v>
                        </c:pt>
                        <c:pt idx="17">
                          <c:v>I Built a School in Mexico</c:v>
                        </c:pt>
                        <c:pt idx="18">
                          <c:v>$1 vs $1,000,000,000 Futuristic Tech!</c:v>
                        </c:pt>
                        <c:pt idx="19">
                          <c:v>Can My FiancÃ©e Lift Me?</c:v>
                        </c:pt>
                        <c:pt idx="20">
                          <c:v>Spreading Rumors About Streamers</c:v>
                        </c:pt>
                        <c:pt idx="21">
                          <c:v>Survivor vs Beast Games</c:v>
                        </c:pt>
                        <c:pt idx="22">
                          <c:v>Bring Me A Glass Of Water = Win $10,000</c:v>
                        </c:pt>
                        <c:pt idx="23">
                          <c:v>$1 or Mystery Vial?</c:v>
                        </c:pt>
                        <c:pt idx="24">
                          <c:v>I Surprised a Random Subscriber With $10,000</c:v>
                        </c:pt>
                        <c:pt idx="25">
                          <c:v>5 Strangers Split $100,000</c:v>
                        </c:pt>
                        <c:pt idx="26">
                          <c:v>Guess The Youtuber = Win $1,000</c:v>
                        </c:pt>
                        <c:pt idx="27">
                          <c:v>Wait... Was He Famous?</c:v>
                        </c:pt>
                        <c:pt idx="28">
                          <c:v>Would Your Dog Pick $10,000 or Steak?</c:v>
                        </c:pt>
                        <c:pt idx="29">
                          <c:v>Surprising My FiancÃ©e With A Chocolate Heart</c:v>
                        </c:pt>
                        <c:pt idx="30">
                          <c:v>I Hid $1,000,000 In This Vault</c:v>
                        </c:pt>
                        <c:pt idx="31">
                          <c:v>Subscribe for an iPhone</c:v>
                        </c:pt>
                        <c:pt idx="32">
                          <c:v>Pop The Balloons, Win $10,000</c:v>
                        </c:pt>
                        <c:pt idx="33">
                          <c:v>Winner Picks Our Honeymoon</c:v>
                        </c:pt>
                        <c:pt idx="34">
                          <c:v>Pass the Phone</c:v>
                        </c:pt>
                        <c:pt idx="35">
                          <c:v>Hit The Button, Win $1,000</c:v>
                        </c:pt>
                        <c:pt idx="36">
                          <c:v>Would You Steal Money From A Stranger?</c:v>
                        </c:pt>
                        <c:pt idx="37">
                          <c:v>Can a Window Stop a Wrecking Ball?</c:v>
                        </c:pt>
                        <c:pt idx="38">
                          <c:v>YouTube CEO Has A Surprise For Me</c:v>
                        </c:pt>
                        <c:pt idx="39">
                          <c:v>Every Youtube Play Button</c:v>
                        </c:pt>
                        <c:pt idx="40">
                          <c:v>Try Not To Get Slimed</c:v>
                        </c:pt>
                        <c:pt idx="41">
                          <c:v>Donâ€™t Eat The Spicy Yoshi Egg</c:v>
                        </c:pt>
                        <c:pt idx="42">
                          <c:v>Guess What Age Punched You</c:v>
                        </c:pt>
                        <c:pt idx="43">
                          <c:v>Subscribe, Iâ€™ll Double Your Bank Account</c:v>
                        </c:pt>
                        <c:pt idx="44">
                          <c:v>Every Step You Take, Win $1,000</c:v>
                        </c:pt>
                        <c:pt idx="45">
                          <c:v>Guess The Animal</c:v>
                        </c:pt>
                        <c:pt idx="46">
                          <c:v>Is Being Smart or Strong Better?</c:v>
                        </c:pt>
                        <c:pt idx="47">
                          <c:v>Can He Make This Shot?</c:v>
                        </c:pt>
                        <c:pt idx="48">
                          <c:v>World's Fastest Date</c:v>
                        </c:pt>
                        <c:pt idx="49">
                          <c:v>Guess the Animal</c:v>
                        </c:pt>
                        <c:pt idx="50">
                          <c:v>Flip a Coin, Win $30,000</c:v>
                        </c:pt>
                        <c:pt idx="51">
                          <c:v>Will a Zebra Subscribe to me?</c:v>
                        </c:pt>
                        <c:pt idx="52">
                          <c:v>Guess The Animal</c:v>
                        </c:pt>
                        <c:pt idx="53">
                          <c:v>Who's The Strongest Streamer?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MrBeast_Cleaned_Dataset!$M$2:$M$988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7.1213964763980064E-2</c:v>
                      </c:pt>
                      <c:pt idx="1">
                        <c:v>0.10769069594306906</c:v>
                      </c:pt>
                      <c:pt idx="2">
                        <c:v>0.16087064536623638</c:v>
                      </c:pt>
                      <c:pt idx="3">
                        <c:v>0.17415881557035809</c:v>
                      </c:pt>
                      <c:pt idx="4">
                        <c:v>0.17433990132018984</c:v>
                      </c:pt>
                      <c:pt idx="5">
                        <c:v>0.19194791800705932</c:v>
                      </c:pt>
                      <c:pt idx="6">
                        <c:v>0.22014082663766954</c:v>
                      </c:pt>
                      <c:pt idx="7">
                        <c:v>0.29089091703197933</c:v>
                      </c:pt>
                      <c:pt idx="8">
                        <c:v>0.36713110998551507</c:v>
                      </c:pt>
                      <c:pt idx="9">
                        <c:v>0.36593663647282709</c:v>
                      </c:pt>
                      <c:pt idx="10">
                        <c:v>0.37283231827014884</c:v>
                      </c:pt>
                      <c:pt idx="11">
                        <c:v>0.37003350808873425</c:v>
                      </c:pt>
                      <c:pt idx="12">
                        <c:v>0.37445742604712801</c:v>
                      </c:pt>
                      <c:pt idx="13">
                        <c:v>0.37558352904724052</c:v>
                      </c:pt>
                      <c:pt idx="14">
                        <c:v>0.35460001243695755</c:v>
                      </c:pt>
                      <c:pt idx="15">
                        <c:v>0.35766022049772384</c:v>
                      </c:pt>
                      <c:pt idx="16">
                        <c:v>0.35860765652841442</c:v>
                      </c:pt>
                      <c:pt idx="17">
                        <c:v>0.34774686537036048</c:v>
                      </c:pt>
                      <c:pt idx="18">
                        <c:v>0.34723361253065238</c:v>
                      </c:pt>
                      <c:pt idx="19">
                        <c:v>0.34802383458807912</c:v>
                      </c:pt>
                      <c:pt idx="20">
                        <c:v>0.34880826243218743</c:v>
                      </c:pt>
                      <c:pt idx="21">
                        <c:v>0.34785386366368559</c:v>
                      </c:pt>
                      <c:pt idx="22">
                        <c:v>0.3386609046201618</c:v>
                      </c:pt>
                      <c:pt idx="23">
                        <c:v>0.33846705882919281</c:v>
                      </c:pt>
                      <c:pt idx="24">
                        <c:v>0.3361582134319806</c:v>
                      </c:pt>
                      <c:pt idx="25">
                        <c:v>0.33375405647052386</c:v>
                      </c:pt>
                      <c:pt idx="26">
                        <c:v>0.33408504883906526</c:v>
                      </c:pt>
                      <c:pt idx="27">
                        <c:v>0.3344990196129467</c:v>
                      </c:pt>
                      <c:pt idx="28">
                        <c:v>0.33444670605441629</c:v>
                      </c:pt>
                      <c:pt idx="29">
                        <c:v>0.33468543119843175</c:v>
                      </c:pt>
                      <c:pt idx="30">
                        <c:v>0.32869005132666557</c:v>
                      </c:pt>
                      <c:pt idx="31">
                        <c:v>0.32859070902729098</c:v>
                      </c:pt>
                      <c:pt idx="32">
                        <c:v>0.25677014881307669</c:v>
                      </c:pt>
                      <c:pt idx="33">
                        <c:v>0.25264781900704325</c:v>
                      </c:pt>
                      <c:pt idx="34">
                        <c:v>0.24951471838035619</c:v>
                      </c:pt>
                      <c:pt idx="35">
                        <c:v>0.24354868906785707</c:v>
                      </c:pt>
                      <c:pt idx="36">
                        <c:v>0.22072800088318051</c:v>
                      </c:pt>
                      <c:pt idx="37">
                        <c:v>0.21663207193419076</c:v>
                      </c:pt>
                      <c:pt idx="38">
                        <c:v>0.21718159801270681</c:v>
                      </c:pt>
                      <c:pt idx="39">
                        <c:v>0.21468635548347298</c:v>
                      </c:pt>
                      <c:pt idx="40">
                        <c:v>0.20912595249004615</c:v>
                      </c:pt>
                      <c:pt idx="41">
                        <c:v>0.2020694178113692</c:v>
                      </c:pt>
                      <c:pt idx="42">
                        <c:v>0.20185495728622482</c:v>
                      </c:pt>
                      <c:pt idx="43">
                        <c:v>0.19603651549010834</c:v>
                      </c:pt>
                      <c:pt idx="44">
                        <c:v>0.1875219173577985</c:v>
                      </c:pt>
                      <c:pt idx="45">
                        <c:v>0.18966902567331972</c:v>
                      </c:pt>
                      <c:pt idx="46">
                        <c:v>0.26880702748889967</c:v>
                      </c:pt>
                      <c:pt idx="47">
                        <c:v>0.32423536333977793</c:v>
                      </c:pt>
                      <c:pt idx="48">
                        <c:v>0.31749601723745352</c:v>
                      </c:pt>
                      <c:pt idx="49">
                        <c:v>0.30680369017590586</c:v>
                      </c:pt>
                      <c:pt idx="50">
                        <c:v>0.35205913193473765</c:v>
                      </c:pt>
                      <c:pt idx="51">
                        <c:v>0.24991352514689968</c:v>
                      </c:pt>
                      <c:pt idx="52">
                        <c:v>0.31913716928176006</c:v>
                      </c:pt>
                      <c:pt idx="53">
                        <c:v>0.28042694990960154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F7F-4E5A-BF54-E24540A37BE9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MrBeast_Cleaned_Dataset!$A$2:$H$988</c15:sqref>
                        </c15:formulaRef>
                      </c:ext>
                    </c:extLst>
                    <c:multiLvlStrCache>
                      <c:ptCount val="54"/>
                      <c:lvl>
                        <c:pt idx="0">
                          <c:v>Saturday</c:v>
                        </c:pt>
                        <c:pt idx="1">
                          <c:v>Friday</c:v>
                        </c:pt>
                        <c:pt idx="2">
                          <c:v>Saturday</c:v>
                        </c:pt>
                        <c:pt idx="3">
                          <c:v>Wednesday</c:v>
                        </c:pt>
                        <c:pt idx="4">
                          <c:v>Saturday</c:v>
                        </c:pt>
                        <c:pt idx="5">
                          <c:v>Thursday</c:v>
                        </c:pt>
                        <c:pt idx="6">
                          <c:v>Saturday</c:v>
                        </c:pt>
                        <c:pt idx="7">
                          <c:v>Saturday</c:v>
                        </c:pt>
                        <c:pt idx="8">
                          <c:v>Saturday</c:v>
                        </c:pt>
                        <c:pt idx="9">
                          <c:v>Saturday</c:v>
                        </c:pt>
                        <c:pt idx="10">
                          <c:v>Saturday</c:v>
                        </c:pt>
                        <c:pt idx="11">
                          <c:v>Tuesday</c:v>
                        </c:pt>
                        <c:pt idx="12">
                          <c:v>Wednesday</c:v>
                        </c:pt>
                        <c:pt idx="13">
                          <c:v>Tuesday</c:v>
                        </c:pt>
                        <c:pt idx="14">
                          <c:v>Saturday</c:v>
                        </c:pt>
                        <c:pt idx="15">
                          <c:v>Sunday</c:v>
                        </c:pt>
                        <c:pt idx="16">
                          <c:v>Saturday</c:v>
                        </c:pt>
                        <c:pt idx="17">
                          <c:v>Sunday</c:v>
                        </c:pt>
                        <c:pt idx="18">
                          <c:v>Saturday</c:v>
                        </c:pt>
                        <c:pt idx="19">
                          <c:v>Monday</c:v>
                        </c:pt>
                        <c:pt idx="20">
                          <c:v>Thursday</c:v>
                        </c:pt>
                        <c:pt idx="21">
                          <c:v>Friday</c:v>
                        </c:pt>
                        <c:pt idx="22">
                          <c:v>Thursday</c:v>
                        </c:pt>
                        <c:pt idx="23">
                          <c:v>Tuesday</c:v>
                        </c:pt>
                        <c:pt idx="24">
                          <c:v>Friday</c:v>
                        </c:pt>
                        <c:pt idx="25">
                          <c:v>Friday</c:v>
                        </c:pt>
                        <c:pt idx="26">
                          <c:v>Sunday</c:v>
                        </c:pt>
                        <c:pt idx="27">
                          <c:v>Sunday</c:v>
                        </c:pt>
                        <c:pt idx="28">
                          <c:v>Wednesday</c:v>
                        </c:pt>
                        <c:pt idx="29">
                          <c:v>Thursday</c:v>
                        </c:pt>
                        <c:pt idx="30">
                          <c:v>Friday</c:v>
                        </c:pt>
                        <c:pt idx="31">
                          <c:v>Tuesday</c:v>
                        </c:pt>
                        <c:pt idx="32">
                          <c:v>Tuesday</c:v>
                        </c:pt>
                        <c:pt idx="33">
                          <c:v>Tuesday</c:v>
                        </c:pt>
                        <c:pt idx="34">
                          <c:v>Friday</c:v>
                        </c:pt>
                        <c:pt idx="35">
                          <c:v>Friday</c:v>
                        </c:pt>
                        <c:pt idx="36">
                          <c:v>Friday</c:v>
                        </c:pt>
                        <c:pt idx="37">
                          <c:v>Tuesday</c:v>
                        </c:pt>
                        <c:pt idx="38">
                          <c:v>Friday</c:v>
                        </c:pt>
                        <c:pt idx="39">
                          <c:v>Tuesday</c:v>
                        </c:pt>
                        <c:pt idx="40">
                          <c:v>Friday</c:v>
                        </c:pt>
                        <c:pt idx="41">
                          <c:v>Friday</c:v>
                        </c:pt>
                        <c:pt idx="42">
                          <c:v>Monday</c:v>
                        </c:pt>
                        <c:pt idx="43">
                          <c:v>Saturday</c:v>
                        </c:pt>
                        <c:pt idx="44">
                          <c:v>Wednesday</c:v>
                        </c:pt>
                        <c:pt idx="45">
                          <c:v>Friday</c:v>
                        </c:pt>
                        <c:pt idx="46">
                          <c:v>Friday</c:v>
                        </c:pt>
                        <c:pt idx="47">
                          <c:v>Sunday</c:v>
                        </c:pt>
                        <c:pt idx="48">
                          <c:v>Tuesday</c:v>
                        </c:pt>
                        <c:pt idx="49">
                          <c:v>Tuesday</c:v>
                        </c:pt>
                        <c:pt idx="50">
                          <c:v>Tuesday</c:v>
                        </c:pt>
                        <c:pt idx="51">
                          <c:v>Wednesday</c:v>
                        </c:pt>
                        <c:pt idx="52">
                          <c:v>Tuesday</c:v>
                        </c:pt>
                        <c:pt idx="53">
                          <c:v>Friday</c:v>
                        </c:pt>
                      </c:lvl>
                      <c:lvl>
                        <c:pt idx="0">
                          <c:v>May</c:v>
                        </c:pt>
                        <c:pt idx="1">
                          <c:v>June</c:v>
                        </c:pt>
                        <c:pt idx="2">
                          <c:v>June</c:v>
                        </c:pt>
                        <c:pt idx="3">
                          <c:v>June</c:v>
                        </c:pt>
                        <c:pt idx="4">
                          <c:v>May</c:v>
                        </c:pt>
                        <c:pt idx="5">
                          <c:v>May</c:v>
                        </c:pt>
                        <c:pt idx="6">
                          <c:v>April</c:v>
                        </c:pt>
                        <c:pt idx="7">
                          <c:v>February</c:v>
                        </c:pt>
                        <c:pt idx="8">
                          <c:v>March</c:v>
                        </c:pt>
                        <c:pt idx="9">
                          <c:v>May</c:v>
                        </c:pt>
                        <c:pt idx="10">
                          <c:v>April</c:v>
                        </c:pt>
                        <c:pt idx="11">
                          <c:v>March</c:v>
                        </c:pt>
                        <c:pt idx="12">
                          <c:v>January</c:v>
                        </c:pt>
                        <c:pt idx="13">
                          <c:v>April</c:v>
                        </c:pt>
                        <c:pt idx="14">
                          <c:v>March</c:v>
                        </c:pt>
                        <c:pt idx="15">
                          <c:v>May</c:v>
                        </c:pt>
                        <c:pt idx="16">
                          <c:v>February</c:v>
                        </c:pt>
                        <c:pt idx="17">
                          <c:v>February</c:v>
                        </c:pt>
                        <c:pt idx="18">
                          <c:v>January</c:v>
                        </c:pt>
                        <c:pt idx="19">
                          <c:v>April</c:v>
                        </c:pt>
                        <c:pt idx="20">
                          <c:v>April</c:v>
                        </c:pt>
                        <c:pt idx="21">
                          <c:v>January</c:v>
                        </c:pt>
                        <c:pt idx="22">
                          <c:v>March</c:v>
                        </c:pt>
                        <c:pt idx="23">
                          <c:v>April</c:v>
                        </c:pt>
                        <c:pt idx="24">
                          <c:v>May</c:v>
                        </c:pt>
                        <c:pt idx="25">
                          <c:v>March</c:v>
                        </c:pt>
                        <c:pt idx="26">
                          <c:v>June</c:v>
                        </c:pt>
                        <c:pt idx="27">
                          <c:v>January</c:v>
                        </c:pt>
                        <c:pt idx="28">
                          <c:v>April</c:v>
                        </c:pt>
                        <c:pt idx="29">
                          <c:v>February</c:v>
                        </c:pt>
                        <c:pt idx="30">
                          <c:v>March</c:v>
                        </c:pt>
                        <c:pt idx="31">
                          <c:v>January</c:v>
                        </c:pt>
                        <c:pt idx="32">
                          <c:v>March</c:v>
                        </c:pt>
                        <c:pt idx="33">
                          <c:v>April</c:v>
                        </c:pt>
                        <c:pt idx="34">
                          <c:v>January</c:v>
                        </c:pt>
                        <c:pt idx="35">
                          <c:v>May</c:v>
                        </c:pt>
                        <c:pt idx="36">
                          <c:v>March</c:v>
                        </c:pt>
                        <c:pt idx="37">
                          <c:v>April</c:v>
                        </c:pt>
                        <c:pt idx="38">
                          <c:v>May</c:v>
                        </c:pt>
                        <c:pt idx="39">
                          <c:v>May</c:v>
                        </c:pt>
                        <c:pt idx="40">
                          <c:v>April</c:v>
                        </c:pt>
                        <c:pt idx="41">
                          <c:v>April</c:v>
                        </c:pt>
                        <c:pt idx="42">
                          <c:v>February</c:v>
                        </c:pt>
                        <c:pt idx="43">
                          <c:v>February</c:v>
                        </c:pt>
                        <c:pt idx="44">
                          <c:v>February</c:v>
                        </c:pt>
                        <c:pt idx="45">
                          <c:v>April</c:v>
                        </c:pt>
                        <c:pt idx="46">
                          <c:v>February</c:v>
                        </c:pt>
                        <c:pt idx="47">
                          <c:v>May</c:v>
                        </c:pt>
                        <c:pt idx="48">
                          <c:v>May</c:v>
                        </c:pt>
                        <c:pt idx="49">
                          <c:v>January</c:v>
                        </c:pt>
                        <c:pt idx="50">
                          <c:v>January</c:v>
                        </c:pt>
                        <c:pt idx="51">
                          <c:v>April</c:v>
                        </c:pt>
                        <c:pt idx="52">
                          <c:v>May</c:v>
                        </c:pt>
                        <c:pt idx="53">
                          <c:v>April</c:v>
                        </c:pt>
                      </c:lvl>
                      <c:lvl>
                        <c:pt idx="0">
                          <c:v>2026</c:v>
                        </c:pt>
                        <c:pt idx="1">
                          <c:v>2026</c:v>
                        </c:pt>
                        <c:pt idx="2">
                          <c:v>2026</c:v>
                        </c:pt>
                        <c:pt idx="3">
                          <c:v>2026</c:v>
                        </c:pt>
                        <c:pt idx="4">
                          <c:v>2026</c:v>
                        </c:pt>
                        <c:pt idx="5">
                          <c:v>2026</c:v>
                        </c:pt>
                        <c:pt idx="6">
                          <c:v>2026</c:v>
                        </c:pt>
                        <c:pt idx="7">
                          <c:v>2026</c:v>
                        </c:pt>
                        <c:pt idx="8">
                          <c:v>2026</c:v>
                        </c:pt>
                        <c:pt idx="9">
                          <c:v>2026</c:v>
                        </c:pt>
                        <c:pt idx="10">
                          <c:v>2026</c:v>
                        </c:pt>
                        <c:pt idx="11">
                          <c:v>2026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  <c:pt idx="14">
                          <c:v>2026</c:v>
                        </c:pt>
                        <c:pt idx="15">
                          <c:v>2026</c:v>
                        </c:pt>
                        <c:pt idx="16">
                          <c:v>2026</c:v>
                        </c:pt>
                        <c:pt idx="17">
                          <c:v>2026</c:v>
                        </c:pt>
                        <c:pt idx="18">
                          <c:v>2026</c:v>
                        </c:pt>
                        <c:pt idx="19">
                          <c:v>2026</c:v>
                        </c:pt>
                        <c:pt idx="20">
                          <c:v>2026</c:v>
                        </c:pt>
                        <c:pt idx="21">
                          <c:v>2026</c:v>
                        </c:pt>
                        <c:pt idx="22">
                          <c:v>2026</c:v>
                        </c:pt>
                        <c:pt idx="23">
                          <c:v>2026</c:v>
                        </c:pt>
                        <c:pt idx="24">
                          <c:v>2026</c:v>
                        </c:pt>
                        <c:pt idx="25">
                          <c:v>2026</c:v>
                        </c:pt>
                        <c:pt idx="26">
                          <c:v>2026</c:v>
                        </c:pt>
                        <c:pt idx="27">
                          <c:v>2026</c:v>
                        </c:pt>
                        <c:pt idx="28">
                          <c:v>2026</c:v>
                        </c:pt>
                        <c:pt idx="29">
                          <c:v>2026</c:v>
                        </c:pt>
                        <c:pt idx="30">
                          <c:v>2026</c:v>
                        </c:pt>
                        <c:pt idx="31">
                          <c:v>2026</c:v>
                        </c:pt>
                        <c:pt idx="32">
                          <c:v>2026</c:v>
                        </c:pt>
                        <c:pt idx="33">
                          <c:v>2026</c:v>
                        </c:pt>
                        <c:pt idx="34">
                          <c:v>2026</c:v>
                        </c:pt>
                        <c:pt idx="35">
                          <c:v>2026</c:v>
                        </c:pt>
                        <c:pt idx="36">
                          <c:v>2026</c:v>
                        </c:pt>
                        <c:pt idx="37">
                          <c:v>2026</c:v>
                        </c:pt>
                        <c:pt idx="38">
                          <c:v>2026</c:v>
                        </c:pt>
                        <c:pt idx="39">
                          <c:v>2026</c:v>
                        </c:pt>
                        <c:pt idx="40">
                          <c:v>2026</c:v>
                        </c:pt>
                        <c:pt idx="41">
                          <c:v>2026</c:v>
                        </c:pt>
                        <c:pt idx="42">
                          <c:v>2026</c:v>
                        </c:pt>
                        <c:pt idx="43">
                          <c:v>2026</c:v>
                        </c:pt>
                        <c:pt idx="44">
                          <c:v>2026</c:v>
                        </c:pt>
                        <c:pt idx="45">
                          <c:v>2026</c:v>
                        </c:pt>
                        <c:pt idx="46">
                          <c:v>2026</c:v>
                        </c:pt>
                        <c:pt idx="47">
                          <c:v>2026</c:v>
                        </c:pt>
                        <c:pt idx="48">
                          <c:v>2026</c:v>
                        </c:pt>
                        <c:pt idx="49">
                          <c:v>2026</c:v>
                        </c:pt>
                        <c:pt idx="50">
                          <c:v>2026</c:v>
                        </c:pt>
                        <c:pt idx="51">
                          <c:v>2026</c:v>
                        </c:pt>
                        <c:pt idx="52">
                          <c:v>2026</c:v>
                        </c:pt>
                        <c:pt idx="53">
                          <c:v>2026</c:v>
                        </c:pt>
                      </c:lvl>
                      <c:lvl>
                        <c:pt idx="0">
                          <c:v>1399899.00</c:v>
                        </c:pt>
                        <c:pt idx="1">
                          <c:v>19736.00</c:v>
                        </c:pt>
                        <c:pt idx="2">
                          <c:v>131250.00</c:v>
                        </c:pt>
                        <c:pt idx="3">
                          <c:v>17767.00</c:v>
                        </c:pt>
                        <c:pt idx="4">
                          <c:v>136619.00</c:v>
                        </c:pt>
                        <c:pt idx="5">
                          <c:v>1054577.00</c:v>
                        </c:pt>
                        <c:pt idx="6">
                          <c:v>171141.00</c:v>
                        </c:pt>
                        <c:pt idx="7">
                          <c:v>96244.00</c:v>
                        </c:pt>
                        <c:pt idx="8">
                          <c:v>151158.00</c:v>
                        </c:pt>
                        <c:pt idx="9">
                          <c:v>97537.00</c:v>
                        </c:pt>
                        <c:pt idx="10">
                          <c:v>168813.00</c:v>
                        </c:pt>
                        <c:pt idx="11">
                          <c:v>20005.00</c:v>
                        </c:pt>
                        <c:pt idx="12">
                          <c:v>119334.00</c:v>
                        </c:pt>
                        <c:pt idx="13">
                          <c:v>16318.00</c:v>
                        </c:pt>
                        <c:pt idx="14">
                          <c:v>118253.00</c:v>
                        </c:pt>
                        <c:pt idx="15">
                          <c:v>12014.00</c:v>
                        </c:pt>
                        <c:pt idx="16">
                          <c:v>86987.00</c:v>
                        </c:pt>
                        <c:pt idx="17">
                          <c:v>16175.00</c:v>
                        </c:pt>
                        <c:pt idx="18">
                          <c:v>90178.00</c:v>
                        </c:pt>
                        <c:pt idx="19">
                          <c:v>8907.00</c:v>
                        </c:pt>
                        <c:pt idx="20">
                          <c:v>8025.00</c:v>
                        </c:pt>
                        <c:pt idx="21">
                          <c:v>14509.00</c:v>
                        </c:pt>
                        <c:pt idx="22">
                          <c:v>15004.00</c:v>
                        </c:pt>
                        <c:pt idx="23">
                          <c:v>14905.00</c:v>
                        </c:pt>
                        <c:pt idx="24">
                          <c:v>61502.00</c:v>
                        </c:pt>
                        <c:pt idx="25">
                          <c:v>21677.00</c:v>
                        </c:pt>
                        <c:pt idx="26">
                          <c:v>21554.00</c:v>
                        </c:pt>
                        <c:pt idx="27">
                          <c:v>33150.00</c:v>
                        </c:pt>
                        <c:pt idx="28">
                          <c:v>11721.00</c:v>
                        </c:pt>
                        <c:pt idx="29">
                          <c:v>17851.00</c:v>
                        </c:pt>
                        <c:pt idx="30">
                          <c:v>19695.00</c:v>
                        </c:pt>
                        <c:pt idx="31">
                          <c:v>180100.00</c:v>
                        </c:pt>
                        <c:pt idx="32">
                          <c:v>13433.00</c:v>
                        </c:pt>
                        <c:pt idx="33">
                          <c:v>17718.00</c:v>
                        </c:pt>
                        <c:pt idx="34">
                          <c:v>13834.00</c:v>
                        </c:pt>
                        <c:pt idx="35">
                          <c:v>83407.00</c:v>
                        </c:pt>
                        <c:pt idx="36">
                          <c:v>11347.00</c:v>
                        </c:pt>
                        <c:pt idx="37">
                          <c:v>11908.00</c:v>
                        </c:pt>
                        <c:pt idx="38">
                          <c:v>37637.00</c:v>
                        </c:pt>
                        <c:pt idx="39">
                          <c:v>36624.00</c:v>
                        </c:pt>
                        <c:pt idx="40">
                          <c:v>13039.00</c:v>
                        </c:pt>
                        <c:pt idx="41">
                          <c:v>13495.00</c:v>
                        </c:pt>
                        <c:pt idx="42">
                          <c:v>32337.00</c:v>
                        </c:pt>
                        <c:pt idx="43">
                          <c:v>25039.00</c:v>
                        </c:pt>
                        <c:pt idx="44">
                          <c:v>9317.00</c:v>
                        </c:pt>
                        <c:pt idx="45">
                          <c:v>12214.00</c:v>
                        </c:pt>
                        <c:pt idx="46">
                          <c:v>10434.00</c:v>
                        </c:pt>
                        <c:pt idx="47">
                          <c:v>21083.00</c:v>
                        </c:pt>
                        <c:pt idx="48">
                          <c:v>20137.00</c:v>
                        </c:pt>
                        <c:pt idx="49">
                          <c:v>20065.00</c:v>
                        </c:pt>
                        <c:pt idx="50">
                          <c:v>40603.00</c:v>
                        </c:pt>
                        <c:pt idx="51">
                          <c:v>21756.00</c:v>
                        </c:pt>
                        <c:pt idx="52">
                          <c:v>16883.00</c:v>
                        </c:pt>
                        <c:pt idx="53">
                          <c:v>19719.00</c:v>
                        </c:pt>
                      </c:lvl>
                      <c:lvl>
                        <c:pt idx="0">
                          <c:v>2579009.00</c:v>
                        </c:pt>
                        <c:pt idx="1">
                          <c:v>339957.00</c:v>
                        </c:pt>
                        <c:pt idx="2">
                          <c:v>1965717.00</c:v>
                        </c:pt>
                        <c:pt idx="3">
                          <c:v>446914.00</c:v>
                        </c:pt>
                        <c:pt idx="4">
                          <c:v>1847674.00</c:v>
                        </c:pt>
                        <c:pt idx="5">
                          <c:v>5785615.00</c:v>
                        </c:pt>
                        <c:pt idx="6">
                          <c:v>2619052.00</c:v>
                        </c:pt>
                        <c:pt idx="7">
                          <c:v>2387295.00</c:v>
                        </c:pt>
                        <c:pt idx="8">
                          <c:v>2473487.00</c:v>
                        </c:pt>
                        <c:pt idx="9">
                          <c:v>2372163.00</c:v>
                        </c:pt>
                        <c:pt idx="10">
                          <c:v>3208380.00</c:v>
                        </c:pt>
                        <c:pt idx="11">
                          <c:v>940015.00</c:v>
                        </c:pt>
                        <c:pt idx="12">
                          <c:v>2660932.00</c:v>
                        </c:pt>
                        <c:pt idx="13">
                          <c:v>566707.00</c:v>
                        </c:pt>
                        <c:pt idx="14">
                          <c:v>2900664.00</c:v>
                        </c:pt>
                        <c:pt idx="15">
                          <c:v>421128.00</c:v>
                        </c:pt>
                        <c:pt idx="16">
                          <c:v>1749517.00</c:v>
                        </c:pt>
                        <c:pt idx="17">
                          <c:v>988766.00</c:v>
                        </c:pt>
                        <c:pt idx="18">
                          <c:v>3150143.00</c:v>
                        </c:pt>
                        <c:pt idx="19">
                          <c:v>400068.00</c:v>
                        </c:pt>
                        <c:pt idx="20">
                          <c:v>453994.00</c:v>
                        </c:pt>
                        <c:pt idx="21">
                          <c:v>883076.00</c:v>
                        </c:pt>
                        <c:pt idx="22">
                          <c:v>1119219.00</c:v>
                        </c:pt>
                        <c:pt idx="23">
                          <c:v>1484672.00</c:v>
                        </c:pt>
                        <c:pt idx="24">
                          <c:v>5129789.00</c:v>
                        </c:pt>
                        <c:pt idx="25">
                          <c:v>2293405.00</c:v>
                        </c:pt>
                        <c:pt idx="26">
                          <c:v>2256693.00</c:v>
                        </c:pt>
                        <c:pt idx="27">
                          <c:v>3817798.00</c:v>
                        </c:pt>
                        <c:pt idx="28">
                          <c:v>1337947.00</c:v>
                        </c:pt>
                        <c:pt idx="29">
                          <c:v>2445299.00</c:v>
                        </c:pt>
                        <c:pt idx="30">
                          <c:v>2277697.00</c:v>
                        </c:pt>
                        <c:pt idx="31">
                          <c:v>6780422.00</c:v>
                        </c:pt>
                        <c:pt idx="32">
                          <c:v>1892392.00</c:v>
                        </c:pt>
                        <c:pt idx="33">
                          <c:v>2139059.00</c:v>
                        </c:pt>
                        <c:pt idx="34">
                          <c:v>2034248.00</c:v>
                        </c:pt>
                        <c:pt idx="35">
                          <c:v>3494242.00</c:v>
                        </c:pt>
                        <c:pt idx="36">
                          <c:v>2300242.00</c:v>
                        </c:pt>
                        <c:pt idx="37">
                          <c:v>1917110.00</c:v>
                        </c:pt>
                        <c:pt idx="38">
                          <c:v>3483909.00</c:v>
                        </c:pt>
                        <c:pt idx="39">
                          <c:v>2706368.00</c:v>
                        </c:pt>
                        <c:pt idx="40">
                          <c:v>1411717.00</c:v>
                        </c:pt>
                        <c:pt idx="41">
                          <c:v>2455195.00</c:v>
                        </c:pt>
                        <c:pt idx="42">
                          <c:v>4942868.00</c:v>
                        </c:pt>
                        <c:pt idx="43">
                          <c:v>2951349.00</c:v>
                        </c:pt>
                        <c:pt idx="44">
                          <c:v>1675369.00</c:v>
                        </c:pt>
                        <c:pt idx="45">
                          <c:v>2622280.00</c:v>
                        </c:pt>
                        <c:pt idx="46">
                          <c:v>2774150.00</c:v>
                        </c:pt>
                        <c:pt idx="47">
                          <c:v>2146674.00</c:v>
                        </c:pt>
                        <c:pt idx="48">
                          <c:v>4628087.00</c:v>
                        </c:pt>
                        <c:pt idx="49">
                          <c:v>6084981.00</c:v>
                        </c:pt>
                        <c:pt idx="50">
                          <c:v>8917138.00</c:v>
                        </c:pt>
                        <c:pt idx="51">
                          <c:v>3333954.00</c:v>
                        </c:pt>
                        <c:pt idx="52">
                          <c:v>5439422.00</c:v>
                        </c:pt>
                        <c:pt idx="53">
                          <c:v>8112213.00</c:v>
                        </c:pt>
                      </c:lvl>
                      <c:lvl>
                        <c:pt idx="0">
                          <c:v>130518718.00</c:v>
                        </c:pt>
                        <c:pt idx="1">
                          <c:v>8880900.00</c:v>
                        </c:pt>
                        <c:pt idx="2">
                          <c:v>62264600.00</c:v>
                        </c:pt>
                        <c:pt idx="3">
                          <c:v>11011863.00</c:v>
                        </c:pt>
                        <c:pt idx="4">
                          <c:v>86411166.00</c:v>
                        </c:pt>
                        <c:pt idx="5">
                          <c:v>679847266.00</c:v>
                        </c:pt>
                        <c:pt idx="6">
                          <c:v>111478886.00</c:v>
                        </c:pt>
                        <c:pt idx="7">
                          <c:v>70103357.00</c:v>
                        </c:pt>
                        <c:pt idx="8">
                          <c:v>128541828.00</c:v>
                        </c:pt>
                        <c:pt idx="9">
                          <c:v>85713424.00</c:v>
                        </c:pt>
                        <c:pt idx="10">
                          <c:v>158846200.00</c:v>
                        </c:pt>
                        <c:pt idx="11">
                          <c:v>19230719.00</c:v>
                        </c:pt>
                        <c:pt idx="12">
                          <c:v>128893992.00</c:v>
                        </c:pt>
                        <c:pt idx="13">
                          <c:v>18371605.00</c:v>
                        </c:pt>
                        <c:pt idx="14">
                          <c:v>140045451.00</c:v>
                        </c:pt>
                        <c:pt idx="15">
                          <c:v>15670322.00</c:v>
                        </c:pt>
                        <c:pt idx="16">
                          <c:v>126420335.00</c:v>
                        </c:pt>
                        <c:pt idx="17">
                          <c:v>26738846.00</c:v>
                        </c:pt>
                        <c:pt idx="18">
                          <c:v>153266977.00</c:v>
                        </c:pt>
                        <c:pt idx="19">
                          <c:v>18460027.00</c:v>
                        </c:pt>
                        <c:pt idx="20">
                          <c:v>16947694.00</c:v>
                        </c:pt>
                        <c:pt idx="21">
                          <c:v>37162928.00</c:v>
                        </c:pt>
                        <c:pt idx="22">
                          <c:v>41717130.00</c:v>
                        </c:pt>
                        <c:pt idx="23">
                          <c:v>51790997.00</c:v>
                        </c:pt>
                        <c:pt idx="24">
                          <c:v>230044635.00</c:v>
                        </c:pt>
                        <c:pt idx="25">
                          <c:v>87493049.00</c:v>
                        </c:pt>
                        <c:pt idx="26">
                          <c:v>112979930.00</c:v>
                        </c:pt>
                        <c:pt idx="27">
                          <c:v>174949490.00</c:v>
                        </c:pt>
                        <c:pt idx="28">
                          <c:v>63292424.00</c:v>
                        </c:pt>
                        <c:pt idx="29">
                          <c:v>109837392.00</c:v>
                        </c:pt>
                        <c:pt idx="30">
                          <c:v>127897654.00</c:v>
                        </c:pt>
                        <c:pt idx="31">
                          <c:v>1220368372.00</c:v>
                        </c:pt>
                        <c:pt idx="32">
                          <c:v>99528244.00</c:v>
                        </c:pt>
                        <c:pt idx="33">
                          <c:v>131784458.00</c:v>
                        </c:pt>
                        <c:pt idx="34">
                          <c:v>103677747.00</c:v>
                        </c:pt>
                        <c:pt idx="35">
                          <c:v>634740319.00</c:v>
                        </c:pt>
                        <c:pt idx="36">
                          <c:v>90026599.00</c:v>
                        </c:pt>
                        <c:pt idx="37">
                          <c:v>97020419.00</c:v>
                        </c:pt>
                        <c:pt idx="38">
                          <c:v>320768587.00</c:v>
                        </c:pt>
                        <c:pt idx="39">
                          <c:v>354422379.00</c:v>
                        </c:pt>
                        <c:pt idx="40">
                          <c:v>127697094.00</c:v>
                        </c:pt>
                        <c:pt idx="41">
                          <c:v>146632610.00</c:v>
                        </c:pt>
                        <c:pt idx="42">
                          <c:v>362606510.00</c:v>
                        </c:pt>
                        <c:pt idx="43">
                          <c:v>325367332.00</c:v>
                        </c:pt>
                        <c:pt idx="44">
                          <c:v>125911907.00</c:v>
                        </c:pt>
                        <c:pt idx="45">
                          <c:v>180628523.00</c:v>
                        </c:pt>
                        <c:pt idx="46">
                          <c:v>156925389.00</c:v>
                        </c:pt>
                        <c:pt idx="47">
                          <c:v>318642383.00</c:v>
                        </c:pt>
                        <c:pt idx="48">
                          <c:v>336785327.00</c:v>
                        </c:pt>
                        <c:pt idx="49">
                          <c:v>491669636.00</c:v>
                        </c:pt>
                        <c:pt idx="50">
                          <c:v>1150823786.00</c:v>
                        </c:pt>
                        <c:pt idx="51">
                          <c:v>706173056.00</c:v>
                        </c:pt>
                        <c:pt idx="52">
                          <c:v>574352236.00</c:v>
                        </c:pt>
                        <c:pt idx="53">
                          <c:v>675992847.00</c:v>
                        </c:pt>
                      </c:lvl>
                      <c:lvl>
                        <c:pt idx="0">
                          <c:v>02-05-2026</c:v>
                        </c:pt>
                        <c:pt idx="1">
                          <c:v>12-06-2026</c:v>
                        </c:pt>
                        <c:pt idx="2">
                          <c:v>13-06-2026</c:v>
                        </c:pt>
                        <c:pt idx="3">
                          <c:v>17-06-2026</c:v>
                        </c:pt>
                        <c:pt idx="4">
                          <c:v>16-05-2026</c:v>
                        </c:pt>
                        <c:pt idx="5">
                          <c:v>07-05-2026</c:v>
                        </c:pt>
                        <c:pt idx="6">
                          <c:v>04-04-2026</c:v>
                        </c:pt>
                        <c:pt idx="7">
                          <c:v>21-02-2026</c:v>
                        </c:pt>
                        <c:pt idx="8">
                          <c:v>07-03-2026</c:v>
                        </c:pt>
                        <c:pt idx="9">
                          <c:v>30-05-2026</c:v>
                        </c:pt>
                        <c:pt idx="10">
                          <c:v>18-04-2026</c:v>
                        </c:pt>
                        <c:pt idx="11">
                          <c:v>10-03-2026</c:v>
                        </c:pt>
                        <c:pt idx="12">
                          <c:v>07-01-2026</c:v>
                        </c:pt>
                        <c:pt idx="13">
                          <c:v>28-04-2026</c:v>
                        </c:pt>
                        <c:pt idx="14">
                          <c:v>21-03-2026</c:v>
                        </c:pt>
                        <c:pt idx="15">
                          <c:v>03-05-2026</c:v>
                        </c:pt>
                        <c:pt idx="16">
                          <c:v>07-02-2026</c:v>
                        </c:pt>
                        <c:pt idx="17">
                          <c:v>22-02-2026</c:v>
                        </c:pt>
                        <c:pt idx="18">
                          <c:v>24-01-2026</c:v>
                        </c:pt>
                        <c:pt idx="19">
                          <c:v>27-04-2026</c:v>
                        </c:pt>
                        <c:pt idx="20">
                          <c:v>02-04-2026</c:v>
                        </c:pt>
                        <c:pt idx="21">
                          <c:v>16-01-2026</c:v>
                        </c:pt>
                        <c:pt idx="22">
                          <c:v>26-03-2026</c:v>
                        </c:pt>
                        <c:pt idx="23">
                          <c:v>07-04-2026</c:v>
                        </c:pt>
                        <c:pt idx="24">
                          <c:v>29-05-2026</c:v>
                        </c:pt>
                        <c:pt idx="25">
                          <c:v>13-03-2026</c:v>
                        </c:pt>
                        <c:pt idx="26">
                          <c:v>14-06-2026</c:v>
                        </c:pt>
                        <c:pt idx="27">
                          <c:v>25-01-2026</c:v>
                        </c:pt>
                        <c:pt idx="28">
                          <c:v>29-04-2026</c:v>
                        </c:pt>
                        <c:pt idx="29">
                          <c:v>12-02-2026</c:v>
                        </c:pt>
                        <c:pt idx="30">
                          <c:v>20-03-2026</c:v>
                        </c:pt>
                        <c:pt idx="31">
                          <c:v>13-01-2026</c:v>
                        </c:pt>
                        <c:pt idx="32">
                          <c:v>17-03-2026</c:v>
                        </c:pt>
                        <c:pt idx="33">
                          <c:v>21-04-2026</c:v>
                        </c:pt>
                        <c:pt idx="34">
                          <c:v>09-01-2026</c:v>
                        </c:pt>
                        <c:pt idx="35">
                          <c:v>15-05-2026</c:v>
                        </c:pt>
                        <c:pt idx="36">
                          <c:v>06-03-2026</c:v>
                        </c:pt>
                        <c:pt idx="37">
                          <c:v>14-04-2026</c:v>
                        </c:pt>
                        <c:pt idx="38">
                          <c:v>22-05-2026</c:v>
                        </c:pt>
                        <c:pt idx="39">
                          <c:v>19-05-2026</c:v>
                        </c:pt>
                        <c:pt idx="40">
                          <c:v>24-04-2026</c:v>
                        </c:pt>
                        <c:pt idx="41">
                          <c:v>10-04-2026</c:v>
                        </c:pt>
                        <c:pt idx="42">
                          <c:v>09-02-2026</c:v>
                        </c:pt>
                        <c:pt idx="43">
                          <c:v>28-02-2026</c:v>
                        </c:pt>
                        <c:pt idx="44">
                          <c:v>18-02-2026</c:v>
                        </c:pt>
                        <c:pt idx="45">
                          <c:v>17-04-2026</c:v>
                        </c:pt>
                        <c:pt idx="46">
                          <c:v>06-02-2026</c:v>
                        </c:pt>
                        <c:pt idx="47">
                          <c:v>17-05-2026</c:v>
                        </c:pt>
                        <c:pt idx="48">
                          <c:v>12-05-2026</c:v>
                        </c:pt>
                        <c:pt idx="49">
                          <c:v>06-01-2026</c:v>
                        </c:pt>
                        <c:pt idx="50">
                          <c:v>27-01-2026</c:v>
                        </c:pt>
                        <c:pt idx="51">
                          <c:v>01-04-2026</c:v>
                        </c:pt>
                        <c:pt idx="52">
                          <c:v>05-05-2026</c:v>
                        </c:pt>
                        <c:pt idx="53">
                          <c:v>03-04-2026</c:v>
                        </c:pt>
                      </c:lvl>
                      <c:lvl>
                        <c:pt idx="0">
                          <c:v>I Stranded 100 People In The Wilderness For $250,000</c:v>
                        </c:pt>
                        <c:pt idx="1">
                          <c:v>POV: You Time Traveled Back to 2016</c:v>
                        </c:pt>
                        <c:pt idx="2">
                          <c:v>50 YouTube Legends Fight For $1,000,000</c:v>
                        </c:pt>
                        <c:pt idx="3">
                          <c:v>We Made Make-A-Wish Kidsâ€™ Dreams Come True</c:v>
                        </c:pt>
                        <c:pt idx="4">
                          <c:v>Survive 30 Days On An Island With Your Ex, Win $250,000</c:v>
                        </c:pt>
                        <c:pt idx="5">
                          <c:v>Iâ€™m Granting Wishes For My Subscribers</c:v>
                        </c:pt>
                        <c:pt idx="6">
                          <c:v>50 Streamers Fight for $1,000,000</c:v>
                        </c:pt>
                        <c:pt idx="7">
                          <c:v>I Built 10 Schools Around The World</c:v>
                        </c:pt>
                        <c:pt idx="8">
                          <c:v>Survive 30 Days Stranded With Your Ex, Win $250,000</c:v>
                        </c:pt>
                        <c:pt idx="9">
                          <c:v>7 Days Stranded in The Arctic</c:v>
                        </c:pt>
                        <c:pt idx="10">
                          <c:v>Last To Leave Grocery Store, Wins $250,000</c:v>
                        </c:pt>
                        <c:pt idx="11">
                          <c:v>My Chocolate Factory Blew Up</c:v>
                        </c:pt>
                        <c:pt idx="12">
                          <c:v>30 Celebrities Fight For $1,000,000!</c:v>
                        </c:pt>
                        <c:pt idx="13">
                          <c:v>Important Announcement From The Grocery Store</c:v>
                        </c:pt>
                        <c:pt idx="14">
                          <c:v>Trapped On An Island Until I Build A Boat</c:v>
                        </c:pt>
                        <c:pt idx="15">
                          <c:v>Asking My FiancÃ©e on a Date</c:v>
                        </c:pt>
                        <c:pt idx="16">
                          <c:v>Ages 1 - 100 Race For $250,000!</c:v>
                        </c:pt>
                        <c:pt idx="17">
                          <c:v>I Built a School in Mexico</c:v>
                        </c:pt>
                        <c:pt idx="18">
                          <c:v>$1 vs $1,000,000,000 Futuristic Tech!</c:v>
                        </c:pt>
                        <c:pt idx="19">
                          <c:v>Can My FiancÃ©e Lift Me?</c:v>
                        </c:pt>
                        <c:pt idx="20">
                          <c:v>Spreading Rumors About Streamers</c:v>
                        </c:pt>
                        <c:pt idx="21">
                          <c:v>Survivor vs Beast Games</c:v>
                        </c:pt>
                        <c:pt idx="22">
                          <c:v>Bring Me A Glass Of Water = Win $10,000</c:v>
                        </c:pt>
                        <c:pt idx="23">
                          <c:v>$1 or Mystery Vial?</c:v>
                        </c:pt>
                        <c:pt idx="24">
                          <c:v>I Surprised a Random Subscriber With $10,000</c:v>
                        </c:pt>
                        <c:pt idx="25">
                          <c:v>5 Strangers Split $100,000</c:v>
                        </c:pt>
                        <c:pt idx="26">
                          <c:v>Guess The Youtuber = Win $1,000</c:v>
                        </c:pt>
                        <c:pt idx="27">
                          <c:v>Wait... Was He Famous?</c:v>
                        </c:pt>
                        <c:pt idx="28">
                          <c:v>Would Your Dog Pick $10,000 or Steak?</c:v>
                        </c:pt>
                        <c:pt idx="29">
                          <c:v>Surprising My FiancÃ©e With A Chocolate Heart</c:v>
                        </c:pt>
                        <c:pt idx="30">
                          <c:v>I Hid $1,000,000 In This Vault</c:v>
                        </c:pt>
                        <c:pt idx="31">
                          <c:v>Subscribe for an iPhone</c:v>
                        </c:pt>
                        <c:pt idx="32">
                          <c:v>Pop The Balloons, Win $10,000</c:v>
                        </c:pt>
                        <c:pt idx="33">
                          <c:v>Winner Picks Our Honeymoon</c:v>
                        </c:pt>
                        <c:pt idx="34">
                          <c:v>Pass the Phone</c:v>
                        </c:pt>
                        <c:pt idx="35">
                          <c:v>Hit The Button, Win $1,000</c:v>
                        </c:pt>
                        <c:pt idx="36">
                          <c:v>Would You Steal Money From A Stranger?</c:v>
                        </c:pt>
                        <c:pt idx="37">
                          <c:v>Can a Window Stop a Wrecking Ball?</c:v>
                        </c:pt>
                        <c:pt idx="38">
                          <c:v>YouTube CEO Has A Surprise For Me</c:v>
                        </c:pt>
                        <c:pt idx="39">
                          <c:v>Every Youtube Play Button</c:v>
                        </c:pt>
                        <c:pt idx="40">
                          <c:v>Try Not To Get Slimed</c:v>
                        </c:pt>
                        <c:pt idx="41">
                          <c:v>Donâ€™t Eat The Spicy Yoshi Egg</c:v>
                        </c:pt>
                        <c:pt idx="42">
                          <c:v>Guess What Age Punched You</c:v>
                        </c:pt>
                        <c:pt idx="43">
                          <c:v>Subscribe, Iâ€™ll Double Your Bank Account</c:v>
                        </c:pt>
                        <c:pt idx="44">
                          <c:v>Every Step You Take, Win $1,000</c:v>
                        </c:pt>
                        <c:pt idx="45">
                          <c:v>Guess The Animal</c:v>
                        </c:pt>
                        <c:pt idx="46">
                          <c:v>Is Being Smart or Strong Better?</c:v>
                        </c:pt>
                        <c:pt idx="47">
                          <c:v>Can He Make This Shot?</c:v>
                        </c:pt>
                        <c:pt idx="48">
                          <c:v>World's Fastest Date</c:v>
                        </c:pt>
                        <c:pt idx="49">
                          <c:v>Guess the Animal</c:v>
                        </c:pt>
                        <c:pt idx="50">
                          <c:v>Flip a Coin, Win $30,000</c:v>
                        </c:pt>
                        <c:pt idx="51">
                          <c:v>Will a Zebra Subscribe to me?</c:v>
                        </c:pt>
                        <c:pt idx="52">
                          <c:v>Guess The Animal</c:v>
                        </c:pt>
                        <c:pt idx="53">
                          <c:v>Who's The Strongest Streamer?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MrBeast_Cleaned_Dataset!$N$2:$N$988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52</c:v>
                      </c:pt>
                      <c:pt idx="1">
                        <c:v>35</c:v>
                      </c:pt>
                      <c:pt idx="2">
                        <c:v>39</c:v>
                      </c:pt>
                      <c:pt idx="3">
                        <c:v>44</c:v>
                      </c:pt>
                      <c:pt idx="4">
                        <c:v>55</c:v>
                      </c:pt>
                      <c:pt idx="5">
                        <c:v>40</c:v>
                      </c:pt>
                      <c:pt idx="6">
                        <c:v>33</c:v>
                      </c:pt>
                      <c:pt idx="7">
                        <c:v>35</c:v>
                      </c:pt>
                      <c:pt idx="8">
                        <c:v>51</c:v>
                      </c:pt>
                      <c:pt idx="9">
                        <c:v>29</c:v>
                      </c:pt>
                      <c:pt idx="10">
                        <c:v>42</c:v>
                      </c:pt>
                      <c:pt idx="11">
                        <c:v>28</c:v>
                      </c:pt>
                      <c:pt idx="12">
                        <c:v>36</c:v>
                      </c:pt>
                      <c:pt idx="13">
                        <c:v>45</c:v>
                      </c:pt>
                      <c:pt idx="14">
                        <c:v>41</c:v>
                      </c:pt>
                      <c:pt idx="15">
                        <c:v>28</c:v>
                      </c:pt>
                      <c:pt idx="16">
                        <c:v>31</c:v>
                      </c:pt>
                      <c:pt idx="17">
                        <c:v>26</c:v>
                      </c:pt>
                      <c:pt idx="18">
                        <c:v>37</c:v>
                      </c:pt>
                      <c:pt idx="19">
                        <c:v>24</c:v>
                      </c:pt>
                      <c:pt idx="20">
                        <c:v>32</c:v>
                      </c:pt>
                      <c:pt idx="21">
                        <c:v>23</c:v>
                      </c:pt>
                      <c:pt idx="22">
                        <c:v>39</c:v>
                      </c:pt>
                      <c:pt idx="23">
                        <c:v>19</c:v>
                      </c:pt>
                      <c:pt idx="24">
                        <c:v>44</c:v>
                      </c:pt>
                      <c:pt idx="25">
                        <c:v>26</c:v>
                      </c:pt>
                      <c:pt idx="26">
                        <c:v>31</c:v>
                      </c:pt>
                      <c:pt idx="27">
                        <c:v>22</c:v>
                      </c:pt>
                      <c:pt idx="28">
                        <c:v>37</c:v>
                      </c:pt>
                      <c:pt idx="29">
                        <c:v>45</c:v>
                      </c:pt>
                      <c:pt idx="30">
                        <c:v>30</c:v>
                      </c:pt>
                      <c:pt idx="31">
                        <c:v>23</c:v>
                      </c:pt>
                      <c:pt idx="32">
                        <c:v>29</c:v>
                      </c:pt>
                      <c:pt idx="33">
                        <c:v>26</c:v>
                      </c:pt>
                      <c:pt idx="34">
                        <c:v>14</c:v>
                      </c:pt>
                      <c:pt idx="35">
                        <c:v>26</c:v>
                      </c:pt>
                      <c:pt idx="36">
                        <c:v>38</c:v>
                      </c:pt>
                      <c:pt idx="37">
                        <c:v>34</c:v>
                      </c:pt>
                      <c:pt idx="38">
                        <c:v>33</c:v>
                      </c:pt>
                      <c:pt idx="39">
                        <c:v>25</c:v>
                      </c:pt>
                      <c:pt idx="40">
                        <c:v>21</c:v>
                      </c:pt>
                      <c:pt idx="41">
                        <c:v>31</c:v>
                      </c:pt>
                      <c:pt idx="42">
                        <c:v>26</c:v>
                      </c:pt>
                      <c:pt idx="43">
                        <c:v>42</c:v>
                      </c:pt>
                      <c:pt idx="44">
                        <c:v>31</c:v>
                      </c:pt>
                      <c:pt idx="45">
                        <c:v>16</c:v>
                      </c:pt>
                      <c:pt idx="46">
                        <c:v>32</c:v>
                      </c:pt>
                      <c:pt idx="47">
                        <c:v>22</c:v>
                      </c:pt>
                      <c:pt idx="48">
                        <c:v>20</c:v>
                      </c:pt>
                      <c:pt idx="49">
                        <c:v>16</c:v>
                      </c:pt>
                      <c:pt idx="50">
                        <c:v>24</c:v>
                      </c:pt>
                      <c:pt idx="51">
                        <c:v>29</c:v>
                      </c:pt>
                      <c:pt idx="52">
                        <c:v>16</c:v>
                      </c:pt>
                      <c:pt idx="53">
                        <c:v>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F7F-4E5A-BF54-E24540A37BE9}"/>
                  </c:ext>
                </c:extLst>
              </c15:ser>
            </c15:filteredScatterSeries>
            <c15:filteredScatterSeries>
              <c15:ser>
                <c:idx val="6"/>
                <c:order val="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MrBeast_Cleaned_Dataset!$N$2:$N$988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52</c:v>
                      </c:pt>
                      <c:pt idx="1">
                        <c:v>35</c:v>
                      </c:pt>
                      <c:pt idx="2">
                        <c:v>39</c:v>
                      </c:pt>
                      <c:pt idx="3">
                        <c:v>44</c:v>
                      </c:pt>
                      <c:pt idx="4">
                        <c:v>55</c:v>
                      </c:pt>
                      <c:pt idx="5">
                        <c:v>40</c:v>
                      </c:pt>
                      <c:pt idx="6">
                        <c:v>33</c:v>
                      </c:pt>
                      <c:pt idx="7">
                        <c:v>35</c:v>
                      </c:pt>
                      <c:pt idx="8">
                        <c:v>51</c:v>
                      </c:pt>
                      <c:pt idx="9">
                        <c:v>29</c:v>
                      </c:pt>
                      <c:pt idx="10">
                        <c:v>42</c:v>
                      </c:pt>
                      <c:pt idx="11">
                        <c:v>28</c:v>
                      </c:pt>
                      <c:pt idx="12">
                        <c:v>36</c:v>
                      </c:pt>
                      <c:pt idx="13">
                        <c:v>45</c:v>
                      </c:pt>
                      <c:pt idx="14">
                        <c:v>41</c:v>
                      </c:pt>
                      <c:pt idx="15">
                        <c:v>28</c:v>
                      </c:pt>
                      <c:pt idx="16">
                        <c:v>31</c:v>
                      </c:pt>
                      <c:pt idx="17">
                        <c:v>26</c:v>
                      </c:pt>
                      <c:pt idx="18">
                        <c:v>37</c:v>
                      </c:pt>
                      <c:pt idx="19">
                        <c:v>24</c:v>
                      </c:pt>
                      <c:pt idx="20">
                        <c:v>32</c:v>
                      </c:pt>
                      <c:pt idx="21">
                        <c:v>23</c:v>
                      </c:pt>
                      <c:pt idx="22">
                        <c:v>39</c:v>
                      </c:pt>
                      <c:pt idx="23">
                        <c:v>19</c:v>
                      </c:pt>
                      <c:pt idx="24">
                        <c:v>44</c:v>
                      </c:pt>
                      <c:pt idx="25">
                        <c:v>26</c:v>
                      </c:pt>
                      <c:pt idx="26">
                        <c:v>31</c:v>
                      </c:pt>
                      <c:pt idx="27">
                        <c:v>22</c:v>
                      </c:pt>
                      <c:pt idx="28">
                        <c:v>37</c:v>
                      </c:pt>
                      <c:pt idx="29">
                        <c:v>45</c:v>
                      </c:pt>
                      <c:pt idx="30">
                        <c:v>30</c:v>
                      </c:pt>
                      <c:pt idx="31">
                        <c:v>23</c:v>
                      </c:pt>
                      <c:pt idx="32">
                        <c:v>29</c:v>
                      </c:pt>
                      <c:pt idx="33">
                        <c:v>26</c:v>
                      </c:pt>
                      <c:pt idx="34">
                        <c:v>14</c:v>
                      </c:pt>
                      <c:pt idx="35">
                        <c:v>26</c:v>
                      </c:pt>
                      <c:pt idx="36">
                        <c:v>38</c:v>
                      </c:pt>
                      <c:pt idx="37">
                        <c:v>34</c:v>
                      </c:pt>
                      <c:pt idx="38">
                        <c:v>33</c:v>
                      </c:pt>
                      <c:pt idx="39">
                        <c:v>25</c:v>
                      </c:pt>
                      <c:pt idx="40">
                        <c:v>21</c:v>
                      </c:pt>
                      <c:pt idx="41">
                        <c:v>31</c:v>
                      </c:pt>
                      <c:pt idx="42">
                        <c:v>26</c:v>
                      </c:pt>
                      <c:pt idx="43">
                        <c:v>42</c:v>
                      </c:pt>
                      <c:pt idx="44">
                        <c:v>31</c:v>
                      </c:pt>
                      <c:pt idx="45">
                        <c:v>16</c:v>
                      </c:pt>
                      <c:pt idx="46">
                        <c:v>32</c:v>
                      </c:pt>
                      <c:pt idx="47">
                        <c:v>22</c:v>
                      </c:pt>
                      <c:pt idx="48">
                        <c:v>20</c:v>
                      </c:pt>
                      <c:pt idx="49">
                        <c:v>16</c:v>
                      </c:pt>
                      <c:pt idx="50">
                        <c:v>24</c:v>
                      </c:pt>
                      <c:pt idx="51">
                        <c:v>29</c:v>
                      </c:pt>
                      <c:pt idx="52">
                        <c:v>16</c:v>
                      </c:pt>
                      <c:pt idx="53">
                        <c:v>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MrBeast_Cleaned_Dataset!$C$2:$C$988</c15:sqref>
                        </c15:formulaRef>
                      </c:ext>
                    </c:extLst>
                    <c:numCache>
                      <c:formatCode>0.00</c:formatCode>
                      <c:ptCount val="54"/>
                      <c:pt idx="0">
                        <c:v>130518718</c:v>
                      </c:pt>
                      <c:pt idx="1">
                        <c:v>8880900</c:v>
                      </c:pt>
                      <c:pt idx="2">
                        <c:v>62264600</c:v>
                      </c:pt>
                      <c:pt idx="3">
                        <c:v>11011863</c:v>
                      </c:pt>
                      <c:pt idx="4">
                        <c:v>86411166</c:v>
                      </c:pt>
                      <c:pt idx="5">
                        <c:v>679847266</c:v>
                      </c:pt>
                      <c:pt idx="6">
                        <c:v>111478886</c:v>
                      </c:pt>
                      <c:pt idx="7">
                        <c:v>70103357</c:v>
                      </c:pt>
                      <c:pt idx="8">
                        <c:v>128541828</c:v>
                      </c:pt>
                      <c:pt idx="9">
                        <c:v>85713424</c:v>
                      </c:pt>
                      <c:pt idx="10">
                        <c:v>158846200</c:v>
                      </c:pt>
                      <c:pt idx="11">
                        <c:v>19230719</c:v>
                      </c:pt>
                      <c:pt idx="12">
                        <c:v>128893992</c:v>
                      </c:pt>
                      <c:pt idx="13">
                        <c:v>18371605</c:v>
                      </c:pt>
                      <c:pt idx="14">
                        <c:v>140045451</c:v>
                      </c:pt>
                      <c:pt idx="15">
                        <c:v>15670322</c:v>
                      </c:pt>
                      <c:pt idx="16">
                        <c:v>126420335</c:v>
                      </c:pt>
                      <c:pt idx="17">
                        <c:v>26738846</c:v>
                      </c:pt>
                      <c:pt idx="18">
                        <c:v>153266977</c:v>
                      </c:pt>
                      <c:pt idx="19">
                        <c:v>18460027</c:v>
                      </c:pt>
                      <c:pt idx="20">
                        <c:v>16947694</c:v>
                      </c:pt>
                      <c:pt idx="21">
                        <c:v>37162928</c:v>
                      </c:pt>
                      <c:pt idx="22">
                        <c:v>41717130</c:v>
                      </c:pt>
                      <c:pt idx="23">
                        <c:v>51790997</c:v>
                      </c:pt>
                      <c:pt idx="24">
                        <c:v>230044635</c:v>
                      </c:pt>
                      <c:pt idx="25">
                        <c:v>87493049</c:v>
                      </c:pt>
                      <c:pt idx="26">
                        <c:v>112979930</c:v>
                      </c:pt>
                      <c:pt idx="27">
                        <c:v>174949490</c:v>
                      </c:pt>
                      <c:pt idx="28">
                        <c:v>63292424</c:v>
                      </c:pt>
                      <c:pt idx="29">
                        <c:v>109837392</c:v>
                      </c:pt>
                      <c:pt idx="30">
                        <c:v>127897654</c:v>
                      </c:pt>
                      <c:pt idx="31">
                        <c:v>1220368372</c:v>
                      </c:pt>
                      <c:pt idx="32">
                        <c:v>99528244</c:v>
                      </c:pt>
                      <c:pt idx="33">
                        <c:v>131784458</c:v>
                      </c:pt>
                      <c:pt idx="34">
                        <c:v>103677747</c:v>
                      </c:pt>
                      <c:pt idx="35">
                        <c:v>634740319</c:v>
                      </c:pt>
                      <c:pt idx="36">
                        <c:v>90026599</c:v>
                      </c:pt>
                      <c:pt idx="37">
                        <c:v>97020419</c:v>
                      </c:pt>
                      <c:pt idx="38">
                        <c:v>320768587</c:v>
                      </c:pt>
                      <c:pt idx="39">
                        <c:v>354422379</c:v>
                      </c:pt>
                      <c:pt idx="40">
                        <c:v>127697094</c:v>
                      </c:pt>
                      <c:pt idx="41">
                        <c:v>146632610</c:v>
                      </c:pt>
                      <c:pt idx="42">
                        <c:v>362606510</c:v>
                      </c:pt>
                      <c:pt idx="43">
                        <c:v>325367332</c:v>
                      </c:pt>
                      <c:pt idx="44">
                        <c:v>125911907</c:v>
                      </c:pt>
                      <c:pt idx="45">
                        <c:v>180628523</c:v>
                      </c:pt>
                      <c:pt idx="46">
                        <c:v>156925389</c:v>
                      </c:pt>
                      <c:pt idx="47">
                        <c:v>318642383</c:v>
                      </c:pt>
                      <c:pt idx="48">
                        <c:v>336785327</c:v>
                      </c:pt>
                      <c:pt idx="49">
                        <c:v>491669636</c:v>
                      </c:pt>
                      <c:pt idx="50">
                        <c:v>1150823786</c:v>
                      </c:pt>
                      <c:pt idx="51">
                        <c:v>706173056</c:v>
                      </c:pt>
                      <c:pt idx="52">
                        <c:v>574352236</c:v>
                      </c:pt>
                      <c:pt idx="53">
                        <c:v>675992847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F7F-4E5A-BF54-E24540A37BE9}"/>
                  </c:ext>
                </c:extLst>
              </c15:ser>
            </c15:filteredScatterSeries>
          </c:ext>
        </c:extLst>
      </c:scatterChart>
      <c:valAx>
        <c:axId val="165768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86224"/>
        <c:crosses val="autoZero"/>
        <c:crossBetween val="midCat"/>
      </c:valAx>
      <c:valAx>
        <c:axId val="165768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8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3</xdr:row>
      <xdr:rowOff>30480</xdr:rowOff>
    </xdr:from>
    <xdr:to>
      <xdr:col>15</xdr:col>
      <xdr:colOff>441960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A416E-0881-2324-533A-7E9248BD3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87630</xdr:rowOff>
    </xdr:from>
    <xdr:to>
      <xdr:col>10</xdr:col>
      <xdr:colOff>571500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8933A-5A8B-2BDB-45CD-B25AB19B1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8</xdr:row>
      <xdr:rowOff>26670</xdr:rowOff>
    </xdr:from>
    <xdr:to>
      <xdr:col>12</xdr:col>
      <xdr:colOff>7620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B233E8-5583-13A1-FFB6-6C00DD638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4</xdr:row>
      <xdr:rowOff>38100</xdr:rowOff>
    </xdr:from>
    <xdr:to>
      <xdr:col>12</xdr:col>
      <xdr:colOff>480060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A84A1-D3FA-C318-2830-A5EAA6B3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6</xdr:row>
      <xdr:rowOff>148590</xdr:rowOff>
    </xdr:from>
    <xdr:to>
      <xdr:col>11</xdr:col>
      <xdr:colOff>45720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5C562-AF46-01D9-FDEE-E13EE9EB5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5</xdr:row>
      <xdr:rowOff>106680</xdr:rowOff>
    </xdr:from>
    <xdr:to>
      <xdr:col>14</xdr:col>
      <xdr:colOff>68580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B7260-D4E0-AA07-CD74-61F96016F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10</xdr:row>
      <xdr:rowOff>19050</xdr:rowOff>
    </xdr:from>
    <xdr:to>
      <xdr:col>8</xdr:col>
      <xdr:colOff>99060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EF293-27D1-4B66-CFBC-5ADA42CBF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6</xdr:row>
      <xdr:rowOff>148590</xdr:rowOff>
    </xdr:from>
    <xdr:to>
      <xdr:col>15</xdr:col>
      <xdr:colOff>464820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C33EA-E403-2C5F-1BB9-8D4CC183C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564444</xdr:colOff>
      <xdr:row>8</xdr:row>
      <xdr:rowOff>0</xdr:rowOff>
    </xdr:from>
    <xdr:to>
      <xdr:col>13</xdr:col>
      <xdr:colOff>337871</xdr:colOff>
      <xdr:row>29</xdr:row>
      <xdr:rowOff>105402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2753F-4926-48C6-BC96-AD4A47F38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98.818013194446" createdVersion="8" refreshedVersion="8" minRefreshableVersion="3" recordCount="987" xr:uid="{D4B880E4-6803-49B7-8B59-8E542EC26E03}">
  <cacheSource type="worksheet">
    <worksheetSource name="Table1"/>
  </cacheSource>
  <cacheFields count="16">
    <cacheField name="Title" numFmtId="0">
      <sharedItems containsMixedTypes="1" containsNumber="1" containsInteger="1" minValue="1500" maxValue="20000" count="978">
        <s v="BO3"/>
        <n v="1500"/>
        <s v="Time"/>
        <s v="Storm"/>
        <n v="20000"/>
        <s v="Update"/>
        <s v="1k Subs"/>
        <s v="3k HYPE"/>
        <s v="Youtube"/>
        <s v="G2g Brb"/>
        <s v="Quitting?"/>
        <s v="5,000 Hype"/>
        <s v="Randomness"/>
        <s v="Motivation"/>
        <s v="Impossible"/>
        <s v="Ma Channel"/>
        <s v="Story time!"/>
        <s v="Youtube ad."/>
        <s v="My Problems"/>
        <s v="I Met Neymar"/>
        <s v="New Channel?"/>
        <s v="Subscribers."/>
        <s v="Minimum Wage"/>
        <s v="Exams Be Like"/>
        <s v="Youtube Grind"/>
        <s v="Youtube Dream"/>
        <s v="Screw Warface"/>
        <s v="Pass the Phone"/>
        <s v="The Anti-Beast"/>
        <s v="Money Problems"/>
        <s v="Goodbye Laptop"/>
        <s v="Cheat Channels"/>
        <s v="MrBeast6000Subs"/>
        <s v="Channel Update."/>
        <s v="Battle Pirates!"/>
        <s v="COD IS NOT DEAD"/>
        <s v="Katana Vs Bullet"/>
        <s v="Guess The Animal"/>
        <s v="Hi Me In 5 Years"/>
        <s v="Breaking The Law"/>
        <s v="i'm really sorry"/>
        <s v="THINGS I HATE #1"/>
        <s v="This Game Is Wild"/>
        <s v="I Raced A Cheetah"/>
        <s v="$1 vs $25,000 VFX"/>
        <s v="Hi Me In 10 Years"/>
        <s v="Savage Level 9000"/>
        <s v="2,000 Subscribers"/>
        <s v="Cereal Commentary"/>
        <s v="Youtube &quot;Freinds&quot;"/>
        <s v="I Raced IShowSpeed"/>
        <s v="I Raced Noah Lyles"/>
        <s v="Train Vs Giant Pit"/>
        <s v="How Fast Can I Go?"/>
        <s v="Guess What Hit You"/>
        <s v="Millions Of Views!"/>
        <s v="Leaving For 7 Days"/>
        <s v="Human vs Jet Engine"/>
        <s v="I Adopted 100 Dogs!"/>
        <s v="Confronting Ronaldo"/>
        <s v="Extreme Helmet Game"/>
        <s v="$1 vs $500,000 Date"/>
        <s v="$1 or Mystery Vial?"/>
        <s v="How I Became MrBeef"/>
        <s v="Does Spam Work?????"/>
        <s v="10,000 QNA With MUM"/>
        <s v="Channel Trailer...."/>
        <s v="This Game Is Wild..."/>
        <s v="World's Fastest Date"/>
        <s v="Pass The Phone Toâ€¦"/>
        <s v="I Hunted 100 People!"/>
        <s v="I Broke Into A House"/>
        <s v="I Opened A FREE BANK"/>
        <s v="YOUTUBE REWIND: 2020"/>
        <s v="OMG! INSANE CUP FORT"/>
        <s v="100th VIDEO SPECIAL!"/>
        <s v="Reenacting Youtubers"/>
        <s v="BLOWING UP MY TABLET"/>
        <s v="My First Kem Strike!"/>
        <s v="2015 Year Highlights"/>
        <s v="Modern Art Is A Joke"/>
        <s v="What Is Spam404?????"/>
        <s v="$100,000,000 Bathroom"/>
        <s v="Last One To Fall Wins"/>
        <s v="Try Not To Get Slimed"/>
        <s v="I Arrested IShowSpeed"/>
        <s v="MrBeast Lab Disaster!"/>
        <s v="I Counted To 100,000!"/>
        <s v="I Hate Pewdiepie!!!!!"/>
        <s v="Two Years of Youtube."/>
        <s v="20 Best Websites?????"/>
        <s v="Whats That Song Name?"/>
        <s v="Pewdiepie Was On T.V."/>
        <s v="World's Worst Thieves"/>
        <s v="$100,000,000 Car Doors"/>
        <s v="Do Pawnshops Scam You?"/>
        <s v="1 Subscriber = 1 Penny"/>
        <s v="Extreme Home Makeover!"/>
        <s v="7 Days Stranded At Sea"/>
        <s v="$1 vs $10,000,000 Job!"/>
        <s v="Can He Make This Shot?"/>
        <s v="Worldâ€™s Smartest Dog"/>
        <s v="I Sold My House For $1"/>
        <s v="Wait... Was He Famous?"/>
        <s v="You Lose, You Get Shot"/>
        <s v="MrBeastâ€™s Outro Song"/>
        <s v="POKEMON GO STEREOTYPES"/>
        <s v="50,000 Subscribers.exe"/>
        <s v="Career Ender ....  LOL"/>
        <s v="9k Subs - Channel Talk"/>
        <s v="Movie Trailers Be Like"/>
        <s v="Welcome To My Channel!"/>
        <s v="My Baby Got a Virus :("/>
        <s v="Cut Coms vs Uncut Coms"/>
        <s v="I Hate Spam On Youtube"/>
        <s v="Sacrifices And Youtube"/>
        <s v="Subscribe for an iPhone"/>
        <s v="Guess The Gift, Keep It"/>
        <s v="$1 vs $100,000,000 Car!"/>
        <s v="If You Spill, You Lose!"/>
        <s v="Giving 1000 Phones Away"/>
        <s v="I Got Hunted By The FBI"/>
        <s v="Reaction Time Challenge"/>
        <s v="Survivor vs Beast Games"/>
        <s v="20,000 Magnets Vs A Car"/>
        <s v="Microwaving A Microwave"/>
        <s v="IF ONLINE ADS WERE REAL"/>
        <s v="100,000 SUBSCRIBERS.EXE"/>
        <s v="Am I Ian From Smosh????"/>
        <s v="Should I join FaZe?????"/>
        <s v="Black ops 2 Patch news!"/>
        <s v="WHERE IS MY COOKIE?????"/>
        <s v="Camping Montage.... LOL"/>
        <s v="Hellstrikes vs 7 halos!"/>
        <s v="&quot;Beast&quot; Channel Trailer"/>
        <s v="Summer Is Finally Here!"/>
        <s v="Why I Was Not Uploading"/>
        <s v="Top Youtube &quot;ShoutOuts&quot;"/>
        <s v="Flip a Coin, Win $30,000"/>
        <s v="Tipping A Waitress A Car"/>
        <s v="Metal Pipe Vs School Bus"/>
        <s v="$1 vs $250,000 Vacation!"/>
        <s v="Can I Beat An F1 Driver?"/>
        <s v="Real Or Cake For $10,000"/>
        <s v="$1 vs $100,000 Firework!"/>
        <s v="Grab The Rolex, Keep It!"/>
        <s v="You Can Stop Child Labor"/>
        <s v="Subscribe to Win $50,000"/>
        <s v="Jump Over The Lava, Win!"/>
        <s v="Can My FiancÃ©e Lift Me?"/>
        <s v="Youtube In 10 Years?????"/>
        <s v="FaZe Adapt &quot;Stuttertage&quot;"/>
        <s v="Battle Pirates, my base."/>
        <s v="How Rich Is Buzz Feed???"/>
        <s v="Slippery vs Sticky Stairs"/>
        <s v="$1 vs $100,000,000 House!"/>
        <s v="Every Youtube Play Button"/>
        <s v="Worldâ€™s Fastest Robbers"/>
        <s v="Protect $500,000 Keep It!"/>
        <s v="I Bought A Private Island"/>
        <s v="7 Days Stranded In A Cave"/>
        <s v="Beat Neymar, Win $500,000"/>
        <s v="Call Your Ex, Win $10,000"/>
        <s v="BEST INTROS ON YOUTUBE #1"/>
        <s v="I BOUGHT A 1000$ KEYBOARD"/>
        <s v="More birds IN MINECRAFT!!"/>
        <s v="Scary minecraft pig skin!"/>
        <s v="Drinks in minecraft (mod)"/>
        <s v="Double Agent (Short Film)"/>
        <s v="School Is A Waste Of Time"/>
        <s v="OpTiC NaDeShOt Got Hack!!"/>
        <s v="Subscriber Goals For 2017"/>
        <s v="Making Youtube a Priority"/>
        <s v="My New Channel Trailer ;)"/>
        <s v="Subscriber Goals For 2016"/>
        <s v="How To SAT, Get Into Yale"/>
        <s v="Social Media As A Job????"/>
        <s v="SAT And Some Random Stuff"/>
        <s v="$10,000 Girl Scout Cookies"/>
        <s v="Hit The Button, Win $1,000"/>
        <s v="$10,000 Human Shuffleboard"/>
        <s v="Find Your Dog, Win $10,000"/>
        <s v="Guess What Age Punched You"/>
        <s v="Winner Picks Our Honeymoon"/>
        <s v="5 Strangers Split $100,000"/>
        <s v="Find This Key, Win $10,000"/>
        <s v="I Built a School in Mexico"/>
        <s v="I Made Money Grow On Trees"/>
        <s v="How I Gave Away $1,000,000"/>
        <s v="VANOSSGAMING IS IN TROUBLE"/>
        <s v="I'm Back! Update Video...."/>
        <s v="Highest Paid Musicians????"/>
        <s v="Remember When COD Was Fun?"/>
        <s v="Drift This Car, Win $10,000"/>
        <s v="$1 vs $1,000,000,000 Yacht!"/>
        <s v="Buy Feastables, Win $10,000"/>
        <s v="Find The Human, Win $10,000"/>
        <s v="I Spent 7 Days Buried Alive"/>
        <s v="Ages 1-100 Try My Chocolate"/>
        <s v="$1 vs $500,000 Experiences!"/>
        <s v="I Built 100 Wells In Africa"/>
        <s v="Lose 100 LBs, Win $250,000!"/>
        <s v="Protect The Yacht, Keep It!"/>
        <s v="Rocket League In Real Life!"/>
        <s v="I Tipped Waitresses $20,000"/>
        <s v="Life Hacks You Need To Know"/>
        <s v="WORST BANNERS ON YOUTUBE #1"/>
        <s v="WORST THUMBNAILS ON YOUTUBE"/>
        <s v="Minecraft Mansion Timelapse"/>
        <s v="Best Minecraft Castle Ever?"/>
        <s v="IT FINALLY CAME IN THE MAIL"/>
        <s v="What Is Crohns Disease?????"/>
        <s v="Are Youtubers Millionaires?"/>
        <s v="Motivation For Youtubers #5"/>
        <s v="How To Gain Youtube Success"/>
        <s v="SpiderMan Robs Walmart?????"/>
        <s v="Answer The Call, Win $10,000"/>
        <s v="The World's Fastest Cleaners"/>
        <s v="Reach the Money, Win $10,000"/>
        <s v="$1 vs $500,000 Plane Ticket!"/>
        <s v="Worldâ€™s Most Expensive Bed"/>
        <s v="7 Days Stranded On An Island"/>
        <s v="$1 vs $1,000,000 Hotel Room!"/>
        <s v="Subscribe To Explode The TNT"/>
        <s v="Beat Ronaldo, Win $1,000,000"/>
        <s v="World's Most Dangerous Trap!"/>
        <s v="I Ate A $70,000 Golden Pizza"/>
        <s v="I Got Hunted By The Military"/>
        <s v="This obstacle course is WILD"/>
        <s v="Can I Survive A Plane Crash?"/>
        <s v="Hit The Target, Win $300,000"/>
        <s v="Videos I Could Not Upload..."/>
        <s v="Jet Engine vs Human for $10k"/>
        <s v="Answer The Door, Win $10,000"/>
        <s v="I Gave A Homeless Man A Home"/>
        <s v="I Baked a Cake In a Race Car"/>
        <s v="Donating $10000 To Pewdiepie"/>
        <s v="My Chocolate Factory Blew Up"/>
        <s v="Asking My FiancÃ©e on a Date"/>
        <s v="Tipping Uber Drivers $10,000"/>
        <s v="Why I Haven't Been Uploading"/>
        <s v="My Mom Found My Channel!! :0"/>
        <s v="What is Crohn's Disease?????"/>
        <s v="100k Subs With No Videos????"/>
        <s v="Amazing minecraft Cathedral!"/>
        <s v="These Were The Good Days...."/>
        <s v="Should You Play Video Games?"/>
        <s v="New COD Zombies In 2014?????"/>
        <s v="This Kid Should Quit COD...."/>
        <s v="Minecraft Build-off Fun!!!!!"/>
        <s v="Will a Zebra Subscribe to me?"/>
        <s v="Who's The Strongest Streamer?"/>
        <s v="Donâ€™t Turn Around, Win $10k"/>
        <s v="Worldâ€™s Fastest Dinner Date"/>
        <s v="I Spent 50 Hours Buried Alive"/>
        <s v="Anything You Touch, You Keep!"/>
        <s v="Extreme $100,000 Game of Tag!"/>
        <s v="Extreme $500,000 Game Of Tag!"/>
        <s v="$1  = One Year of Clean Water"/>
        <s v="Last To Leave VR Wins $20,000"/>
        <s v="Pop The Balloons, Win $10,000"/>
        <s v="7 Days Stranded in The Arctic"/>
        <s v="I Hope This Magic Trick Works"/>
        <s v="$10000 Ice Sculpture Vs Flame"/>
        <s v="SELLING ORGANS FOR $1,000,000"/>
        <s v="MrBeast6000's Channel Trailer"/>
        <s v="Emerald tool mod! (minecraft)"/>
        <s v="How Much Does Pewdiepie Make?"/>
        <s v="Insane Black Ops 2 HACKER!!!!"/>
        <s v="How To Duplicate Diamonds!!!!"/>
        <s v="How Much Money Do I Make?????"/>
        <s v="Struggles Of Being A Youtuber"/>
        <s v="Why I Changed My Channel Name"/>
        <s v="Beast Gaming Set Up #almost4k"/>
        <s v="YOU ONLY DO YOUTUBE FOR VIEWS"/>
        <s v="Is Michael Bay My Dad????????"/>
        <s v="I Traded My Car At a Red Light"/>
        <s v="1 Subscriber = 1 Penny Donated"/>
        <s v="Do Men Lie About Their Height?"/>
        <s v="Ronaldo Teaches Me How To SIUU"/>
        <s v="Holding Bigger And Bigger Dogs"/>
        <s v="Keep Track Of Car, Win $10,000"/>
        <s v="I Opened A Free Car Dealership"/>
        <s v="Lambo Race, Winner Keeps Lambo"/>
        <s v="World's Strongest Man Vs Robot"/>
        <s v="I Hid $1,000,000 In This Vault"/>
        <s v="Why I Havenâ€™t Been Uploading"/>
        <s v="Hit The Target, Keep The Prize"/>
        <s v="Saying Pewdiepie 100,000 Times"/>
        <s v="I Dropped $20,000 From A Drone"/>
        <s v="THE WORST THINGS EVER TO EXIST"/>
        <s v="Boxy item mod Minecraft.  EPIC"/>
        <s v="BEST WALMART TOILET PAPER FORT"/>
        <s v="Every Challenge I've Ever Done"/>
        <s v="WORST THUMBNAILS ON YOUTUBE #3"/>
        <s v="Yup I is the best at the game."/>
        <s v="50k Video Views!!!! EpicSauce!"/>
        <s v="MrBeast Rest In Pepperoni 6000"/>
        <s v="Has Youtube Met Its Match?????"/>
        <s v="Youtubers Analytic's Explained"/>
        <s v="Making My Background More Epic"/>
        <s v="Fanboy Opinions On Black Ops 3"/>
        <s v="Big Channel's Starting Over???"/>
        <s v="Find This Stranger, Win $10,000"/>
        <s v="Could You Walk Up A Skyscraper?"/>
        <s v="Ages 1 - 100 Fight For $500,000"/>
        <s v="I Got Naruto to Subscribe to Me"/>
        <s v="I Ate $100,000 Golden Ice Cream"/>
        <s v="Worldâ€™s Most Expensive Coffee"/>
        <s v="Pass All 12 Grades, Win $10,000"/>
        <s v="World's Fastest Car Vs Cheetah!"/>
        <s v="I Bought Everything In 5 Stores"/>
        <s v="First To Rob Bank Wins $100,000"/>
        <s v="Spending $1,000,000 In 24 Hours"/>
        <s v="Homeless Man Buys A Lamborghini"/>
        <s v="Would You Date Him for $10,000?"/>
        <s v="Pick The Wrong Tube, Get Slimed"/>
        <s v="Donâ€™t Eat The Spicy Yoshi Egg"/>
        <s v="I Didnâ€™t Eat Food For 30 Days"/>
        <s v="Ages 1 - 100 Race For $250,000!"/>
        <s v="Every Step You Take, Win $1,000"/>
        <s v="Guess The Youtuber = Win $1,000"/>
        <s v="Baseball Tic Tac Toe vs MLB Pro"/>
        <s v="$200,000 Youtuber Battle Royale"/>
        <s v="We Are Better Than Dude Perfect"/>
        <s v="Saying Logan Paul 100,000 Times"/>
        <s v="Pranks That Went Horribly Wrong"/>
        <s v="Why Do Youtubers Ask For Likes?"/>
        <s v="Most Overpowered Guns In Ghost!"/>
        <s v="Black Ops 2! Mini Update Video."/>
        <s v="Battle pirates Hellstrike fail!"/>
        <s v="Paid Promotion On Youtube Good?"/>
        <s v="Supply Drops For Charity! Ep #2"/>
        <s v="Insane Advanced Warfare Hacker!"/>
        <s v="Doing Youtube For Fun Or Views?"/>
        <s v="The Rock Vs MrBeast For $100,000"/>
        <s v="Spot The Fake Animal For $10,000"/>
        <s v="How Many People To Stop Ronaldo?"/>
        <s v="Last Person Hanging Wins $10,000"/>
        <s v="Every YouTube Play Button I Have"/>
        <s v="I Gave Away A House On Halloween"/>
        <s v="Spot The Difference, Win $10,000"/>
        <s v="Find This Briefcase, Win $10,000"/>
        <s v="I Saved 1,000 Animals From Dying"/>
        <s v="Is Being Smart or Strong Better?"/>
        <s v="I Helped 2,000 People Walk Again"/>
        <s v="Extreme $1,000,000 Hide And Seek"/>
        <s v="I Paid Everyone Stuck in Traffic"/>
        <s v="Would Your Grandma Go Skydiving?"/>
        <s v="Whatever You Hold Onto, You Keep"/>
        <s v="Counting To 10000 In One Sitting"/>
        <s v="How Many People to Pull a Plane?"/>
        <s v="Worst Minecraft Saw Trap Ever???"/>
        <s v="I Ubered Random People In A Tank"/>
        <s v="Spreading Rumors About Streamers"/>
        <s v="I Gave $500,000 To Random People"/>
        <s v="WHY DO THEY SELL THIS ON AMAZON?"/>
        <s v="Bleach Bottle Flips (COP CALLED)"/>
        <s v="This is a block? Since when lol."/>
        <s v="Dude Perfect 3.0 - We Are Better"/>
        <s v="Making Fun Of Youtuber's Intros."/>
        <s v="Who Are The Worst Youtubers?????"/>
        <s v="Top 5 NON-COPYRIGHTED Songs!!!!!"/>
        <s v="What Is Swatting? Why I hate It!"/>
        <s v="FREE TO USE BO3 GAMEPLAY - 1080p"/>
        <s v="Every FaZe Video Ever #karnageRC"/>
        <s v="$456,000 Squid Game In Real Life!"/>
        <s v="I Cooked A Pizza With Power Tools"/>
        <s v="Last Person Standing Wins $10,000"/>
        <s v="I Sent a Subscriber to Disneyland"/>
        <s v="Highest Away From Me Wins $10,000"/>
        <s v="Feeding A Dog $1 vs $10,000 Steak"/>
        <s v="50 YouTubers Fight For $1,000,000"/>
        <s v="YouTube CEO Has A Surprise For Me"/>
        <s v="I Got T-Series To Subscribe To Me"/>
        <s v="I Survived 50 Hours In Antarctica"/>
        <s v="2,000 People Fight For $5,000,000"/>
        <s v="I Won Every Prize At A Theme Park"/>
        <s v="Last To Stop Running Wins $20,000"/>
        <s v="50 Streamers Fight for $1,000,000"/>
        <s v="World's Largest Game Of Dodgeball"/>
        <s v="Click This Video To Feed 1 Person"/>
        <s v="Moving 10 Pounds Using ONLY Sound"/>
        <s v="I Bought A Car Using Only Pennies"/>
        <s v="MY $1000 KEYBOARD CHANGED MY LIFE"/>
        <s v="HOW MUCH MONEY DO YOUTUBERS MAKE?"/>
        <s v="Epic minecraft apartment complex!"/>
        <s v="Shia Labeouf Motivates Youtubers!"/>
        <s v="Online pokemon battle #7 [uu] 5-0"/>
        <s v="The Dreaded Unanswerable Question"/>
        <s v="Motivation For Small Youtubers #3"/>
        <s v="Google+ The Death Of Youtube?????"/>
        <s v="Do Youtubers Pay Taxes????? (USA)"/>
        <s v="Battle Pirates, Unstoppable Ship!"/>
        <s v="Crazy Nub Tub Reactions! Bo2 Fun!"/>
        <s v="Insane Gun Sync - 7 Hours To Make"/>
        <s v="Random Stuff You Don't Care About"/>
        <s v="Supply Drop Challenge For Charity"/>
        <s v="My Upload For ThunderstruckGaming"/>
        <s v="Would You Pet a Cheetah in Africa?"/>
        <s v="Will A Guitar Boat Hold My Weight?"/>
        <s v="Spot The Hidden People For $10,000"/>
        <s v="Furthest Away From Me Wins $10,000"/>
        <s v="Last To Leave Circle Wins $500,000"/>
        <s v="Feeding A Cat $10 Vs $10,000 Sushi"/>
        <s v="Restocking MrBeast Labs at Walmart"/>
        <s v="Find The Real MrBeast, Win $10,000"/>
        <s v="$1 vs $250,000,000 Private Island!"/>
        <s v="Press This Button To Win $100,000!"/>
        <s v="Sprinting with More and More Money"/>
        <s v="100 Boys Vs 100 Girls For $500,000"/>
        <s v="Real Life Spider-Man Vs Skyscraper"/>
        <s v="Stop This Train, Win a Lamborghini"/>
        <s v="Would You Split Or Steal $250,000?"/>
        <s v="100 Kids Vs World's Strongest Man!"/>
        <s v="100 Pilots Fight For A Private Jet"/>
        <s v="Can a Window Stop a Wrecking Ball?"/>
        <s v="Who Has The Fastest Reaction Time?"/>
        <s v="I Spent 24 Hours Straight In Slime"/>
        <s v="Playing Battleship With Real Ships"/>
        <s v="I Can't Break My Strange Addiction"/>
        <s v="WORST REVIEWS ON AMAZON #4 *FUNNY*"/>
        <s v="THE WORST SONG ON YOUTUBE *CRINGE*"/>
        <s v="WORST MEMES AND TRENDS ON YOUTUBE!"/>
        <s v="Things I Hate #2 - Youtube Edition"/>
        <s v="GIVING AWAY $100 ITUNES GIFT CARDS"/>
        <s v="Vanoss vs Speedy! Which is better?"/>
        <s v="Battle Pirates, All Sentinel Base."/>
        <s v="Why I deleted Today's First Upload"/>
        <s v="My Favorite FaZe Clan Members?????"/>
        <s v="PC Master Race Vs Console Peasants"/>
        <s v="Fun In COD. - Insane Reactions Lol"/>
        <s v="How Much Money Does FaZe Make?????"/>
        <s v="Can I Teach a Penguin To Subscribe?"/>
        <s v="Buy Feastables, Win Unlimited Money"/>
        <s v="How Many School Buses Can We Stack?"/>
        <s v="This Is How The Pyramids Were Built"/>
        <s v="100 Kids Fight Parents For $500,000"/>
        <s v="Worldâ€™s Largest Dominoes Vs Store"/>
        <s v="Would You Quit School For $100,000?"/>
        <s v="I Survived 24 Hours Straight In Ice"/>
        <s v="Giant Monopoly Game With Real Money"/>
        <s v="Could You Win This Obstacle Course?"/>
        <s v="I Built 10 Schools Around The World"/>
        <s v="Ordering Water Then Tipping $30,000"/>
        <s v="The Real Way Dinosaurs Went Extinct"/>
        <s v="Tipping Pizza Delivery Guys $10,000"/>
        <s v="POV: You Time Traveled Back to 2016"/>
        <s v="Going To The Connor McGregor fight!"/>
        <s v="Counting To 200,000 (Road To A Mil)"/>
        <s v="SURPRISING MY BROTHER WITH A LAPTOP"/>
        <s v="Huge WW2 jeep! Minecraft creations."/>
        <s v="How Much Youtube Money Do I Make???"/>
        <s v="Best League Player In The Universe."/>
        <s v="I Hate Youtubers That Ask For Likes"/>
        <s v="Pokemon online battle #8 Stone edge"/>
        <s v="Do Tags Do Anything On Youtube?????"/>
        <s v="Funny Noob Tubing Reaction Montage!"/>
        <s v="Computer vs Console My Perspective."/>
        <s v="PewDiePie Uploads A Fake Video! LOL"/>
        <s v="Hearthstone - All Beards Challenge!"/>
        <s v="Milestones And Plans For My Channel"/>
        <s v="The Evolution Of My Youtube Banners"/>
        <s v="My Top 5 Favorite Things At E3 2015"/>
        <s v="How Much Tape To Stop A Lamborghini?"/>
        <s v="Worldâ€™s Deadliest Obstacle Course!"/>
        <s v="Would You Sit In Snakes For $10,000?"/>
        <s v="I Adopted EVERY Dog In A Dog Shelter"/>
        <s v="Last To Take Hand Off Jet, Keeps It!"/>
        <s v="$10,000 Every Day You Survive Prison"/>
        <s v="Find The Real Celebrity, Win $10,000"/>
        <s v="I Got Hunted By A Real Bounty Hunter"/>
        <s v="Which Celebrity Punches The Hardest?"/>
        <s v="I Spent 24 Hours Straight At Area 51"/>
        <s v="7 Days Exploring An Underground City"/>
        <s v="$1 vs $1,000,000,000 Nuclear Bunker!"/>
        <s v="I Ordered Pizza And Tipped The House"/>
        <s v="Last To Take Hand Off Boat, Keeps It"/>
        <s v="30 Celebrities Fight For $1,000,000!"/>
        <s v="I Donated $300,000 To People In Need"/>
        <s v="Breaking Glass Using Only Megaphones"/>
        <s v="Giving $100,000 To A Homeless Person"/>
        <s v="#1 MOST INSANE MAGNET LIFE HACK EVER"/>
        <s v="$10,000 Games Of Rock Paper Scissors"/>
        <s v="Giving A Random Homeless Man $10,000"/>
        <s v="Most Epic minecraft skin EVER  (Psy)"/>
        <s v="Reading The Youtube Terms Of Service"/>
        <s v="Top 10 Richest Gaming Youtubers?????"/>
        <s v="Is Obama Dead? Dumb Google Searches!"/>
        <s v="HOW TO MAKE A GOOD INTRO FOR YOUTUBE"/>
        <s v="Motivation For Youtubers #6 LAST ONE"/>
        <s v="Do You Think You Will Be Famous?????"/>
        <s v="Should College Athletes Be Paid?????"/>
        <s v="WORLD'S FIRST BLACK OPS 3 GUN SYNC!!"/>
        <s v="I Got Really Really Really Bored...."/>
        <s v="How Overpriced Is Movie Popcorn?????"/>
        <s v="Advanced Warfare DLC 4 Honest Parody"/>
        <s v="Battle Of The Beast Round 1 Winners!"/>
        <s v="How Much Money Does Tmartn Make?????"/>
        <s v="Can You Beat A Girl In Arm Wrestling?"/>
        <s v="Ages 1 - 100 Decide Who Wins $250,000"/>
        <s v="Worldâ€™s Most Dangerous Escape Room!"/>
        <s v="100 People Fight For A Private Island"/>
        <s v="I Spent 24 Hours In A Doomsday Bunker"/>
        <s v="Would You Risk Drowning for $500,000?"/>
        <s v="Every Minute One Person Is Eliminated"/>
        <s v="Last To Fall Wins $1,000,000 (Part 1)"/>
        <s v="In 10 Minutes This Room Will Explode!"/>
        <s v="$1 vs $1,000,000,000 Futuristic Tech!"/>
        <s v="How Much Would You Risk For $500,000?"/>
        <s v="100 People Vs Worldâ€™s Biggest Trap!"/>
        <s v="1 Subscriber = 1 Second In The Arctic"/>
        <s v="Last To Take Hand Off House Keeps It!"/>
        <s v="I Opened The World's First FREE Store"/>
        <s v="I Donated $50,000 To Ninja - Fortnite"/>
        <s v="Donating $100,000 To Random Streamers"/>
        <s v="Would Your Dog Pick $10,000 or Steak?"/>
        <s v="I Opened The Worldâ€™s Cheapest Store"/>
        <s v="Returning Destroyed Rental Cars Prank"/>
        <s v="Toothpaste Life Hacks YOU SHOULD KNOW"/>
        <s v="Trying To Fly Using Only Leaf Blowers"/>
        <s v="STUPIDEST PERSN ON EART (Really Dumb)"/>
        <s v="Bronze And Platinum Play Buttons?????"/>
        <s v="Stupid Things People Search On Google"/>
        <s v="The History Of Pewdiepie In 2 Minutes"/>
        <s v="5 Youtubers I Think Will Be Famous..."/>
        <s v="4k Subscriber's! First Channel Story!"/>
        <s v="Is Pewdiepie The #2 Youtuber?!?!?  :0"/>
        <s v="What Is Youtube Terms Of Service?????"/>
        <s v="Battle of The Beasts Round 2 Winners!"/>
        <s v="Should I Buy An Elgato Game Capture??"/>
        <s v="I Think I Am Going For The #KarnageRC"/>
        <s v="Would You Fly To Paris For A Baguette?"/>
        <s v="Bring Me Back Snow From The North Pole"/>
        <s v="I Tipped A Pizza Delivery Driver A Car"/>
        <s v="Would you go on a Blind Date in Italy?"/>
        <s v="How Many Balloons To Make A Store Fly?"/>
        <s v="How Many Balloons Does It Take To Fly?"/>
        <s v="Survive 100 Days Trapped, Win $500,000"/>
        <s v="Will A Basketball Boat Hold My Weight?"/>
        <s v="Face Your Biggest Fear To Win $800,000"/>
        <s v="I Survived 7 Days In An Abandoned City"/>
        <s v="Last To Leave $800,000 Island Keeps It"/>
        <s v="I Spent 7 Days In Solitary Confinement"/>
        <s v="I Built 100 Houses And Gave Them Away!"/>
        <s v="I Spent 100 Hours Inside The Pyramids!"/>
        <s v="Spending 24 Hours On Top Of A Mountain"/>
        <s v="I Built The World's Largest Lego Tower"/>
        <s v="100 Identical Twins Fight For $250,000"/>
        <s v="I Gave My Credit Card To Random People"/>
        <s v="Last To Leave Pool Of $20,000 Keeps It"/>
        <s v="Make This Kick, Win Super Bowl Tickets"/>
        <s v="Get Every Boy Scout Badge, Win $10,000"/>
        <s v="Can We Stop World's Best Tennis Player"/>
        <s v="Would You Steal Money From A Stranger?"/>
        <s v="I Gave Him One Hour To Spend $100,000!"/>
        <s v="I Built A Working Car Using Only LEGOS"/>
        <s v="Tipping Waitresses With Real Gold Bars"/>
        <s v="I Built A Giant House Using Only Legos"/>
        <s v="Spending $40,000 In One Hour Challenge"/>
        <s v="MrBeast6000's First Video (So Bad lol)"/>
        <s v="Dear Razer Can I Have My 70$ Back?????"/>
        <s v="BLOWING UP $1000 KEYBOARD *RIP WALLET*"/>
        <s v="Crazy Illulsions In Minecraft. (Bigre)"/>
        <s v="Worst MrBeast6000 Intros?? (Fan Made!)"/>
        <s v="How Much Does PewDiePie Make????? 2016"/>
        <s v="Epic New Gaming And Youtube Setup 2016"/>
        <s v="How Many Youtubers Are Millionaires???"/>
        <s v="Why Does This Video Have No Thumbnail?"/>
        <s v="1080p FREE TO USE BLACK OPS 3 GAMEPLAY"/>
        <s v="How Much Money Does Tobuscus Make?????"/>
        <s v="6 Uses For Your Advanced Warfare Disk!"/>
        <s v="How Much Do T.V. Commercials Cost?????"/>
        <s v="The Truth About Big Community Channels"/>
        <s v="Battle Of The Beast Tournament UPDATE!"/>
        <s v="I Ate The Worldâ€™s Most Poisonous Fish"/>
        <s v="Running With Bigger And Bigger Lunchlys"/>
        <s v="Iâ€™m Giving My 250M Subscriber $25,000"/>
        <s v="Unboxing My 200M Subscriber Play Button"/>
        <s v="Surviving 24 Hours On A Deserted Island"/>
        <s v="Surviving 24 Hours Straight In A Desert"/>
        <s v="First to Answer the Phone, Wins $10,000"/>
        <s v="Things That SHOULDN'T Be Sold On Amazon"/>
        <s v="Can 50,000 Magnets Catch A Cannon Ball?"/>
        <s v="Do Water Repellent Shoes Actually Work?"/>
        <s v="Anything You Can Carry, I'll Pay For #2"/>
        <s v="50 YouTube Legends Fight For $1,000,000"/>
        <s v="Bring Me A Glass Of Water = Win $10,000"/>
        <s v="Can 1,000 Fans At Max Speed Push A Car?"/>
        <s v="Hi Me In Two Years (Made Two Years Ago)"/>
        <s v="GAMBLING MONEY WITH SCRATCH OFF TICKETS"/>
        <s v="How Much Money Does PewDiePie Make?????"/>
        <s v="FaZe Members Reaction's To Joining Faze"/>
        <s v="Worst Thumbnails On Youtube #2 - Cringe"/>
        <s v="Online pokemon battle #3 [uu] Ice punch"/>
        <s v="5$ To Advertise Your Youtube Channel???"/>
        <s v="Airplane Pilots Last Words Before Death"/>
        <s v="How To Think Of Good Video Ideas (Tips)"/>
        <s v="5 Popular Channels That Were Terminated"/>
        <s v="Battle Pirates, Hellstrike Base attack."/>
        <s v="How Much Money Does FaZe Rain Make?????"/>
        <s v="Selling PS4 For $250 + Elgato For $100!"/>
        <s v="Battle Of The Beasts (youtubers needed)"/>
        <s v="How Much Money Does DramaAlert Make????"/>
        <s v="Iâ€™m Granting Wishes For My Subscribers"/>
        <s v="Survive 100 Days In Circle, Win $500,000"/>
        <s v="I Built Willy Wonka's Chocolate Factory!"/>
        <s v="Flip a Coin, Iâ€™ll Pay For Your College"/>
        <s v="I Spent 50 Hours In Solitary Confinement"/>
        <s v="I Paid A Real Assassin To Try To Kill Me"/>
        <s v="If You Can Carry $1,000,000 You Keep It!"/>
        <s v="Steal This $100,000 Diamond, You Keep It"/>
        <s v="Last to Leave Their Circle Wins $500,000"/>
        <s v="Would You Swim With Sharks For $100,000?"/>
        <s v="Spending 24 Hours In A City With No Laws"/>
        <s v="Eating A $10,000 Golden Steak (24k Gold)"/>
        <s v="Survive 100 Days In Prison, Win $500,000"/>
        <s v="I Put 10 Million Legos in Friend's House"/>
        <s v="I Gave $20,000 To Random Homeless People"/>
        <s v="I Advertised Pewdiepie At The Super Bowl"/>
        <s v="Donating $100,000 To Shroud In Real Life"/>
        <s v="Pulling Cars Over Using A Toy Police Car"/>
        <s v="We Delivered 100 Pizzas To Random Houses"/>
        <s v="Microwaving Dry Ice (Microwave Explodes)"/>
        <s v="Who Founded Faze? Who Created Faze Clan?"/>
        <s v="I Got Bored Of Studying So This Happened"/>
        <s v="How Many Youtubers Are Millionaries?????"/>
        <s v="Dude Perfect 4.0 - We Are Totally Better"/>
        <s v="Epic Minecraft city! (w/ download link!)"/>
        <s v="Best FNAF 4 Fake Reactions! So Funny lol"/>
        <s v="How Much Money Does Smosh Make????? 2016"/>
        <s v="Battle Pirates, Hellstrike vs Epic Base!"/>
        <s v="Battle Pirates, Another Hellstrike Fail."/>
        <s v="10 Things You DIDN'T Know About Youtube!"/>
        <s v="Reddit Is In Chaos After Firing Victoria"/>
        <s v="How Many People Do Youtube as a JOB?????"/>
        <s v="Magecraft - Epic Hit! 11k Troops killed."/>
        <s v="Hacker in Ghost???? I Couldn't Kill Him."/>
        <s v="I Buried Treasure in the Bermuda Triangle"/>
        <s v="I Filled Chandlerâ€™s Car With Feastables"/>
        <s v="Running With Bigger And Bigger Feastables"/>
        <s v="Would You Go On Vacation With A Stranger?"/>
        <s v="1,000 Deaf People Hear For The First Time"/>
        <s v="1,000 Blind People See For The First Time"/>
        <s v="I Gave My 40,000,000th Subscriber 40 Cars"/>
        <s v="$60,000 Extreme Hide And Seek - Challenge"/>
        <s v="Last To Leave Revolving Door Wins $50,000"/>
        <s v="$70,000 Extreme Hide And Seek - Challenge"/>
        <s v="Last To Take Hand Off $1,000,000 Keeps It"/>
        <s v="Trapped On An Island Until I Build A Boat"/>
        <s v="I Survived 100 Hours In An Ancient Temple"/>
        <s v="Molten Lava Vs Giant Ice Block Experiment"/>
        <s v="Paying People $10,000 To Eat Ghost Pepper"/>
        <s v="You Pick The Right Cup, You Win $100,000!"/>
        <s v="Flat Earth PROVEN By Independent Research"/>
        <s v="Can 1,000 Rolls Of Duct Tape Stop A Car??"/>
        <s v="If This Video Gets One Million Views....."/>
        <s v="CUTTING TABLE IN HALF WITH PLASTIC KNIVES"/>
        <s v="100 LAYERS OF SARAN WRAP + TOILET PAPER!!"/>
        <s v="Saying &quot;Keep Net Neutrality&quot; For 10 Hours"/>
        <s v="IF YOU ONLY SEE ORANGE YOU'RE COLOR BLIND"/>
        <s v="24 HOUR EXPLOSION GIVEAWAY! WIN GIFTCARDS"/>
        <s v="18th Birthday QNA - Mom's Hair Dryer Age?"/>
        <s v="Is Jacksepticeye A Millionaire?????? 2016"/>
        <s v="How I Will Survive The Zombie Apocalypse!"/>
        <s v="Markiplier Is A Great Man! Sub shodleech!"/>
        <s v="5 Steps To Becoming Successful On Youtube"/>
        <s v="Five Facts You Didn't Know About Youtube."/>
        <s v="How To Do A High School or College Paper!"/>
        <s v="Reaction Channels Are Stupid??????? #JCTG"/>
        <s v="FaZe Clan Vs Pewdiepie Who Would Win?????"/>
        <s v="NBA Interviews Gone Wrong (No Gun Pulled)"/>
        <s v="$100 GIVEAWAY PRANK (NO WEAPONS INVOLVED)"/>
        <s v="How Video Games Boosted My SAT Score. Lol"/>
        <s v="In Dis Video I Play Minecraft. (Factions)"/>
        <s v="MageCraft - Beginners tutorial. (The app)"/>
        <s v="Vanoss vs Speedy! Who is better? Updated."/>
        <s v="Exility And Some Other Stuff - Update Vid"/>
        <s v="Best Thing To Happen To This Channel?????"/>
        <s v="Most Expensive Hand Model Holds Feastables"/>
        <s v="Bottle Head Smashing World Record Attempt!"/>
        <s v="I Ate The Worldâ€™s Largest Slice Of Pizza"/>
        <s v="Subscribe, Iâ€™ll Double Your Bank Account"/>
        <s v="I Survived The 5 Deadliest Places On Earth"/>
        <s v="I Bought Everything In A Store - Challenge"/>
        <s v="Offering People $100,000 To Quit Their Job"/>
        <s v="Last To Leave Grocery Store, Wins $250,000"/>
        <s v="I Spent 24 Hours Straight In Insane Asylum"/>
        <s v="Can 100,000 Pieces Of Paper Stop A Bullet?"/>
        <s v="Why Google Does Not Care What We Think...."/>
        <s v="How Much Does WhiteBoy7thSt Make????? 2016"/>
        <s v="Top 10 Worst Guns in Call Of Duty History!"/>
        <s v="HOW TO MAKE A VIRAL PRANK VIDEO 100% LEGIT"/>
        <s v="203 Kill Game! Thanks For 300 Subscribers!"/>
        <s v="I Bought A New Microphone!  (quality test)"/>
        <s v="DIY $23.00 Mini Sound Booth? Does It Work?"/>
        <s v="Scheduled Uploaded 6 Months Ago (REACTION)"/>
        <s v="Youtube Collabs? Collabbing with Mr.Beast?"/>
        <s v="5 Steps To Becoming Successful On Youtube!"/>
        <s v="Best Hellstrike Build???? (Battle Pirates)"/>
        <s v="How Much Does &quot;Epic Rap Battles&quot; Make?????"/>
        <s v="The COD Community? Sleeping With Your Mom?"/>
        <s v="HONEST Shout Out Sunday! Free Subscribers!"/>
        <s v="Should You Do COD Commentaries In 2016????"/>
        <s v="Why I Sold My PS4, Not A Gaming Channel???"/>
        <s v="I Paid A Random Studentâ€™s College Tuition"/>
        <s v="Every Country On Earth Fights For $250,000!"/>
        <s v="Last To Take Hand Off Lamborghini, Keeps It"/>
        <s v="24 Hours In The Most Haunted Place On Earth"/>
        <s v="I Uberâ€™d People And Let Them Keep The Car"/>
        <s v="Last To Leave The Tesla, Keeps It Challenge"/>
        <s v="Giving $1,000,000 Of Food To People In Need"/>
        <s v="2,256 Miles In One Uber Ride (World Record)"/>
        <s v="I Flew Using Only Balloons AND Leaf Blowers"/>
        <s v="Donating $10,000 To Random Twitch Streamers"/>
        <s v="Minecraft Let's Play! Ep. 1. The Beginning!"/>
        <s v="How much money does VanossGaming Make? 2016"/>
        <s v="Minecraft, How To Grief Without Being Seen!"/>
        <s v="The Ultimate Motivation For Small Youtubers"/>
        <s v="Pokemon online battle #4 [uu] Same old team"/>
        <s v="Battle pirates, Lvl 58 Mercury Base Attack!"/>
        <s v="Totally 100% Real Epic Ping Pong Trickshots"/>
        <s v="What It Takes To Be A Full Time Youtuber..."/>
        <s v="How Much Money Does Yogscast Make????? 2016"/>
        <s v="Originality - A Youtube Poem By MrBeast6000"/>
        <s v="Watching Video Games Is A Waste Of Time????"/>
        <s v="Free To Use Advanced Warfare Gameplay! 2015"/>
        <s v="Giving iPhones Instead Of Candy on Halloween"/>
        <s v="I Surprised a Random Subscriber With $10,000"/>
        <s v="Surviving 24 Hours Straight In A Rain Forest"/>
        <s v="I Gave My Brother 24 Hours To Spend $100,000"/>
        <s v="Get This Random Person 1,000,000 Subscribers"/>
        <s v="Giving 10,000 Presents To Kids For Christmas"/>
        <s v="Last To Leave Ramen Noodle Pool Wins $20,000"/>
        <s v="Surprising Tfue With $10,000 Live - Fortnite"/>
        <s v="I Spent $100,000 On Lottery Tickets And Won!"/>
        <s v="Watching Dance Till You're Dead For 10 Hours"/>
        <s v="I Bought One Snickers Bar From Every Walmart"/>
        <s v="I Bought Every Billboard In My City For This"/>
        <s v="I Built A Mansion Using Only Cardboard Boxes"/>
        <s v="Tying My Shoes In Every State (World Record)"/>
        <s v="We Made Make-A-Wish Kidsâ€™ Dreams Come True"/>
        <s v="Black ops 2 Gameplay w/ commentary. Hipsters"/>
        <s v="Horse racing map for new update! (minecraft)"/>
        <s v="Dogs Opinions On Youtubers Getting BO3 Early"/>
        <s v="How Much Money Does Penguinz0 Make????? 2016"/>
        <s v="How Much Money Does &quot;Chris Smooth&quot; Make?????"/>
        <s v="Battle pirates, How To Auto Lvl 40 Salvages."/>
        <s v="High School Education Be Like (Paying Taxes)"/>
        <s v="Why Do We Do Things That Are Bad For Us?????"/>
        <s v="Black Ops 3 First Impressions, My First Game"/>
        <s v="Giving Car Keys Instead Of Candy On Halloween"/>
        <s v="Going Through The Same Drive Thru 1,000 Times"/>
        <s v="I Searched 100 Dumpsters, Here's What I Found"/>
        <s v="I Ran A Marathon In The World's Largest Shoes"/>
        <s v="I Spent $1,000,000 On Lottery Tickets and WON"/>
        <s v="Donating $100,000 To Streamers With 0 Viewers"/>
        <s v="Surprising My FiancÃ©e With A Chocolate Heart"/>
        <s v="Last To Leave Toilet Wins $1,000,000 (Part 3)"/>
        <s v="Last To Leave Circle Wins $10,000 - Challenge"/>
        <s v="Important Youtube Announcement (please watch)"/>
        <s v="I Bought An Expensive Car Using Only $1 Bills"/>
        <s v="Walking Into Random Stores With 100 Dinosaurs"/>
        <s v="Donating Big Donations To Twitch Streamers!!!"/>
        <s v="HOW TO UNLOCK ANY IPHONE WITHOUT THE PASSCODE"/>
        <s v="How I Gained 15,000,000 Subscribers In 1 Year"/>
        <s v="Important Announcement From The Grocery Store"/>
        <s v="Giving Homeless People $1,000 (Not Clickbait)"/>
        <s v="Microwaving A Microwave Microwaving A Toaster"/>
        <s v="WORST REVIEWS ON AMAZON #2 HOW IS THIS LEGAL?"/>
        <s v="How Many People Have A Silver Play Button????"/>
        <s v="Most Epic Thing In Minecraft!?!?!?!?!?!!?????"/>
        <s v="What Happens If You Get A Copy Right Strike??"/>
        <s v="How Much Money Does Markiplier Make????? 2016"/>
        <s v="How Much Money Did Gangnam Style Earn??? 2016"/>
        <s v="Why Are Things Unbalanced In Video Games?????"/>
        <s v="Xbox One Destroyer? COD Advertisement Is Free"/>
        <s v="How Much Does Faze Rain's Giveaway Cost??????"/>
        <s v="Last to Stop Swinging Wins $1,000,000 (Part 2)"/>
        <s v="World's Biggest YouTubers Fight for $1,000,000"/>
        <s v="World's Hottest Substance Vs Coldest Substance"/>
        <s v="Anything You Can Carry, I'll Pay For Challenge"/>
        <s v="I Can't Believe I Found This Stuff On Amazon.."/>
        <s v="we are number one but every one is a bad intro"/>
        <s v="REACTING TO MY OLD MINECRAFT VIDEOS (HORRIBLE)"/>
        <s v="Worst Reviews On Amazon #1 (Minecraft Edition)"/>
        <s v="LISTENING TO OLD VOICEMAILS FOR THE FIRST TIME"/>
        <s v="Magic karp sweeps whole team of LEGENDARIES!!!"/>
        <s v="Buried Round 50 Gameplay! Black ops 2 Zombies."/>
        <s v="Top Subscribed To Channels? BO2 w/ commentary!"/>
        <s v="What Is Youtube Red? Should I Buy Youtube Red?"/>
        <s v="Battle Pirates, Hellstrike Too Overpowered????"/>
        <s v="Exility vs Dr.Pineapplez - Misleading Contest!"/>
        <s v="Big Changes??? Idk just watch the stupid video"/>
        <s v="$10,000 Every Day You Survive In The Wilderness"/>
        <s v="Make This Video The Most Liked Video On Youtube"/>
        <s v="I Spent 24 Hours Straight In Prison - Challenge"/>
        <s v="Last To Remove Hand, Gets Lamborghini Challenge"/>
        <s v="Donating $100,000 To A Random Fortnite Streamer"/>
        <s v="I Surprised 50 Make-A-Wish Kids With Disneyland"/>
        <s v="I Spent $50,000 On Lottery Tickets And Won ____"/>
        <s v="I Bought The World's Most Expensive Apps ($10k)"/>
        <s v="I Gave My 6,000,000th Subscriber 6,000,000 ____"/>
        <s v="I Spent $30,000 On Lottery Tickets And Won ____"/>
        <s v="Hi Me In A Year (Scheduled Uploaded A Year Ago)"/>
        <s v="How Much Money Do Youtubers Make? Real Numbers!"/>
        <s v="Walking Dead Daryl DIED (Fan Reaction To Death)"/>
        <s v="How Much Money Does &quot;Skydoesminecraft&quot; Make????"/>
        <s v="L0114R - Biblical Creeper Post for Post @L0114R"/>
        <s v="$10,000 Every Day You Survive In A Grocery Store"/>
        <s v="Survive 100 Days In Nuclear Bunker, Win $500,000"/>
        <s v="I Survived 50 Hours In A Maximum Security Prison"/>
        <s v="I Put 100 Million Orbeez In My Friend's Backyard"/>
        <s v="Survive 30 Days Chained To Your Ex, Win $250,000"/>
        <s v="I Opened A Restaurant That Pays You To Eat At It"/>
        <s v="Survive 30 Days Trapped In The Sky, Win $250,000"/>
        <s v="I Put Millions Of Pennies In My Friends Backyard"/>
        <s v="Last To Leave Slime Pit Wins $20,000 - Challenge"/>
        <s v="Spending 24 Hours Straight Under Water Challenge"/>
        <s v="I Cleaned The Worldâ€™s Dirtiest Beach #TeamSeas"/>
        <s v="Going Around A Ferris Wheel 1,000 Times Straight"/>
        <s v="Last Youtuber To Leave Wins $100,000 - Challenge"/>
        <s v="We Drove 3,000 Miles For The World's Best Burger"/>
        <s v="Giving My Mom $100,000 (Proudest Day Of My Life)"/>
        <s v="Giving My 10,000,000th Subscriber 10,000,000 ___"/>
        <s v="Watching It's Everyday Bro For 10 Hours Straight"/>
        <s v="I Gave $20,000 To People From An Ice Cream Truck"/>
        <s v="Dear Future Me (Scheduled Uploaded 6 Months Ago)"/>
        <s v="How Many People Get The Diamond Play Button?????"/>
        <s v="How to get unlimited diamonds! minecraft (x-ray)"/>
        <s v="Always Changing My Name? Mr.Beast or MrBeast6000"/>
        <s v="Project Zomboid Let's Play ep [04] lots of stuff"/>
        <s v="How To Get A Gaming Partnership, And What It Is."/>
        <s v="7k SUBS! Smashing Ghost + AW! Plus Channel Talk!"/>
        <s v="Battle Pirates, Stingray vs Mercury Epic Battle!"/>
        <s v="Marauder Builds, Battle Pirates In Depth Builds."/>
        <s v="MY MESSAGE TO COD YOUTUBERS (Watch till end plz)"/>
        <s v="Giving Away Two $15 Gift Cards (forgive me boyz)"/>
        <s v="Low Bridge Causes Dozen's Of Wrecks! 11-8 Bridge"/>
        <s v="Giving Away $1,000,000 in Gifts To My Subscribers"/>
        <s v="Gordon Ramsay Tries Most Expensive Chocolate Bar!"/>
        <s v="Anything You Can Fit In The Circle Iâ€™ll Pay For"/>
        <s v="If You Click This Video I'll Give My Friend .001$"/>
        <s v="$50,000 Game Of Extreme Hide And Seek - Challenge"/>
        <s v="Last To Stop Riding Bike Wins $1,000,000 (Part 4)"/>
        <s v="Destroyed Friend's House And Bought Him A New One"/>
        <s v="I Gave My 5,000,000th Subscriber 5,000,000 ______"/>
        <s v="How Much Money Does &quot;Element Animation&quot; Make?????"/>
        <s v="Every Minecraft Let's Play Ever In Under A Minute"/>
        <s v="Flappy Bird - Builders Showdown, Which is Better?"/>
        <s v="How Much Money Does KyR's Speedy's Crew Make?????"/>
        <s v="Beast $500ish Youtube PC Great For Making Videos!"/>
        <s v="How To Be MrBeast (Made By Really Old Subscriber)"/>
        <s v="Life Before And After Gamma (Insane) @GFuelEnergy"/>
        <s v="Giving Trick-or-Treaters Weirder and Weirder Gifts"/>
        <s v="Would YOU Rather Have A Lamborghini or This House?"/>
        <s v="Would You Rather Have A Giant Diamond or $100,000?"/>
        <s v="Survive 100 Days Trapped In A Private Jet, Keep It"/>
        <s v="Giving $10,000 To Random People And Saying Nothing"/>
        <s v="Surprising Strangers With 100 Zombies - Experiment"/>
        <s v="Attempting The Impossible Maze - $10,000 Challenge"/>
        <s v="Fidget Spinner Vs Face (Legit Had To Get Stitches)"/>
        <s v="How Many Toy Cars Does It Take To Pull A Real Car?"/>
        <s v="How Many Rubber Bands Does It Take To Snap A Safe?"/>
        <s v="Walking Up To Random People With 100 StormTroopers"/>
        <s v="I Took Apart My Friends Car And Put It In His Room"/>
        <s v="Giving My 4,000,000th Subscriber 4,000,000 Cookies"/>
        <s v="Donating $10,000 To Fortnite Streamers If They Win"/>
        <s v="How Much Money Does CaptainSparkles Make????? 2016"/>
        <s v="Project Zomboid Lets Play ep [01] Roughing it out!"/>
        <s v="People Who Got Rich From Movie Trailers On Youtube"/>
        <s v="Battle Pirates, lvl 66 vs Missile Cruiser x Fleet!"/>
        <s v="Knives In Video Games Cost More Than Real Life????"/>
        <s v="How Much Money Do You Make As An Uber Driver??????"/>
        <s v="Would You Rather Have $100,000 OR This Mystery Key?"/>
        <s v="Surviving 24 Hours Straight In The Bermuda Triangle"/>
        <s v="Anything You Can Fit In The Triangle Iâ€™ll Pay For"/>
        <s v="Men Vs Women Survive In The Wilderness For $500,000"/>
        <s v="Survive 30 Days Stranded With Your Ex, Win $250,000"/>
        <s v="Planting 20,000,000 Trees, My Biggest Project Ever!"/>
        <s v="I Donated $25,000 To Random Kids Streaming Fortnite"/>
        <s v="Harry Potter Mod In Minecraft! EPIC MUST SEE MOD!!!"/>
        <s v="Best Green Screen Lighting Ever? (Joking Obviously)"/>
        <s v="Pokemon online battle #9 [rb] Hidden power ice ftw!"/>
        <s v="How To Get Active Subscribers On Youtube? Tips 2016"/>
        <s v="Pewdiepie's Shoutout, What Would You Do If You Won?"/>
        <s v="I Bought The World's Largest Mystery Box! ($500,000)"/>
        <s v="I Stranded 100 People In The Wilderness For $250,000"/>
        <s v="2,000,000 People Get Clean Water For The First Time!"/>
        <s v="Can A Glowing 1000 Degree Sword Slice A Car In Half?"/>
        <s v="How Do You Turn Off A PS4? Xbox Noob In Need Of Help"/>
        <s v="How Much Money Does Syndicate Project Make????? 2016"/>
        <s v="Ad Blocker For Chrome and Mobile, Should You Use It?"/>
        <s v="Feastables vs Reeseâ€™s Taste Test with @gordonramsay"/>
        <s v="Last To Leave Roller Coaster Wins $20,000 - Challenge"/>
        <s v="I Crashed One Of The Most Expensive Cars In The World"/>
        <s v="Reading The Longest English Word (190,000 Characters)"/>
        <s v="Winning A Game Of Fortnite In The Middle Of The Ocean"/>
        <s v="Giving 3,000,000 Pennies To My 3,000,000th Subscriber"/>
        <s v="Project Zomboid let's play ep. [02] Just some chores."/>
        <s v="I NEED 1 MORE ð—¦ð—¨ð—•ð—¦ð—–ð—¥ð—œð—•ð—˜ð—¥"/>
        <s v="10 People Vs World's Deadliest Laser Maze for $250,000"/>
        <s v="How Much Money Does Pewdiepie Make????? (Updated 2015)"/>
        <s v="Minecraft Let's Play Ep. # 2 - Having Fun and Derping!"/>
        <s v="Lottery Taxes - How Much Tax Is If You Win The Lottery"/>
        <s v="How To Get 1,000 Subscribers On Youtube - Vlogs Gaming"/>
        <s v="How To Become A Gaming Youtuber! All You Need To Know!"/>
        <s v="INSANE TRIPLE LEGENDARY SUPPLY DROP! BEST OPENING YET?"/>
        <s v="I Gave People $1,000,000 But ONLY 1 Minute To Spend It!"/>
        <s v="Standing Still For 24 Hours Straight - Statue Challenge"/>
        <s v="Surprising TFue With A Fortnite Battle Bus In Real Life"/>
        <s v="Survive 30 Days On An Island With Your Ex, Win $250,000"/>
        <s v="Surprising My 8,000,000th Subscriber With 8,000,000 ___"/>
        <s v="Worlds Biggest Ball Of TNT Minecraft!  Challenge Video!"/>
        <s v="Beast Goes Camping (Didn't Go Wrong) (Didn't Go Sexual)"/>
        <s v="Black ops 2 Invisible equipment and scorestreak glitch!"/>
        <s v="How Do Youtubers Make Money? How Do Youtubers Get Paid?"/>
        <s v="Best Of FlipArtz - His Best Advanced Supply Drops EVER!"/>
        <s v="Is Being A Youtuber Hard? Is Being A Youtuber Worth It?"/>
        <s v="How To Get More Views And Subscribers On Youtube (2016)"/>
        <s v="Youtube Networking - Aka Fake Likes, Subs, And Comments"/>
        <s v="I Donated $30,000 To My Favorite Twitch Streamer (ninja)"/>
        <s v="How Much Money Does Bill Gates Make / Have - Billionaire"/>
        <s v="Project Zomboid Let's Play ep. [03] Looting and storing."/>
        <s v="Battle of The Beasts Bracket!!!! (Not accepting anymore)"/>
        <s v="Last To Leave World's Largest Bowl Of Cereal Wins $10,000"/>
        <s v="Do Dislikes Matter On Youtube - Are Dislikes Bad Or Good?"/>
        <s v="Why I Stopped Playing Video Games - Video Game Commentary"/>
        <s v="Microwaving my iPhone, what happens next might shock you.."/>
        <s v="PSYCHO FRIEND SMASHES MY LAPTOP! (Mc Juggernuggets Parody)"/>
        <s v="Call of Duty Ghost Multiplier Reveal Trailer Release Date!"/>
        <s v="I Donated $1000 Every Time She Blinked - Fortnite Streamers"/>
        <s v="I Donated $10,000 If They Said This Word (Twitch Streamers)"/>
        <s v="Pokemon online battle #2 [uu] Herracross w/ Dat MOXIE BOOST"/>
        <s v="Opening Old Basketball Cards! Ep. #1 (Michael Jordan Found)"/>
        <s v="Are Minecraft Faction Has A New Pet! (poopymiscquidlepants)"/>
        <s v="Youtube Networks Requirerments. (Machinima, TGN, 8byte....)"/>
        <s v="What Is Considered A &quot;Bad Video&quot; On Youtube????? #karnageRC"/>
        <s v="Destroying My Friend's Car And Surprising Him With A New One"/>
        <s v="I Gave $200,000 To People Who Lost Their Jobs (Corona Virus)"/>
        <s v="I Donated $30,000 To A Random Twitch Streamer (world record)"/>
        <s v="Black ops 2 Shotgun gameplay w/ commentary....  Ps4 or Xbox?"/>
        <s v="TWITCH STREAMERS REACT TO RECEIVING THOUSANDS FROM SAME GUY!"/>
        <s v="Reacting To Family Accounts (MamaBeast, MrBeast'sLaptop, Etc)"/>
        <s v="Motivation For Small Youtubers #4 - Inspiration For Youtubers"/>
        <s v="Spam404 Has Terminated 5,000,000 Videos (Including Pewdiepie)"/>
        <s v="New Optic Gaming Gear Coming To Advanced Warfare, My Thoughts"/>
        <s v="I Put 1,000,000,000 Christmas Lights On A House (World Record)"/>
        <s v="This is a detailed break down of my favorite UU team... ENJOY!"/>
        <s v="Motivation For Youtube - Ultimate Small Youtuber Motivation #2"/>
        <s v="How Much $$$ Does Every Member of FaZe Make COMBINED????? 2016"/>
        <s v="I Filled My Brotherâ€™s House With Slime &amp; Bought Him A New One"/>
        <s v="YOUTUBE RED STEALS CONTENT CREATORS MONEY? What Is Youtube Red?"/>
        <s v="How To Monetize Your Videos And Make Lots Of Youtube Money!!$$$"/>
        <s v="History Of COD Part 2! Black Ops 1 - History Of COD On Youtube!"/>
        <s v="Gunpowder plus mod! (Grenade mod) Epic explosions for minecraft."/>
        <s v="How Many Licks Does It Take To Get To The Center Of A Tootsie Pop?"/>
        <s v="How Much Money Do Big Youtubers Make? (Pewdiepie, Markiplier, etc)"/>
        <s v="Reuploading Other Youtubers Videos? Stealing Big Youtubers Videos."/>
        <s v="I Mailed Myself IN A BOX &amp; it REALLY WORKED! (Human Mail Challenge)"/>
        <s v="How Many People Get The Golden Play Button? (1,000,000 Subscribers)"/>
        <s v="My Solution For The Theft At The FaZe House - @FaZe_Rain @FaZeAdapt"/>
        <s v="Destroying My Friend's Car And Surprising Him With A New One - Slime"/>
        <s v="The Vortex SMP Episode 1! Just Derping Around and Explaining Things."/>
        <s v="I Donated $40,000 To A Random Twitch Fortnite Streamer (world record)"/>
        <s v="Shark Tank Most Successful Products, Entrepreneurs, Or Businesses 2015"/>
        <s v="How To Tweet When You're Dead! DEADSOCIAL Facebook And Instagram Also!"/>
        <s v="Pokemon online battles #5 [uu] Heracross never seems to dissapoint me..."/>
        <s v="How Did Notch Become A Billionaire? How Much Did Minecraft Sell For?????"/>
        <s v="Epic Ghost Multiplayer EasterEggs! (PrisonBreak, Sovereign, and Flooded)"/>
        <s v="Increase Youtube Views 2015! COMMUNITY CHANNELS - Boosting Youtube Views"/>
        <s v="Best Microphone For Youtube (Gaming Commentaries Vocals Singing Podcast)"/>
        <s v="Best Non-Copyrighted Songs For Videos! (Intros Vlogs Gaming Trailers) 2016"/>
        <s v="Youtube Stat News - Vevo Gets 10 Bil. Views A Month, Channel Milestones, and more!"/>
        <s v="Super Bowl Commercial 2016 Cost - How Much Does A Commercial Cost In 2016 Super Bowl?"/>
        <s v="Reading The Entire Bee Movie Script But Everytime They Say &quot;Bee&quot; I Repeat All the Previous Bees"/>
        <s v="Reacting To The Reaction Of The Reaction To The Reaction Of The Reaction Of The Reaction To The Reac"/>
        <s v="Grilling A Microwave Microwaving A Microwave Microwaving A Toaster Toasting An Iphone Watching Micro"/>
      </sharedItems>
    </cacheField>
    <cacheField name="Published_Date" numFmtId="14">
      <sharedItems containsSemiMixedTypes="0" containsNonDate="0" containsDate="1" containsString="0" minDate="2012-02-20T00:00:00" maxDate="2026-06-18T00:00:00"/>
    </cacheField>
    <cacheField name="Views" numFmtId="2">
      <sharedItems containsSemiMixedTypes="0" containsString="0" containsNumber="1" containsInteger="1" minValue="65031" maxValue="1816848204"/>
    </cacheField>
    <cacheField name="Likes" numFmtId="2">
      <sharedItems containsSemiMixedTypes="0" containsString="0" containsNumber="1" containsInteger="1" minValue="0" maxValue="58284896"/>
    </cacheField>
    <cacheField name="Comments" numFmtId="2">
      <sharedItems containsSemiMixedTypes="0" containsString="0" containsNumber="1" containsInteger="1" minValue="0" maxValue="1399899"/>
    </cacheField>
    <cacheField name="Year" numFmtId="0">
      <sharedItems containsSemiMixedTypes="0" containsString="0" containsNumber="1" containsInteger="1" minValue="2012" maxValue="2026" count="15">
        <n v="2015"/>
        <n v="2014"/>
        <n v="2016"/>
        <n v="2013"/>
        <n v="2025"/>
        <n v="2026"/>
        <n v="2023"/>
        <n v="2020"/>
        <n v="2017"/>
        <n v="2024"/>
        <n v="2022"/>
        <n v="2019"/>
        <n v="2021"/>
        <n v="2018"/>
        <n v="2012"/>
      </sharedItems>
    </cacheField>
    <cacheField name="Month" numFmtId="0">
      <sharedItems count="12">
        <s v="August"/>
        <s v="April"/>
        <s v="March"/>
        <s v="July"/>
        <s v="June"/>
        <s v="February"/>
        <s v="May"/>
        <s v="December"/>
        <s v="January"/>
        <s v="September"/>
        <s v="October"/>
        <s v="November"/>
      </sharedItems>
    </cacheField>
    <cacheField name="Day" numFmtId="0">
      <sharedItems count="7">
        <s v="Tuesday"/>
        <s v="Friday"/>
        <s v="Thursday"/>
        <s v="Wednesday"/>
        <s v="Sunday"/>
        <s v="Monday"/>
        <s v="Saturday"/>
      </sharedItems>
    </cacheField>
    <cacheField name="Engament Rate" numFmtId="0">
      <sharedItems containsSemiMixedTypes="0" containsString="0" containsNumber="1" minValue="0.15581753858046402" maxValue="22.820556178998018"/>
    </cacheField>
    <cacheField name="Likes per 1000 Views" numFmtId="0">
      <sharedItems containsSemiMixedTypes="0" containsString="0" containsNumber="1" minValue="0" maxValue="193.71688885266718"/>
    </cacheField>
    <cacheField name="Comments per 1000  Views" numFmtId="0">
      <sharedItems containsSemiMixedTypes="0" containsString="0" containsNumber="1" minValue="0" maxValue="51.451937710411826"/>
    </cacheField>
    <cacheField name="Correlation Analysis Views vs Likes" numFmtId="0">
      <sharedItems containsMixedTypes="1" containsNumber="1" minValue="0.68638889662874236" maxValue="1"/>
    </cacheField>
    <cacheField name="Correlation Views Vs Comments" numFmtId="0">
      <sharedItems containsMixedTypes="1" containsNumber="1" minValue="0.24013494045036723" maxValue="1"/>
    </cacheField>
    <cacheField name="Title Length" numFmtId="0">
      <sharedItems containsSemiMixedTypes="0" containsString="0" containsNumber="1" containsInteger="1" minValue="3" maxValue="100"/>
    </cacheField>
    <cacheField name="Video_Category" numFmtId="0">
      <sharedItems count="5">
        <s v="Other"/>
        <s v="Money"/>
        <s v="Endurance"/>
        <s v="Challenge"/>
        <s v="Survival"/>
      </sharedItems>
    </cacheField>
    <cacheField name="Engagement_Rate" numFmtId="0">
      <sharedItems containsString="0" containsBlank="1" containsNumber="1" minValue="0.56363978983348617" maxValue="19.570246547484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7">
  <r>
    <x v="0"/>
    <d v="2015-08-18T00:00:00"/>
    <n v="1591915"/>
    <n v="38785"/>
    <n v="2773"/>
    <x v="0"/>
    <x v="0"/>
    <x v="0"/>
    <n v="2.6105665189410239"/>
    <n v="24.363738013650227"/>
    <n v="1.7419271757600123"/>
    <n v="0.84594639860259746"/>
    <n v="0.32474750978624223"/>
    <n v="3"/>
    <x v="0"/>
    <n v="2.6105665189410239"/>
  </r>
  <r>
    <x v="1"/>
    <d v="2014-08-08T00:00:00"/>
    <n v="351079"/>
    <n v="9597"/>
    <n v="1708"/>
    <x v="1"/>
    <x v="0"/>
    <x v="1"/>
    <n v="3.2200729750284123"/>
    <n v="27.335727856123551"/>
    <n v="4.8650018941605735"/>
    <n v="0.84594872916675501"/>
    <n v="0.32478261636297073"/>
    <n v="4"/>
    <x v="0"/>
    <n v="3.2200729750284123"/>
  </r>
  <r>
    <x v="2"/>
    <d v="2015-08-13T00:00:00"/>
    <n v="106600"/>
    <n v="2357"/>
    <n v="294"/>
    <x v="0"/>
    <x v="0"/>
    <x v="2"/>
    <n v="2.4868667917448404"/>
    <n v="22.110694183864915"/>
    <n v="2.7579737335834897"/>
    <n v="0.84594921105654219"/>
    <n v="0.32480403272319003"/>
    <n v="4"/>
    <x v="0"/>
    <n v="2.4868667917448404"/>
  </r>
  <r>
    <x v="2"/>
    <d v="2015-04-22T00:00:00"/>
    <n v="100762"/>
    <n v="1913"/>
    <n v="172"/>
    <x v="0"/>
    <x v="1"/>
    <x v="3"/>
    <n v="2.0692324487405966"/>
    <n v="18.985331771898135"/>
    <n v="1.7069927155078304"/>
    <n v="0.84594925193960546"/>
    <n v="0.3248059277603777"/>
    <n v="4"/>
    <x v="0"/>
    <n v="2.0692324487405966"/>
  </r>
  <r>
    <x v="3"/>
    <d v="2014-04-30T00:00:00"/>
    <n v="297908"/>
    <n v="8358"/>
    <n v="959"/>
    <x v="1"/>
    <x v="1"/>
    <x v="3"/>
    <n v="3.1274755964928769"/>
    <n v="28.055641338936855"/>
    <n v="3.2191146259919172"/>
    <n v="0.84594926192499309"/>
    <n v="0.32480274669312315"/>
    <n v="5"/>
    <x v="0"/>
    <n v="3.1274755964928769"/>
  </r>
  <r>
    <x v="4"/>
    <d v="2016-03-08T00:00:00"/>
    <n v="226642"/>
    <n v="6502"/>
    <n v="870"/>
    <x v="2"/>
    <x v="2"/>
    <x v="0"/>
    <n v="3.2527069122228003"/>
    <n v="28.688416092339459"/>
    <n v="3.8386530298885466"/>
    <n v="0.84594969376625828"/>
    <n v="0.3248125443081718"/>
    <n v="5"/>
    <x v="0"/>
    <n v="3.2527069122228003"/>
  </r>
  <r>
    <x v="5"/>
    <d v="2014-03-13T00:00:00"/>
    <n v="79170"/>
    <n v="2068"/>
    <n v="374"/>
    <x v="1"/>
    <x v="2"/>
    <x v="2"/>
    <n v="3.0845017051913604"/>
    <n v="26.121005431350259"/>
    <n v="4.7240116205633447"/>
    <n v="0.84594999972975782"/>
    <n v="0.32481953009242831"/>
    <n v="6"/>
    <x v="0"/>
    <n v="3.0845017051913604"/>
  </r>
  <r>
    <x v="6"/>
    <d v="2014-04-13T00:00:00"/>
    <n v="17653957"/>
    <n v="1273800"/>
    <n v="88780"/>
    <x v="1"/>
    <x v="1"/>
    <x v="4"/>
    <n v="7.7182696207994619"/>
    <n v="72.153795321921322"/>
    <n v="5.0289008860733038"/>
    <n v="0.84595002813715259"/>
    <n v="0.32482119694149025"/>
    <n v="7"/>
    <x v="0"/>
    <n v="7.7182696207994619"/>
  </r>
  <r>
    <x v="7"/>
    <d v="2015-07-10T00:00:00"/>
    <n v="173545"/>
    <n v="4850"/>
    <n v="699"/>
    <x v="0"/>
    <x v="3"/>
    <x v="1"/>
    <n v="3.1974415857558558"/>
    <n v="27.94664208130456"/>
    <n v="4.0277737762539978"/>
    <n v="0.8460357731613054"/>
    <n v="0.32653089432286087"/>
    <n v="7"/>
    <x v="0"/>
    <n v="3.1974415857558558"/>
  </r>
  <r>
    <x v="8"/>
    <d v="2015-04-14T00:00:00"/>
    <n v="112745"/>
    <n v="2469"/>
    <n v="240"/>
    <x v="0"/>
    <x v="1"/>
    <x v="0"/>
    <n v="2.4027673067541797"/>
    <n v="21.898975564326577"/>
    <n v="2.12869750321522"/>
    <n v="0.84644646341144059"/>
    <n v="0.32515304998937744"/>
    <n v="7"/>
    <x v="0"/>
    <n v="2.4027673067541797"/>
  </r>
  <r>
    <x v="9"/>
    <d v="2014-06-16T00:00:00"/>
    <n v="65044"/>
    <n v="1991"/>
    <n v="474"/>
    <x v="1"/>
    <x v="4"/>
    <x v="5"/>
    <n v="3.7897423282700937"/>
    <n v="30.610048582498003"/>
    <n v="7.287374700202939"/>
    <n v="0.84635623230648283"/>
    <n v="0.32568275735107788"/>
    <n v="7"/>
    <x v="0"/>
    <n v="3.7897423282700937"/>
  </r>
  <r>
    <x v="10"/>
    <d v="2015-02-06T00:00:00"/>
    <n v="148372"/>
    <n v="5046"/>
    <n v="686"/>
    <x v="0"/>
    <x v="5"/>
    <x v="1"/>
    <n v="3.8632626101959935"/>
    <n v="34.009112231418328"/>
    <n v="4.6235138705416121"/>
    <n v="0.84623477923340829"/>
    <n v="0.32585616315571125"/>
    <n v="9"/>
    <x v="0"/>
    <n v="3.8632626101959935"/>
  </r>
  <r>
    <x v="11"/>
    <d v="2015-08-11T00:00:00"/>
    <n v="176787"/>
    <n v="3685"/>
    <n v="578"/>
    <x v="0"/>
    <x v="0"/>
    <x v="0"/>
    <n v="2.4113764021110153"/>
    <n v="20.844292849587355"/>
    <n v="3.2694711715227927"/>
    <n v="0.84614648144403448"/>
    <n v="0.32501349021878645"/>
    <n v="10"/>
    <x v="0"/>
    <n v="2.4113764021110153"/>
  </r>
  <r>
    <x v="12"/>
    <d v="2013-08-02T00:00:00"/>
    <n v="114325"/>
    <n v="4547"/>
    <n v="916"/>
    <x v="3"/>
    <x v="0"/>
    <x v="1"/>
    <n v="4.7784823966761429"/>
    <n v="39.772578176251912"/>
    <n v="8.0122457905095139"/>
    <n v="0.84593026580975805"/>
    <n v="0.32465962147174993"/>
    <n v="10"/>
    <x v="0"/>
    <n v="4.7784823966761429"/>
  </r>
  <r>
    <x v="13"/>
    <d v="2014-04-17T00:00:00"/>
    <n v="106011"/>
    <n v="3453"/>
    <n v="292"/>
    <x v="1"/>
    <x v="1"/>
    <x v="2"/>
    <n v="3.5326522719340447"/>
    <n v="32.572091575402553"/>
    <n v="2.754431143937893"/>
    <n v="0.84573613631935773"/>
    <n v="0.32416202818118156"/>
    <n v="10"/>
    <x v="0"/>
    <n v="3.5326522719340447"/>
  </r>
  <r>
    <x v="14"/>
    <d v="2014-04-20T00:00:00"/>
    <n v="97062"/>
    <n v="2883"/>
    <n v="360"/>
    <x v="1"/>
    <x v="1"/>
    <x v="4"/>
    <n v="3.34116338010756"/>
    <n v="29.702664276441862"/>
    <n v="3.7089695246337393"/>
    <n v="0.84559471160894106"/>
    <n v="0.32355112643784162"/>
    <n v="10"/>
    <x v="0"/>
    <n v="3.34116338010756"/>
  </r>
  <r>
    <x v="15"/>
    <d v="2015-04-29T00:00:00"/>
    <n v="65070"/>
    <n v="1736"/>
    <n v="315"/>
    <x v="0"/>
    <x v="1"/>
    <x v="3"/>
    <n v="3.1519901644382973"/>
    <n v="26.678961118795144"/>
    <n v="4.8409405255878291"/>
    <n v="0.84545354029069009"/>
    <n v="0.3230044922905555"/>
    <n v="10"/>
    <x v="0"/>
    <n v="3.1519901644382973"/>
  </r>
  <r>
    <x v="16"/>
    <d v="2013-04-18T00:00:00"/>
    <n v="681463"/>
    <n v="21486"/>
    <n v="1707"/>
    <x v="3"/>
    <x v="1"/>
    <x v="2"/>
    <n v="3.4034129512534061"/>
    <n v="31.529224624080836"/>
    <n v="2.5049048884532246"/>
    <n v="0.84531734513872592"/>
    <n v="0.32237161780742668"/>
    <n v="11"/>
    <x v="0"/>
    <n v="3.4034129512534061"/>
  </r>
  <r>
    <x v="17"/>
    <d v="2014-04-20T00:00:00"/>
    <n v="602225"/>
    <n v="10794"/>
    <n v="455"/>
    <x v="1"/>
    <x v="1"/>
    <x v="4"/>
    <n v="1.8679065133463406"/>
    <n v="17.923533563037072"/>
    <n v="0.75553157042633567"/>
    <n v="0.84518677038584278"/>
    <n v="0.32157872865256742"/>
    <n v="11"/>
    <x v="0"/>
    <n v="1.8679065133463406"/>
  </r>
  <r>
    <x v="18"/>
    <d v="2015-05-01T00:00:00"/>
    <n v="82624"/>
    <n v="2108"/>
    <n v="246"/>
    <x v="0"/>
    <x v="6"/>
    <x v="1"/>
    <n v="2.8490511231603408"/>
    <n v="25.513168086754455"/>
    <n v="2.9773431448489545"/>
    <n v="0.84505071080560412"/>
    <n v="0.32106315579494538"/>
    <n v="11"/>
    <x v="0"/>
    <n v="2.8490511231603408"/>
  </r>
  <r>
    <x v="19"/>
    <d v="2025-07-11T00:00:00"/>
    <n v="122286740"/>
    <n v="1974694"/>
    <n v="16879"/>
    <x v="4"/>
    <x v="3"/>
    <x v="1"/>
    <n v="1.6286091198440649"/>
    <n v="16.148063150591796"/>
    <n v="0.138028047848851"/>
    <n v="0.84492760623888408"/>
    <n v="0.32010490297199456"/>
    <n v="12"/>
    <x v="0"/>
    <n v="1.6286091198440649"/>
  </r>
  <r>
    <x v="20"/>
    <d v="2015-05-23T00:00:00"/>
    <n v="184620"/>
    <n v="4429"/>
    <n v="442"/>
    <x v="0"/>
    <x v="6"/>
    <x v="6"/>
    <n v="2.6383923735239954"/>
    <n v="23.989816921243634"/>
    <n v="2.3941068139963164"/>
    <n v="0.84491925118790889"/>
    <n v="0.32015043055248393"/>
    <n v="12"/>
    <x v="0"/>
    <n v="2.6383923735239954"/>
  </r>
  <r>
    <x v="21"/>
    <d v="2014-03-08T00:00:00"/>
    <n v="124762"/>
    <n v="3359"/>
    <n v="1125"/>
    <x v="1"/>
    <x v="2"/>
    <x v="6"/>
    <n v="3.5940430579823981"/>
    <n v="26.923261890639779"/>
    <n v="9.0171686891842064"/>
    <n v="0.84481164936276143"/>
    <n v="0.31954594382115786"/>
    <n v="12"/>
    <x v="0"/>
    <n v="3.5940430579823981"/>
  </r>
  <r>
    <x v="22"/>
    <d v="2015-05-07T00:00:00"/>
    <n v="85475"/>
    <n v="1757"/>
    <n v="188"/>
    <x v="0"/>
    <x v="6"/>
    <x v="2"/>
    <n v="2.2755191576484353"/>
    <n v="20.555718046212345"/>
    <n v="2.1994735302720096"/>
    <n v="0.84469581845139152"/>
    <n v="0.31858151239117"/>
    <n v="12"/>
    <x v="0"/>
    <n v="2.2755191576484353"/>
  </r>
  <r>
    <x v="23"/>
    <d v="2015-12-10T00:00:00"/>
    <n v="572566"/>
    <n v="15810"/>
    <n v="1252"/>
    <x v="0"/>
    <x v="7"/>
    <x v="2"/>
    <n v="2.9799184722809251"/>
    <n v="27.612537244614597"/>
    <n v="2.1866474781946534"/>
    <n v="0.8445865201417232"/>
    <n v="0.31780857910524279"/>
    <n v="13"/>
    <x v="0"/>
    <n v="2.9799184722809251"/>
  </r>
  <r>
    <x v="24"/>
    <d v="2014-06-28T00:00:00"/>
    <n v="135428"/>
    <n v="3161"/>
    <n v="236"/>
    <x v="1"/>
    <x v="4"/>
    <x v="6"/>
    <n v="2.5083439170629411"/>
    <n v="23.340815784032841"/>
    <n v="1.7426233865965679"/>
    <n v="0.84448379686324859"/>
    <n v="0.31718367226981481"/>
    <n v="13"/>
    <x v="0"/>
    <n v="2.5083439170629411"/>
  </r>
  <r>
    <x v="25"/>
    <d v="2014-07-08T00:00:00"/>
    <n v="86689"/>
    <n v="2448"/>
    <n v="632"/>
    <x v="1"/>
    <x v="3"/>
    <x v="0"/>
    <n v="3.5529305909630979"/>
    <n v="28.23887690479761"/>
    <n v="7.2904290048333698"/>
    <n v="0.84440505073949523"/>
    <n v="0.31688157738450712"/>
    <n v="13"/>
    <x v="0"/>
    <n v="3.5529305909630979"/>
  </r>
  <r>
    <x v="26"/>
    <d v="2015-05-02T00:00:00"/>
    <n v="65046"/>
    <n v="1638"/>
    <n v="284"/>
    <x v="0"/>
    <x v="6"/>
    <x v="6"/>
    <n v="2.954831965070873"/>
    <n v="25.182178765796511"/>
    <n v="4.3661408849122161"/>
    <n v="0.84433701415874607"/>
    <n v="0.31547167310646085"/>
    <n v="13"/>
    <x v="0"/>
    <n v="2.954831965070873"/>
  </r>
  <r>
    <x v="27"/>
    <d v="2026-01-09T00:00:00"/>
    <n v="103677747"/>
    <n v="2034248"/>
    <n v="13834"/>
    <x v="5"/>
    <x v="8"/>
    <x v="1"/>
    <n v="1.9754306582298709"/>
    <n v="19.620873898812636"/>
    <n v="0.13343268348607151"/>
    <n v="0.84429302983796151"/>
    <n v="0.31514981143364623"/>
    <n v="14"/>
    <x v="0"/>
    <n v="1.9754306582298709"/>
  </r>
  <r>
    <x v="28"/>
    <d v="2015-12-23T00:00:00"/>
    <n v="1025874"/>
    <n v="31276"/>
    <n v="1803"/>
    <x v="0"/>
    <x v="7"/>
    <x v="3"/>
    <n v="3.2244700616255022"/>
    <n v="30.487174838235493"/>
    <n v="1.757525778019523"/>
    <n v="0.84437102373610118"/>
    <n v="0.31529772640124687"/>
    <n v="14"/>
    <x v="0"/>
    <n v="3.2244700616255022"/>
  </r>
  <r>
    <x v="29"/>
    <d v="2014-08-20T00:00:00"/>
    <n v="330443"/>
    <n v="5549"/>
    <n v="436"/>
    <x v="1"/>
    <x v="0"/>
    <x v="3"/>
    <n v="1.8112049581924872"/>
    <n v="16.792608710125496"/>
    <n v="1.3194408717993724"/>
    <n v="0.844344729046836"/>
    <n v="0.31484937373247052"/>
    <n v="14"/>
    <x v="0"/>
    <n v="1.8112049581924872"/>
  </r>
  <r>
    <x v="30"/>
    <d v="2016-01-01T00:00:00"/>
    <n v="176433"/>
    <n v="7077"/>
    <n v="616"/>
    <x v="2"/>
    <x v="8"/>
    <x v="1"/>
    <n v="4.3602954095889084"/>
    <n v="40.111543758820631"/>
    <n v="3.4914103370684626"/>
    <n v="0.8443335640622941"/>
    <n v="0.31465557824011986"/>
    <n v="14"/>
    <x v="0"/>
    <n v="4.3602954095889084"/>
  </r>
  <r>
    <x v="31"/>
    <d v="2015-04-24T00:00:00"/>
    <n v="65040"/>
    <n v="1809"/>
    <n v="413"/>
    <x v="0"/>
    <x v="1"/>
    <x v="1"/>
    <n v="3.4163591635916362"/>
    <n v="27.813653136531368"/>
    <n v="6.3499384993849937"/>
    <n v="0.84433157860800823"/>
    <n v="0.31461804376911434"/>
    <n v="14"/>
    <x v="0"/>
    <n v="3.4163591635916362"/>
  </r>
  <r>
    <x v="32"/>
    <d v="2015-08-23T00:00:00"/>
    <n v="966099"/>
    <n v="59129"/>
    <n v="5262"/>
    <x v="0"/>
    <x v="0"/>
    <x v="4"/>
    <n v="6.6650519253202827"/>
    <n v="61.203872480977623"/>
    <n v="5.4466467722252068"/>
    <n v="0.84432711505831404"/>
    <n v="0.3145589929468407"/>
    <n v="15"/>
    <x v="0"/>
    <n v="6.6650519253202827"/>
  </r>
  <r>
    <x v="33"/>
    <d v="2013-08-16T00:00:00"/>
    <n v="209240"/>
    <n v="5014"/>
    <n v="451"/>
    <x v="3"/>
    <x v="0"/>
    <x v="1"/>
    <n v="2.6118333014719939"/>
    <n v="23.962913400879373"/>
    <n v="2.1554196138405661"/>
    <n v="0.84433032738524494"/>
    <n v="0.31463396030955915"/>
    <n v="15"/>
    <x v="0"/>
    <n v="2.6118333014719939"/>
  </r>
  <r>
    <x v="34"/>
    <d v="2013-09-21T00:00:00"/>
    <n v="125090"/>
    <n v="4215"/>
    <n v="780"/>
    <x v="3"/>
    <x v="9"/>
    <x v="6"/>
    <n v="3.9931249500359742"/>
    <n v="33.695739067871138"/>
    <n v="6.2355104324886081"/>
    <n v="0.84433025197064804"/>
    <n v="0.31462621598866219"/>
    <n v="15"/>
    <x v="0"/>
    <n v="3.9931249500359742"/>
  </r>
  <r>
    <x v="35"/>
    <d v="2014-05-08T00:00:00"/>
    <n v="89087"/>
    <n v="2409"/>
    <n v="315"/>
    <x v="1"/>
    <x v="6"/>
    <x v="2"/>
    <n v="3.0576851841458348"/>
    <n v="27.040982410452706"/>
    <n v="3.5358694310056462"/>
    <n v="0.84433030258901243"/>
    <n v="0.31463150840633075"/>
    <n v="15"/>
    <x v="0"/>
    <n v="3.0576851841458348"/>
  </r>
  <r>
    <x v="36"/>
    <d v="2023-09-07T00:00:00"/>
    <n v="1181331718"/>
    <n v="38453146"/>
    <n v="54356"/>
    <x v="6"/>
    <x v="9"/>
    <x v="2"/>
    <n v="3.2596688477300328"/>
    <n v="32.550675999033828"/>
    <n v="4.6012478266498215E-2"/>
    <n v="0.84433032968701105"/>
    <n v="0.31463128176380706"/>
    <n v="16"/>
    <x v="0"/>
    <n v="3.2596688477300328"/>
  </r>
  <r>
    <x v="37"/>
    <d v="2026-05-05T00:00:00"/>
    <n v="574352236"/>
    <n v="5439422"/>
    <n v="16883"/>
    <x v="5"/>
    <x v="6"/>
    <x v="0"/>
    <n v="0.94999281938897162"/>
    <n v="9.4705333401017686"/>
    <n v="2.9394853787946252E-2"/>
    <n v="0.83885348385061986"/>
    <n v="0.31915085448824621"/>
    <n v="16"/>
    <x v="0"/>
    <n v="0.94999281938897162"/>
  </r>
  <r>
    <x v="37"/>
    <d v="2026-01-06T00:00:00"/>
    <n v="491669636"/>
    <n v="6084981"/>
    <n v="20065"/>
    <x v="5"/>
    <x v="8"/>
    <x v="0"/>
    <n v="1.2416967721797652"/>
    <n v="12.376157798770393"/>
    <n v="4.0809923027258083E-2"/>
    <n v="0.84054658669712123"/>
    <n v="0.32182559742712624"/>
    <n v="16"/>
    <x v="0"/>
    <n v="1.2416967721797652"/>
  </r>
  <r>
    <x v="37"/>
    <d v="2026-04-17T00:00:00"/>
    <n v="180628523"/>
    <n v="2622280"/>
    <n v="12214"/>
    <x v="5"/>
    <x v="1"/>
    <x v="1"/>
    <n v="1.4585149434012699"/>
    <n v="14.517529991650322"/>
    <n v="6.7619442362378171E-2"/>
    <n v="0.84131239960990445"/>
    <n v="0.32379555791569947"/>
    <n v="16"/>
    <x v="0"/>
    <n v="1.4585149434012699"/>
  </r>
  <r>
    <x v="38"/>
    <d v="2020-10-04T00:00:00"/>
    <n v="149030914"/>
    <n v="7367628"/>
    <n v="263976"/>
    <x v="7"/>
    <x v="10"/>
    <x v="4"/>
    <n v="5.1208194294507248"/>
    <n v="49.436910787516204"/>
    <n v="1.7712835069910395"/>
    <n v="0.84150804582699268"/>
    <n v="0.32443499049037261"/>
    <n v="16"/>
    <x v="0"/>
    <n v="5.1208194294507248"/>
  </r>
  <r>
    <x v="39"/>
    <d v="2017-07-09T00:00:00"/>
    <n v="32250338"/>
    <n v="831190"/>
    <n v="33506"/>
    <x v="8"/>
    <x v="3"/>
    <x v="4"/>
    <n v="2.6811998063400142"/>
    <n v="25.773063215647536"/>
    <n v="1.0389348477526035"/>
    <n v="0.85510001936596414"/>
    <n v="0.33053730185697988"/>
    <n v="16"/>
    <x v="0"/>
    <n v="2.6811998063400142"/>
  </r>
  <r>
    <x v="40"/>
    <d v="2017-10-26T00:00:00"/>
    <n v="5975669"/>
    <n v="204159"/>
    <n v="10034"/>
    <x v="8"/>
    <x v="10"/>
    <x v="2"/>
    <n v="3.5844187487626913"/>
    <n v="34.165044951452295"/>
    <n v="1.6791425361746108"/>
    <n v="0.85670333092850359"/>
    <n v="0.32701389175149093"/>
    <n v="16"/>
    <x v="0"/>
    <n v="3.5844187487626913"/>
  </r>
  <r>
    <x v="41"/>
    <d v="2015-12-02T00:00:00"/>
    <n v="520671"/>
    <n v="16363"/>
    <n v="1708"/>
    <x v="0"/>
    <x v="7"/>
    <x v="3"/>
    <n v="3.4707137520622426"/>
    <n v="31.42675509102677"/>
    <n v="3.2803824295956563"/>
    <n v="0.85721640080465045"/>
    <n v="0.32483215224308432"/>
    <n v="16"/>
    <x v="0"/>
    <n v="3.4707137520622426"/>
  </r>
  <r>
    <x v="42"/>
    <d v="2024-07-17T00:00:00"/>
    <n v="240640112"/>
    <n v="6262666"/>
    <n v="11170"/>
    <x v="9"/>
    <x v="3"/>
    <x v="3"/>
    <n v="2.6071447307172133"/>
    <n v="26.025029443137893"/>
    <n v="4.6417864034238816E-2"/>
    <n v="0.85682927752817373"/>
    <n v="0.32288059114318113"/>
    <n v="17"/>
    <x v="0"/>
    <n v="2.6071447307172133"/>
  </r>
  <r>
    <x v="43"/>
    <d v="2025-07-06T00:00:00"/>
    <n v="168534666"/>
    <n v="3384080"/>
    <n v="15077"/>
    <x v="4"/>
    <x v="3"/>
    <x v="4"/>
    <n v="2.0168889170848683"/>
    <n v="20.079429830774401"/>
    <n v="8.9459340074284771E-2"/>
    <n v="0.85708321447046254"/>
    <n v="0.32112062886782866"/>
    <n v="17"/>
    <x v="0"/>
    <n v="2.0168889170848683"/>
  </r>
  <r>
    <x v="44"/>
    <d v="2025-06-19T00:00:00"/>
    <n v="111887383"/>
    <n v="2602013"/>
    <n v="14595"/>
    <x v="4"/>
    <x v="4"/>
    <x v="2"/>
    <n v="2.3386086347197876"/>
    <n v="23.255642684930791"/>
    <n v="0.13044366226708512"/>
    <n v="0.85726422755610443"/>
    <n v="0.32090661227314454"/>
    <n v="17"/>
    <x v="1"/>
    <n v="2.6105665189410239"/>
  </r>
  <r>
    <x v="45"/>
    <d v="2025-10-04T00:00:00"/>
    <n v="62425691"/>
    <n v="3705509"/>
    <n v="114527"/>
    <x v="4"/>
    <x v="10"/>
    <x v="6"/>
    <n v="6.1193331444260668"/>
    <n v="59.358718191841881"/>
    <n v="1.8346132524187837"/>
    <n v="0.85698912385924908"/>
    <n v="0.32203814504188782"/>
    <n v="17"/>
    <x v="0"/>
    <m/>
  </r>
  <r>
    <x v="46"/>
    <d v="2017-03-08T00:00:00"/>
    <n v="7424033"/>
    <n v="320988"/>
    <n v="14878"/>
    <x v="8"/>
    <x v="2"/>
    <x v="3"/>
    <n v="4.5240370025294876"/>
    <n v="43.236337985027816"/>
    <n v="2.0040320402670626"/>
    <n v="0.85738484084142896"/>
    <n v="0.32219447613442398"/>
    <n v="17"/>
    <x v="0"/>
    <m/>
  </r>
  <r>
    <x v="47"/>
    <d v="2015-04-18T00:00:00"/>
    <n v="445966"/>
    <n v="22669"/>
    <n v="3928"/>
    <x v="0"/>
    <x v="1"/>
    <x v="6"/>
    <n v="5.9639075624599185"/>
    <n v="50.831229286537535"/>
    <n v="8.8078463380616459"/>
    <n v="0.85722818122143374"/>
    <n v="0.32382938392834409"/>
    <n v="17"/>
    <x v="0"/>
    <m/>
  </r>
  <r>
    <x v="48"/>
    <d v="2016-04-28T00:00:00"/>
    <n v="186641"/>
    <n v="5821"/>
    <n v="646"/>
    <x v="2"/>
    <x v="1"/>
    <x v="2"/>
    <n v="3.4649407150626068"/>
    <n v="31.188216951259371"/>
    <n v="3.4611901993666989"/>
    <n v="0.85711869523756667"/>
    <n v="0.32465915441424437"/>
    <n v="17"/>
    <x v="0"/>
    <m/>
  </r>
  <r>
    <x v="49"/>
    <d v="2015-05-23T00:00:00"/>
    <n v="112977"/>
    <n v="1688"/>
    <n v="217"/>
    <x v="0"/>
    <x v="6"/>
    <x v="6"/>
    <n v="1.6861839135399241"/>
    <n v="14.94109420501518"/>
    <n v="1.9207449303840605"/>
    <n v="0.85700180706903129"/>
    <n v="0.32425865835309498"/>
    <n v="17"/>
    <x v="0"/>
    <m/>
  </r>
  <r>
    <x v="50"/>
    <d v="2025-09-01T00:00:00"/>
    <n v="612079232"/>
    <n v="9690800"/>
    <n v="12851"/>
    <x v="4"/>
    <x v="9"/>
    <x v="5"/>
    <n v="1.5853586419347749"/>
    <n v="15.832590771516328"/>
    <n v="2.0995647831423235E-2"/>
    <n v="0.8568619657729778"/>
    <n v="0.32406496624004094"/>
    <n v="18"/>
    <x v="0"/>
    <m/>
  </r>
  <r>
    <x v="51"/>
    <d v="2025-11-14T00:00:00"/>
    <n v="438719795"/>
    <n v="4836816"/>
    <n v="12110"/>
    <x v="4"/>
    <x v="11"/>
    <x v="1"/>
    <n v="1.1052444077660093"/>
    <n v="11.024841037774465"/>
    <n v="2.7603039885629049E-2"/>
    <n v="0.85710138637889577"/>
    <n v="0.32473320586593268"/>
    <n v="18"/>
    <x v="0"/>
    <m/>
  </r>
  <r>
    <x v="52"/>
    <d v="2023-07-08T00:00:00"/>
    <n v="303111032"/>
    <n v="6650467"/>
    <n v="129399"/>
    <x v="6"/>
    <x v="3"/>
    <x v="6"/>
    <n v="2.236759894638213"/>
    <n v="21.940695975724172"/>
    <n v="0.42690297065796012"/>
    <n v="0.85780977552944093"/>
    <n v="0.32615930059956105"/>
    <n v="18"/>
    <x v="0"/>
    <m/>
  </r>
  <r>
    <x v="53"/>
    <d v="2025-04-05T00:00:00"/>
    <n v="190125569"/>
    <n v="2919224"/>
    <n v="9588"/>
    <x v="4"/>
    <x v="1"/>
    <x v="6"/>
    <n v="1.5404619249292029"/>
    <n v="15.354189419940672"/>
    <n v="5.042982935135884E-2"/>
    <n v="0.85772424716676832"/>
    <n v="0.32561358469535595"/>
    <n v="18"/>
    <x v="0"/>
    <m/>
  </r>
  <r>
    <x v="54"/>
    <d v="2025-08-05T00:00:00"/>
    <n v="105858021"/>
    <n v="1641823"/>
    <n v="6968"/>
    <x v="4"/>
    <x v="0"/>
    <x v="0"/>
    <n v="1.5575494274543447"/>
    <n v="15.509670259186121"/>
    <n v="6.5824015357324697E-2"/>
    <n v="0.8577163730885119"/>
    <n v="0.32579813301949745"/>
    <n v="18"/>
    <x v="0"/>
    <m/>
  </r>
  <r>
    <x v="55"/>
    <d v="2015-10-18T00:00:00"/>
    <n v="1219128"/>
    <n v="35938"/>
    <n v="2622"/>
    <x v="0"/>
    <x v="10"/>
    <x v="4"/>
    <n v="3.162916445196895"/>
    <n v="29.478446889908199"/>
    <n v="2.1507175620607515"/>
    <n v="0.85765393728673356"/>
    <n v="0.32556490486817197"/>
    <n v="18"/>
    <x v="0"/>
    <m/>
  </r>
  <r>
    <x v="56"/>
    <d v="2015-08-09T00:00:00"/>
    <n v="66370"/>
    <n v="1561"/>
    <n v="310"/>
    <x v="0"/>
    <x v="0"/>
    <x v="4"/>
    <n v="2.8190447491336448"/>
    <n v="23.519662498116617"/>
    <n v="4.6707849932198284"/>
    <n v="0.85752738178690957"/>
    <n v="0.32497358184329594"/>
    <n v="18"/>
    <x v="2"/>
    <n v="2.4113764021110153"/>
  </r>
  <r>
    <x v="57"/>
    <d v="2024-10-17T00:00:00"/>
    <n v="631406756"/>
    <n v="14097247"/>
    <n v="22617"/>
    <x v="9"/>
    <x v="10"/>
    <x v="2"/>
    <n v="2.2362548176472155"/>
    <n v="22.326728160634378"/>
    <n v="3.5820015837777955E-2"/>
    <n v="0.85738523540862432"/>
    <n v="0.3243320818055041"/>
    <n v="19"/>
    <x v="0"/>
    <m/>
  </r>
  <r>
    <x v="58"/>
    <d v="2023-12-23T00:00:00"/>
    <n v="401580019"/>
    <n v="6748579"/>
    <n v="112568"/>
    <x v="6"/>
    <x v="7"/>
    <x v="6"/>
    <n v="1.7085379439657828"/>
    <n v="16.805066688340389"/>
    <n v="0.28031275131744038"/>
    <n v="0.85658409767592225"/>
    <n v="0.32651137585474277"/>
    <n v="19"/>
    <x v="0"/>
    <m/>
  </r>
  <r>
    <x v="59"/>
    <d v="2024-11-29T00:00:00"/>
    <n v="290059348"/>
    <n v="13590604"/>
    <n v="35768"/>
    <x v="9"/>
    <x v="11"/>
    <x v="1"/>
    <n v="4.69778757139039"/>
    <n v="46.854563018599904"/>
    <n v="0.1233126953039969"/>
    <n v="0.85669688441247172"/>
    <n v="0.32531604279775606"/>
    <n v="19"/>
    <x v="0"/>
    <m/>
  </r>
  <r>
    <x v="60"/>
    <d v="2025-04-25T00:00:00"/>
    <n v="269762974"/>
    <n v="2566517"/>
    <n v="5607"/>
    <x v="4"/>
    <x v="1"/>
    <x v="1"/>
    <n v="0.9534755499841131"/>
    <n v="9.5139705866380311"/>
    <n v="2.0784913203099546E-2"/>
    <n v="0.85738210125008618"/>
    <n v="0.32559637933764018"/>
    <n v="19"/>
    <x v="0"/>
    <m/>
  </r>
  <r>
    <x v="60"/>
    <d v="2025-05-28T00:00:00"/>
    <n v="206175881"/>
    <n v="3746813"/>
    <n v="8154"/>
    <x v="4"/>
    <x v="6"/>
    <x v="3"/>
    <n v="1.8212445518785001"/>
    <n v="18.172896760897071"/>
    <n v="3.9548757887931614E-2"/>
    <n v="0.85773379560873997"/>
    <n v="0.32631762868944891"/>
    <n v="19"/>
    <x v="0"/>
    <m/>
  </r>
  <r>
    <x v="61"/>
    <d v="2025-06-07T00:00:00"/>
    <n v="187000357"/>
    <n v="3613738"/>
    <n v="63335"/>
    <x v="4"/>
    <x v="4"/>
    <x v="6"/>
    <n v="1.9663454439287513"/>
    <n v="19.32476524630378"/>
    <n v="0.33868919298373318"/>
    <n v="0.85779861046607342"/>
    <n v="0.32614817672046187"/>
    <n v="19"/>
    <x v="1"/>
    <n v="1.8679065133463406"/>
  </r>
  <r>
    <x v="62"/>
    <d v="2026-04-07T00:00:00"/>
    <n v="51790997"/>
    <n v="1484672"/>
    <n v="14905"/>
    <x v="5"/>
    <x v="1"/>
    <x v="0"/>
    <n v="2.8954395297700102"/>
    <n v="28.666603965936396"/>
    <n v="0.28779133176370403"/>
    <n v="0.85785170708358349"/>
    <n v="0.32525727916203562"/>
    <n v="19"/>
    <x v="1"/>
    <n v="2.8490511231603408"/>
  </r>
  <r>
    <x v="63"/>
    <d v="2025-11-16T00:00:00"/>
    <n v="42116983"/>
    <n v="1530381"/>
    <n v="19305"/>
    <x v="4"/>
    <x v="11"/>
    <x v="4"/>
    <n v="3.6794800805176378"/>
    <n v="36.33643463967968"/>
    <n v="0.45836616549670711"/>
    <n v="0.85784100218777759"/>
    <n v="0.32433850749405063"/>
    <n v="19"/>
    <x v="0"/>
    <m/>
  </r>
  <r>
    <x v="64"/>
    <d v="2014-01-20T00:00:00"/>
    <n v="524301"/>
    <n v="7785"/>
    <n v="792"/>
    <x v="1"/>
    <x v="8"/>
    <x v="5"/>
    <n v="1.6358923595415611"/>
    <n v="14.848340933929174"/>
    <n v="1.5105826614864362"/>
    <n v="0.85786095020592035"/>
    <n v="0.32396907045974488"/>
    <n v="19"/>
    <x v="0"/>
    <m/>
  </r>
  <r>
    <x v="65"/>
    <d v="2015-10-29T00:00:00"/>
    <n v="362959"/>
    <n v="14973"/>
    <n v="1969"/>
    <x v="0"/>
    <x v="10"/>
    <x v="2"/>
    <n v="4.6677448417038834"/>
    <n v="41.252593268110168"/>
    <n v="5.4248551489286676"/>
    <n v="0.85781269572230179"/>
    <n v="0.32313183884241092"/>
    <n v="19"/>
    <x v="0"/>
    <m/>
  </r>
  <r>
    <x v="66"/>
    <d v="2013-07-06T00:00:00"/>
    <n v="302945"/>
    <n v="10515"/>
    <n v="942"/>
    <x v="3"/>
    <x v="3"/>
    <x v="6"/>
    <n v="3.781874597699252"/>
    <n v="34.709270659690702"/>
    <n v="3.1094753173018206"/>
    <n v="0.85778399896861601"/>
    <n v="0.3225903709536842"/>
    <n v="19"/>
    <x v="0"/>
    <m/>
  </r>
  <r>
    <x v="67"/>
    <d v="2024-11-12T00:00:00"/>
    <n v="734694473"/>
    <n v="13659548"/>
    <n v="9967"/>
    <x v="9"/>
    <x v="11"/>
    <x v="0"/>
    <n v="1.8605713670585895"/>
    <n v="18.592147487136465"/>
    <n v="1.3566183449429597E-2"/>
    <n v="0.85776493520627439"/>
    <n v="0.32220945727081257"/>
    <n v="20"/>
    <x v="0"/>
    <m/>
  </r>
  <r>
    <x v="68"/>
    <d v="2026-05-12T00:00:00"/>
    <n v="336785327"/>
    <n v="4628087"/>
    <n v="20137"/>
    <x v="5"/>
    <x v="6"/>
    <x v="0"/>
    <n v="1.380174142800467"/>
    <n v="13.741949630721292"/>
    <n v="5.9791797283377496E-2"/>
    <n v="0.85745581256883907"/>
    <n v="0.32650260097393602"/>
    <n v="20"/>
    <x v="0"/>
    <m/>
  </r>
  <r>
    <x v="69"/>
    <d v="2024-07-11T00:00:00"/>
    <n v="290429368"/>
    <n v="11491960"/>
    <n v="52660"/>
    <x v="9"/>
    <x v="3"/>
    <x v="2"/>
    <n v="3.9750181186910822"/>
    <n v="39.568863435325866"/>
    <n v="0.1813177515849568"/>
    <n v="0.85782333466779981"/>
    <n v="0.32763107471343866"/>
    <n v="20"/>
    <x v="0"/>
    <m/>
  </r>
  <r>
    <x v="70"/>
    <d v="2022-09-03T00:00:00"/>
    <n v="272733404"/>
    <n v="4047768"/>
    <n v="65755"/>
    <x v="10"/>
    <x v="9"/>
    <x v="6"/>
    <n v="1.5082578590189855"/>
    <n v="14.84148234368827"/>
    <n v="0.24109624650158365"/>
    <n v="0.85818499758053846"/>
    <n v="0.3281370564093915"/>
    <n v="20"/>
    <x v="0"/>
    <m/>
  </r>
  <r>
    <x v="71"/>
    <d v="2020-06-25T00:00:00"/>
    <n v="212171978"/>
    <n v="3977044"/>
    <n v="197616"/>
    <x v="7"/>
    <x v="4"/>
    <x v="2"/>
    <n v="1.9675831084536526"/>
    <n v="18.744435704888417"/>
    <n v="0.93139537964810792"/>
    <n v="0.85842976151070294"/>
    <n v="0.32853689516831208"/>
    <n v="20"/>
    <x v="0"/>
    <m/>
  </r>
  <r>
    <x v="72"/>
    <d v="2019-11-23T00:00:00"/>
    <n v="129923384"/>
    <n v="3051292"/>
    <n v="94074"/>
    <x v="11"/>
    <x v="11"/>
    <x v="6"/>
    <n v="2.4209390974607006"/>
    <n v="23.485318085618829"/>
    <n v="0.72407288898817468"/>
    <n v="0.8585656149747537"/>
    <n v="0.33001214046817912"/>
    <n v="20"/>
    <x v="0"/>
    <m/>
  </r>
  <r>
    <x v="73"/>
    <d v="2021-01-01T00:00:00"/>
    <n v="73507896"/>
    <n v="5014173"/>
    <n v="272448"/>
    <x v="12"/>
    <x v="8"/>
    <x v="1"/>
    <n v="7.1919090161416133"/>
    <n v="68.212712822034803"/>
    <n v="3.7063773393813366"/>
    <n v="0.85867379775734831"/>
    <n v="0.33101705646634444"/>
    <n v="20"/>
    <x v="3"/>
    <n v="1.8112049581924872"/>
  </r>
  <r>
    <x v="74"/>
    <d v="2017-03-14T00:00:00"/>
    <n v="4169209"/>
    <n v="96150"/>
    <n v="9233"/>
    <x v="8"/>
    <x v="2"/>
    <x v="0"/>
    <n v="2.5276497292412063"/>
    <n v="23.061928533685887"/>
    <n v="2.2145687587261755"/>
    <n v="0.85907357751875724"/>
    <n v="0.33783830175808011"/>
    <n v="20"/>
    <x v="0"/>
    <m/>
  </r>
  <r>
    <x v="75"/>
    <d v="2014-01-20T00:00:00"/>
    <n v="504047"/>
    <n v="15202"/>
    <n v="1739"/>
    <x v="1"/>
    <x v="8"/>
    <x v="5"/>
    <n v="3.3609960975861379"/>
    <n v="30.159885883657676"/>
    <n v="3.4500750922037033"/>
    <n v="0.8590788552311629"/>
    <n v="0.33798025516097041"/>
    <n v="20"/>
    <x v="0"/>
    <m/>
  </r>
  <r>
    <x v="76"/>
    <d v="2016-04-16T00:00:00"/>
    <n v="199062"/>
    <n v="7262"/>
    <n v="566"/>
    <x v="2"/>
    <x v="1"/>
    <x v="6"/>
    <n v="3.9324431584129571"/>
    <n v="36.481096341843248"/>
    <n v="2.8433352422863227"/>
    <n v="0.85907961446512282"/>
    <n v="0.33800282057877529"/>
    <n v="20"/>
    <x v="0"/>
    <m/>
  </r>
  <r>
    <x v="77"/>
    <d v="2016-07-01T00:00:00"/>
    <n v="187657"/>
    <n v="7692"/>
    <n v="1274"/>
    <x v="2"/>
    <x v="3"/>
    <x v="1"/>
    <n v="4.7778660002024971"/>
    <n v="40.989677976307838"/>
    <n v="6.7889820257171332"/>
    <n v="0.85907989040768584"/>
    <n v="0.33800492746284921"/>
    <n v="20"/>
    <x v="3"/>
    <n v="2.6118333014719939"/>
  </r>
  <r>
    <x v="78"/>
    <d v="2013-11-16T00:00:00"/>
    <n v="101958"/>
    <n v="3473"/>
    <n v="749"/>
    <x v="3"/>
    <x v="11"/>
    <x v="6"/>
    <n v="4.140920771297985"/>
    <n v="34.063045567782815"/>
    <n v="7.3461621451970416"/>
    <n v="0.85908021947983226"/>
    <n v="0.33801945564710811"/>
    <n v="20"/>
    <x v="0"/>
    <m/>
  </r>
  <r>
    <x v="79"/>
    <d v="2015-12-30T00:00:00"/>
    <n v="83002"/>
    <n v="2739"/>
    <n v="555"/>
    <x v="0"/>
    <x v="7"/>
    <x v="3"/>
    <n v="3.9685790703838459"/>
    <n v="32.999204838437628"/>
    <n v="6.6865858654008337"/>
    <n v="0.85908028869234732"/>
    <n v="0.33801749902806799"/>
    <n v="20"/>
    <x v="0"/>
    <m/>
  </r>
  <r>
    <x v="80"/>
    <d v="2015-08-15T00:00:00"/>
    <n v="74004"/>
    <n v="2039"/>
    <n v="162"/>
    <x v="0"/>
    <x v="0"/>
    <x v="6"/>
    <n v="2.9741635587265556"/>
    <n v="27.552564726231015"/>
    <n v="2.1890708610345389"/>
    <n v="0.85908032621372732"/>
    <n v="0.33801537887247002"/>
    <n v="20"/>
    <x v="0"/>
    <m/>
  </r>
  <r>
    <x v="81"/>
    <d v="2015-07-15T00:00:00"/>
    <n v="65038"/>
    <n v="1529"/>
    <n v="377"/>
    <x v="0"/>
    <x v="3"/>
    <x v="3"/>
    <n v="2.9305944217226854"/>
    <n v="23.509333005319967"/>
    <n v="5.7966112119068853"/>
    <n v="0.85886163925697978"/>
    <n v="0.33664098321905422"/>
    <n v="20"/>
    <x v="0"/>
    <m/>
  </r>
  <r>
    <x v="80"/>
    <d v="2015-04-25T00:00:00"/>
    <n v="65037"/>
    <n v="1627"/>
    <n v="246"/>
    <x v="0"/>
    <x v="1"/>
    <x v="6"/>
    <n v="2.8798991343389146"/>
    <n v="25.01652905269308"/>
    <n v="3.7824622906960652"/>
    <n v="0.8588829681361777"/>
    <n v="0.33506238565700874"/>
    <n v="20"/>
    <x v="0"/>
    <m/>
  </r>
  <r>
    <x v="82"/>
    <d v="2023-10-17T00:00:00"/>
    <n v="387921769"/>
    <n v="12905894"/>
    <n v="24038"/>
    <x v="6"/>
    <x v="10"/>
    <x v="0"/>
    <n v="3.3331287474098934"/>
    <n v="33.269321371856293"/>
    <n v="6.1966102242640576E-2"/>
    <n v="0.8588779403894965"/>
    <n v="0.33468471275844414"/>
    <n v="21"/>
    <x v="1"/>
    <n v="1.4585149434012699"/>
  </r>
  <r>
    <x v="83"/>
    <d v="2025-03-08T00:00:00"/>
    <n v="164366665"/>
    <n v="4253225"/>
    <n v="9118"/>
    <x v="4"/>
    <x v="2"/>
    <x v="6"/>
    <n v="2.5931918737902238"/>
    <n v="25.876445202559776"/>
    <n v="5.5473535342461321E-2"/>
    <n v="0.85746313755897652"/>
    <n v="0.33546204802739693"/>
    <n v="21"/>
    <x v="3"/>
    <n v="5.1208194294507248"/>
  </r>
  <r>
    <x v="84"/>
    <d v="2026-04-24T00:00:00"/>
    <n v="127697094"/>
    <n v="1411717"/>
    <n v="13039"/>
    <x v="5"/>
    <x v="1"/>
    <x v="1"/>
    <n v="1.1157309499932708"/>
    <n v="11.055200676688852"/>
    <n v="0.10210882324385549"/>
    <n v="0.85742285537916241"/>
    <n v="0.33555882565176237"/>
    <n v="21"/>
    <x v="0"/>
    <m/>
  </r>
  <r>
    <x v="85"/>
    <d v="2025-09-12T00:00:00"/>
    <n v="110434791"/>
    <n v="2777737"/>
    <n v="7989"/>
    <x v="4"/>
    <x v="9"/>
    <x v="1"/>
    <n v="2.5225076036047374"/>
    <n v="25.152734702961496"/>
    <n v="7.2341333085875092E-2"/>
    <n v="0.85741473242967725"/>
    <n v="0.33535230280198169"/>
    <n v="21"/>
    <x v="0"/>
    <m/>
  </r>
  <r>
    <x v="86"/>
    <d v="2025-11-03T00:00:00"/>
    <n v="38936751"/>
    <n v="1432950"/>
    <n v="17011"/>
    <x v="4"/>
    <x v="11"/>
    <x v="5"/>
    <n v="3.7238880049339507"/>
    <n v="36.801992030613953"/>
    <n v="0.436888018725548"/>
    <n v="0.85739037589571232"/>
    <n v="0.33519237274241165"/>
    <n v="21"/>
    <x v="0"/>
    <m/>
  </r>
  <r>
    <x v="87"/>
    <d v="2017-01-09T00:00:00"/>
    <n v="33806875"/>
    <n v="1542864"/>
    <n v="138780"/>
    <x v="8"/>
    <x v="8"/>
    <x v="5"/>
    <n v="4.9742663289641529"/>
    <n v="45.637581113309054"/>
    <n v="4.105082176332477"/>
    <n v="0.85732792689055137"/>
    <n v="0.33488373513261138"/>
    <n v="21"/>
    <x v="0"/>
    <m/>
  </r>
  <r>
    <x v="88"/>
    <d v="2014-02-01T00:00:00"/>
    <n v="3073055"/>
    <n v="224337"/>
    <n v="14478"/>
    <x v="1"/>
    <x v="5"/>
    <x v="6"/>
    <n v="7.7712569413824362"/>
    <n v="73.001296755183347"/>
    <n v="4.7112726586409943"/>
    <n v="0.85729664180562215"/>
    <n v="0.33718526374857993"/>
    <n v="21"/>
    <x v="0"/>
    <m/>
  </r>
  <r>
    <x v="89"/>
    <d v="2014-03-31T00:00:00"/>
    <n v="528482"/>
    <n v="10573"/>
    <n v="1079"/>
    <x v="1"/>
    <x v="2"/>
    <x v="5"/>
    <n v="2.2048054616808139"/>
    <n v="20.00635783243327"/>
    <n v="2.0416967843748699"/>
    <n v="0.85719094494809212"/>
    <n v="0.33669199497589203"/>
    <n v="21"/>
    <x v="0"/>
    <m/>
  </r>
  <r>
    <x v="90"/>
    <d v="2014-08-29T00:00:00"/>
    <n v="223723"/>
    <n v="3837"/>
    <n v="502"/>
    <x v="1"/>
    <x v="0"/>
    <x v="1"/>
    <n v="1.9394519115155797"/>
    <n v="17.150672930364781"/>
    <n v="2.2438461847910141"/>
    <n v="0.85710663622945205"/>
    <n v="0.33616898655483413"/>
    <n v="21"/>
    <x v="0"/>
    <m/>
  </r>
  <r>
    <x v="91"/>
    <d v="2015-12-24T00:00:00"/>
    <n v="201335"/>
    <n v="7590"/>
    <n v="1440"/>
    <x v="0"/>
    <x v="7"/>
    <x v="2"/>
    <n v="4.4850622097499198"/>
    <n v="37.698363424143835"/>
    <n v="7.1522586733553535"/>
    <n v="0.85701337642427444"/>
    <n v="0.33381540710089125"/>
    <n v="21"/>
    <x v="0"/>
    <m/>
  </r>
  <r>
    <x v="92"/>
    <d v="2014-12-07T00:00:00"/>
    <n v="174674"/>
    <n v="3597"/>
    <n v="408"/>
    <x v="1"/>
    <x v="7"/>
    <x v="4"/>
    <n v="2.2928426669109312"/>
    <n v="20.592646873604544"/>
    <n v="2.3357797955047688"/>
    <n v="0.85695716242454489"/>
    <n v="0.33353986067429037"/>
    <n v="21"/>
    <x v="0"/>
    <m/>
  </r>
  <r>
    <x v="93"/>
    <d v="2015-07-28T00:00:00"/>
    <n v="107669"/>
    <n v="2276"/>
    <n v="194"/>
    <x v="0"/>
    <x v="3"/>
    <x v="0"/>
    <n v="2.2940679304163685"/>
    <n v="21.138860767723301"/>
    <n v="1.8018185364403867"/>
    <n v="0.85692380701427928"/>
    <n v="0.33295283562960432"/>
    <n v="21"/>
    <x v="0"/>
    <m/>
  </r>
  <r>
    <x v="94"/>
    <d v="2023-09-19T00:00:00"/>
    <n v="1329975358"/>
    <n v="30090152"/>
    <n v="43200"/>
    <x v="6"/>
    <x v="9"/>
    <x v="0"/>
    <n v="2.2657075425302731"/>
    <n v="22.624593620478191"/>
    <n v="3.2481804824537205E-2"/>
    <n v="0.85689018012925522"/>
    <n v="0.3323174002976651"/>
    <n v="22"/>
    <x v="1"/>
    <n v="1.6861839135399241"/>
  </r>
  <r>
    <x v="95"/>
    <d v="2023-06-03T00:00:00"/>
    <n v="472227647"/>
    <n v="16934409"/>
    <n v="26955"/>
    <x v="6"/>
    <x v="4"/>
    <x v="6"/>
    <n v="3.5917769973345082"/>
    <n v="35.860689452602081"/>
    <n v="5.7080520742996653E-2"/>
    <n v="0.8520418965800024"/>
    <n v="0.34018425682609038"/>
    <n v="22"/>
    <x v="0"/>
    <m/>
  </r>
  <r>
    <x v="96"/>
    <d v="2024-10-19T00:00:00"/>
    <n v="442862242"/>
    <n v="17882490"/>
    <n v="33852"/>
    <x v="9"/>
    <x v="10"/>
    <x v="6"/>
    <n v="4.0455790313232436"/>
    <n v="40.379351193367263"/>
    <n v="7.6439119865179206E-2"/>
    <n v="0.85194954782880183"/>
    <n v="0.3418202241634774"/>
    <n v="22"/>
    <x v="0"/>
    <m/>
  </r>
  <r>
    <x v="97"/>
    <d v="2023-09-12T00:00:00"/>
    <n v="442228882"/>
    <n v="20385519"/>
    <n v="50195"/>
    <x v="6"/>
    <x v="9"/>
    <x v="0"/>
    <n v="4.6210717643720072"/>
    <n v="46.097213071669074"/>
    <n v="0.11350457205099508"/>
    <n v="0.85229743182119722"/>
    <n v="0.34308969688464225"/>
    <n v="22"/>
    <x v="0"/>
    <m/>
  </r>
  <r>
    <x v="98"/>
    <d v="2023-08-05T00:00:00"/>
    <n v="431041411"/>
    <n v="8395881"/>
    <n v="129678"/>
    <x v="6"/>
    <x v="0"/>
    <x v="6"/>
    <n v="1.9778978962186073"/>
    <n v="19.478130837874417"/>
    <n v="0.30084812431165692"/>
    <n v="0.85337264341531593"/>
    <n v="0.34384102185011317"/>
    <n v="22"/>
    <x v="4"/>
    <n v="1.5404619249292029"/>
  </r>
  <r>
    <x v="99"/>
    <d v="2023-11-25T00:00:00"/>
    <n v="319781391"/>
    <n v="4929110"/>
    <n v="63025"/>
    <x v="6"/>
    <x v="11"/>
    <x v="6"/>
    <n v="1.5611086637621137"/>
    <n v="15.41399887149781"/>
    <n v="0.19708776612332643"/>
    <n v="0.85339109461678264"/>
    <n v="0.34265886890691327"/>
    <n v="22"/>
    <x v="1"/>
    <n v="1.5575494274543447"/>
  </r>
  <r>
    <x v="100"/>
    <d v="2026-05-17T00:00:00"/>
    <n v="318642383"/>
    <n v="2146674"/>
    <n v="21083"/>
    <x v="5"/>
    <x v="6"/>
    <x v="4"/>
    <n v="0.68031031515352436"/>
    <n v="6.736938067651848"/>
    <n v="6.6165083883395384E-2"/>
    <n v="0.85365579353062759"/>
    <n v="0.3430138596609365"/>
    <n v="22"/>
    <x v="0"/>
    <m/>
  </r>
  <r>
    <x v="101"/>
    <d v="2024-05-16T00:00:00"/>
    <n v="295291401"/>
    <n v="10835322"/>
    <n v="35897"/>
    <x v="9"/>
    <x v="6"/>
    <x v="2"/>
    <n v="3.6815223752485768"/>
    <n v="36.693659088298347"/>
    <n v="0.12156466418742752"/>
    <n v="0.8544865245187897"/>
    <n v="0.3440940410410453"/>
    <n v="22"/>
    <x v="0"/>
    <m/>
  </r>
  <r>
    <x v="102"/>
    <d v="2021-03-06T00:00:00"/>
    <n v="189959380"/>
    <n v="4096397"/>
    <n v="116904"/>
    <x v="12"/>
    <x v="2"/>
    <x v="6"/>
    <n v="2.2180010273775372"/>
    <n v="21.564594493833365"/>
    <n v="0.61541577994200647"/>
    <n v="0.85471657622523423"/>
    <n v="0.34482610885869508"/>
    <n v="22"/>
    <x v="1"/>
    <n v="2.2362548176472155"/>
  </r>
  <r>
    <x v="103"/>
    <d v="2026-01-25T00:00:00"/>
    <n v="174949490"/>
    <n v="3817798"/>
    <n v="33150"/>
    <x v="5"/>
    <x v="8"/>
    <x v="4"/>
    <n v="2.2011770368693275"/>
    <n v="21.822287106981566"/>
    <n v="0.1894832617117089"/>
    <n v="0.85483312978301529"/>
    <n v="0.3455814621978246"/>
    <n v="22"/>
    <x v="0"/>
    <m/>
  </r>
  <r>
    <x v="104"/>
    <d v="2025-06-30T00:00:00"/>
    <n v="113584467"/>
    <n v="1857325"/>
    <n v="6873"/>
    <x v="4"/>
    <x v="4"/>
    <x v="5"/>
    <n v="1.6412437802785129"/>
    <n v="16.351927768433338"/>
    <n v="6.0510034351792127E-2"/>
    <n v="0.85494877422662607"/>
    <n v="0.34613245636797851"/>
    <n v="22"/>
    <x v="0"/>
    <m/>
  </r>
  <r>
    <x v="105"/>
    <d v="2015-09-05T00:00:00"/>
    <n v="8838373"/>
    <n v="391462"/>
    <n v="18779"/>
    <x v="0"/>
    <x v="9"/>
    <x v="6"/>
    <n v="4.6415895776292766"/>
    <n v="44.291183456502687"/>
    <n v="2.124712319790079"/>
    <n v="0.8550482743118285"/>
    <n v="0.34654747874555003"/>
    <n v="22"/>
    <x v="0"/>
    <m/>
  </r>
  <r>
    <x v="106"/>
    <d v="2016-07-14T00:00:00"/>
    <n v="2332777"/>
    <n v="64638"/>
    <n v="2726"/>
    <x v="2"/>
    <x v="3"/>
    <x v="2"/>
    <n v="2.8877170856880019"/>
    <n v="27.708606523469665"/>
    <n v="1.1685643334103517"/>
    <n v="0.85507058785999523"/>
    <n v="0.34683610132155784"/>
    <n v="22"/>
    <x v="0"/>
    <m/>
  </r>
  <r>
    <x v="107"/>
    <d v="2016-06-11T00:00:00"/>
    <n v="618577"/>
    <n v="23676"/>
    <n v="3557"/>
    <x v="2"/>
    <x v="4"/>
    <x v="6"/>
    <n v="4.4025238571754199"/>
    <n v="38.274943943922906"/>
    <n v="5.7502946278312965"/>
    <n v="0.85507424549478839"/>
    <n v="0.34687512953792282"/>
    <n v="22"/>
    <x v="0"/>
    <m/>
  </r>
  <r>
    <x v="108"/>
    <d v="2013-07-28T00:00:00"/>
    <n v="169406"/>
    <n v="4511"/>
    <n v="548"/>
    <x v="3"/>
    <x v="3"/>
    <x v="4"/>
    <n v="2.986316895505472"/>
    <n v="26.62833665867797"/>
    <n v="3.2348322963767515"/>
    <n v="0.85507549868978916"/>
    <n v="0.34692182576725605"/>
    <n v="22"/>
    <x v="0"/>
    <m/>
  </r>
  <r>
    <x v="109"/>
    <d v="2015-10-10T00:00:00"/>
    <n v="135107"/>
    <n v="4344"/>
    <n v="902"/>
    <x v="0"/>
    <x v="10"/>
    <x v="6"/>
    <n v="3.8828484090387616"/>
    <n v="32.152294107633203"/>
    <n v="6.6761899827544102"/>
    <n v="0.85239863128142812"/>
    <n v="0.34028101944977213"/>
    <n v="22"/>
    <x v="0"/>
    <m/>
  </r>
  <r>
    <x v="110"/>
    <d v="2016-02-15T00:00:00"/>
    <n v="123664"/>
    <n v="4667"/>
    <n v="277"/>
    <x v="2"/>
    <x v="5"/>
    <x v="5"/>
    <n v="3.9979298744986416"/>
    <n v="37.73935826109458"/>
    <n v="2.2399404838918362"/>
    <n v="0.8520585476968332"/>
    <n v="0.34069916371226"/>
    <n v="22"/>
    <x v="0"/>
    <m/>
  </r>
  <r>
    <x v="111"/>
    <d v="2014-08-18T00:00:00"/>
    <n v="92660"/>
    <n v="2106"/>
    <n v="197"/>
    <x v="1"/>
    <x v="0"/>
    <x v="5"/>
    <n v="2.4854306065184546"/>
    <n v="22.728253831210878"/>
    <n v="2.1260522339736672"/>
    <n v="0.85194200478932214"/>
    <n v="0.34162487697347987"/>
    <n v="22"/>
    <x v="0"/>
    <m/>
  </r>
  <r>
    <x v="112"/>
    <d v="2015-04-25T00:00:00"/>
    <n v="87820"/>
    <n v="1759"/>
    <n v="234"/>
    <x v="0"/>
    <x v="1"/>
    <x v="6"/>
    <n v="2.2694147119107262"/>
    <n v="20.029606012297883"/>
    <n v="2.6645411068093829"/>
    <n v="0.85176261070375792"/>
    <n v="0.34070360189098281"/>
    <n v="22"/>
    <x v="0"/>
    <m/>
  </r>
  <r>
    <x v="113"/>
    <d v="2015-05-09T00:00:00"/>
    <n v="65068"/>
    <n v="1609"/>
    <n v="348"/>
    <x v="0"/>
    <x v="6"/>
    <x v="6"/>
    <n v="3.0076227946148646"/>
    <n v="24.727976885719556"/>
    <n v="5.3482510604290896"/>
    <n v="0.85145648990376643"/>
    <n v="0.34099857191876531"/>
    <n v="22"/>
    <x v="0"/>
    <m/>
  </r>
  <r>
    <x v="114"/>
    <d v="2015-07-12T00:00:00"/>
    <n v="65054"/>
    <n v="2105"/>
    <n v="685"/>
    <x v="0"/>
    <x v="3"/>
    <x v="4"/>
    <n v="4.2887447351431112"/>
    <n v="32.357733575183694"/>
    <n v="10.529713776247425"/>
    <n v="0.85135199354528901"/>
    <n v="0.34114057998308811"/>
    <n v="22"/>
    <x v="0"/>
    <m/>
  </r>
  <r>
    <x v="115"/>
    <d v="2015-07-31T00:00:00"/>
    <n v="65035"/>
    <n v="2868"/>
    <n v="555"/>
    <x v="0"/>
    <x v="3"/>
    <x v="1"/>
    <n v="5.26331975090336"/>
    <n v="44.099331129391864"/>
    <n v="8.5338663796417311"/>
    <n v="0.85109798802074577"/>
    <n v="0.340860401493363"/>
    <n v="22"/>
    <x v="0"/>
    <m/>
  </r>
  <r>
    <x v="116"/>
    <d v="2026-01-13T00:00:00"/>
    <n v="1220368372"/>
    <n v="6780422"/>
    <n v="180100"/>
    <x v="5"/>
    <x v="8"/>
    <x v="0"/>
    <n v="0.57036237251812361"/>
    <n v="5.5560453348097756"/>
    <n v="0.14757839037146073"/>
    <n v="0.85090728790424941"/>
    <n v="0.34050334389650228"/>
    <n v="23"/>
    <x v="0"/>
    <m/>
  </r>
  <r>
    <x v="117"/>
    <d v="2023-10-03T00:00:00"/>
    <n v="1038267971"/>
    <n v="26425972"/>
    <n v="24152"/>
    <x v="6"/>
    <x v="10"/>
    <x v="0"/>
    <n v="2.5475238318798143"/>
    <n v="25.451976501353521"/>
    <n v="2.3261817444621913E-2"/>
    <n v="0.86319852356964166"/>
    <n v="0.33376351311840841"/>
    <n v="23"/>
    <x v="0"/>
    <m/>
  </r>
  <r>
    <x v="117"/>
    <d v="2024-04-09T00:00:00"/>
    <n v="622697624"/>
    <n v="19929284"/>
    <n v="26190"/>
    <x v="9"/>
    <x v="1"/>
    <x v="0"/>
    <n v="3.2046812499159305"/>
    <n v="32.004753562380699"/>
    <n v="4.2058936778599301E-2"/>
    <n v="0.8596409192107034"/>
    <n v="0.34012897280136284"/>
    <n v="23"/>
    <x v="0"/>
    <m/>
  </r>
  <r>
    <x v="118"/>
    <d v="2023-09-16T00:00:00"/>
    <n v="565310414"/>
    <n v="8195535"/>
    <n v="159916"/>
    <x v="6"/>
    <x v="9"/>
    <x v="6"/>
    <n v="1.4780288480586881"/>
    <n v="14.497406729181536"/>
    <n v="0.28288175140534383"/>
    <n v="0.85856806939895691"/>
    <n v="0.34229410256061443"/>
    <n v="23"/>
    <x v="1"/>
    <n v="7.1919090161416133"/>
  </r>
  <r>
    <x v="119"/>
    <d v="2025-06-25T00:00:00"/>
    <n v="526764521"/>
    <n v="4257056"/>
    <n v="8710"/>
    <x v="4"/>
    <x v="4"/>
    <x v="3"/>
    <n v="0.80980510834365771"/>
    <n v="8.0815161809274532"/>
    <n v="1.6534902509123237E-2"/>
    <n v="0.85904583411220314"/>
    <n v="0.33916752786721643"/>
    <n v="23"/>
    <x v="0"/>
    <m/>
  </r>
  <r>
    <x v="120"/>
    <d v="2024-05-28T00:00:00"/>
    <n v="393938176"/>
    <n v="23245946"/>
    <n v="828970"/>
    <x v="9"/>
    <x v="6"/>
    <x v="0"/>
    <n v="6.111343725163616"/>
    <n v="59.009122284203301"/>
    <n v="2.1043149674328596"/>
    <n v="0.86084067269767583"/>
    <n v="0.34135797746294544"/>
    <n v="23"/>
    <x v="0"/>
    <m/>
  </r>
  <r>
    <x v="116"/>
    <d v="2025-01-17T00:00:00"/>
    <n v="296463263"/>
    <n v="28146891"/>
    <n v="237503"/>
    <x v="4"/>
    <x v="8"/>
    <x v="1"/>
    <n v="9.5743377148216844"/>
    <n v="94.942255965117667"/>
    <n v="0.80112118309916869"/>
    <n v="0.86399225276410896"/>
    <n v="0.35672005049718614"/>
    <n v="23"/>
    <x v="0"/>
    <m/>
  </r>
  <r>
    <x v="121"/>
    <d v="2021-08-07T00:00:00"/>
    <n v="271009576"/>
    <n v="4907747"/>
    <n v="97578"/>
    <x v="12"/>
    <x v="0"/>
    <x v="6"/>
    <n v="1.8469181325164687"/>
    <n v="18.109127627283549"/>
    <n v="0.36005369788114056"/>
    <n v="0.87349815095996908"/>
    <n v="0.35584296842314134"/>
    <n v="23"/>
    <x v="0"/>
    <m/>
  </r>
  <r>
    <x v="122"/>
    <d v="2025-08-19T00:00:00"/>
    <n v="178688228"/>
    <n v="2441893"/>
    <n v="11452"/>
    <x v="4"/>
    <x v="0"/>
    <x v="0"/>
    <n v="1.3729751687951151"/>
    <n v="13.665662407262777"/>
    <n v="6.4089280688373051E-2"/>
    <n v="0.87357603280076568"/>
    <n v="0.35505255998282231"/>
    <n v="23"/>
    <x v="3"/>
    <n v="4.140920771297985"/>
  </r>
  <r>
    <x v="123"/>
    <d v="2026-01-16T00:00:00"/>
    <n v="37162928"/>
    <n v="883076"/>
    <n v="14509"/>
    <x v="5"/>
    <x v="8"/>
    <x v="1"/>
    <n v="2.4152698624823103"/>
    <n v="23.762282670515091"/>
    <n v="0.39041595430801362"/>
    <n v="0.87369677199464679"/>
    <n v="0.35536835969730979"/>
    <n v="23"/>
    <x v="0"/>
    <m/>
  </r>
  <r>
    <x v="124"/>
    <d v="2019-01-14T00:00:00"/>
    <n v="34523297"/>
    <n v="768074"/>
    <n v="23360"/>
    <x v="11"/>
    <x v="8"/>
    <x v="5"/>
    <n v="2.2924635500485366"/>
    <n v="22.247990972588742"/>
    <n v="0.67664452789662588"/>
    <n v="0.8737120154312219"/>
    <n v="0.35533738476906479"/>
    <n v="23"/>
    <x v="0"/>
    <m/>
  </r>
  <r>
    <x v="125"/>
    <d v="2016-12-09T00:00:00"/>
    <n v="11907923"/>
    <n v="438881"/>
    <n v="41094"/>
    <x v="2"/>
    <x v="7"/>
    <x v="1"/>
    <n v="4.0307197149326548"/>
    <n v="36.856217494856153"/>
    <n v="3.4509796544703892"/>
    <n v="0.87373717762355907"/>
    <n v="0.35553122247277441"/>
    <n v="23"/>
    <x v="0"/>
    <m/>
  </r>
  <r>
    <x v="126"/>
    <d v="2016-10-16T00:00:00"/>
    <n v="9907166"/>
    <n v="575329"/>
    <n v="17612"/>
    <x v="2"/>
    <x v="10"/>
    <x v="4"/>
    <n v="5.984970878654905"/>
    <n v="58.072005657319153"/>
    <n v="1.7777031292298926"/>
    <n v="0.8737558282579172"/>
    <n v="0.35608755454520602"/>
    <n v="23"/>
    <x v="0"/>
    <m/>
  </r>
  <r>
    <x v="127"/>
    <d v="2016-07-08T00:00:00"/>
    <n v="1594343"/>
    <n v="84462"/>
    <n v="8570"/>
    <x v="2"/>
    <x v="3"/>
    <x v="1"/>
    <n v="5.8351308344565753"/>
    <n v="52.97605345901102"/>
    <n v="5.3752548855547388"/>
    <n v="0.87378572523130993"/>
    <n v="0.35629730942544291"/>
    <n v="23"/>
    <x v="0"/>
    <m/>
  </r>
  <r>
    <x v="128"/>
    <d v="2015-08-02T00:00:00"/>
    <n v="1264136"/>
    <n v="14927"/>
    <n v="729"/>
    <x v="0"/>
    <x v="0"/>
    <x v="4"/>
    <n v="1.2384743413683337"/>
    <n v="11.808064955036484"/>
    <n v="0.57667845864685452"/>
    <n v="0.87378920543106586"/>
    <n v="0.35640255929629816"/>
    <n v="23"/>
    <x v="0"/>
    <m/>
  </r>
  <r>
    <x v="129"/>
    <d v="2014-04-04T00:00:00"/>
    <n v="1000554"/>
    <n v="19237"/>
    <n v="1872"/>
    <x v="1"/>
    <x v="1"/>
    <x v="1"/>
    <n v="2.1097312089102638"/>
    <n v="19.226348602874008"/>
    <n v="1.8709634862286295"/>
    <n v="0.87378945512440154"/>
    <n v="0.35638847005938423"/>
    <n v="23"/>
    <x v="0"/>
    <m/>
  </r>
  <r>
    <x v="130"/>
    <d v="2013-07-24T00:00:00"/>
    <n v="162181"/>
    <n v="5351"/>
    <n v="858"/>
    <x v="3"/>
    <x v="3"/>
    <x v="3"/>
    <n v="3.8284385963830534"/>
    <n v="32.994000530271734"/>
    <n v="5.2903854335588019"/>
    <n v="0.87378975599034492"/>
    <n v="0.35639159777325014"/>
    <n v="23"/>
    <x v="0"/>
    <m/>
  </r>
  <r>
    <x v="131"/>
    <d v="2016-04-24T00:00:00"/>
    <n v="132007"/>
    <n v="12524"/>
    <n v="1209"/>
    <x v="2"/>
    <x v="1"/>
    <x v="4"/>
    <n v="10.40323619202012"/>
    <n v="94.873756694720726"/>
    <n v="9.158605225480466"/>
    <n v="0.87378939148536894"/>
    <n v="0.35638674410133131"/>
    <n v="23"/>
    <x v="0"/>
    <m/>
  </r>
  <r>
    <x v="132"/>
    <d v="2013-08-05T00:00:00"/>
    <n v="117479"/>
    <n v="3762"/>
    <n v="559"/>
    <x v="3"/>
    <x v="0"/>
    <x v="5"/>
    <n v="3.6781041718094301"/>
    <n v="32.022744490504685"/>
    <n v="4.7582972275896118"/>
    <n v="0.87378995711683449"/>
    <n v="0.35639826424839172"/>
    <n v="23"/>
    <x v="0"/>
    <m/>
  </r>
  <r>
    <x v="133"/>
    <d v="2013-12-27T00:00:00"/>
    <n v="101234"/>
    <n v="2179"/>
    <n v="424"/>
    <x v="3"/>
    <x v="7"/>
    <x v="1"/>
    <n v="2.5712705217614635"/>
    <n v="21.524389039255585"/>
    <n v="4.1883161783590488"/>
    <n v="0.87379008739111508"/>
    <n v="0.3564028504076312"/>
    <n v="23"/>
    <x v="0"/>
    <m/>
  </r>
  <r>
    <x v="134"/>
    <d v="2014-03-28T00:00:00"/>
    <n v="77386"/>
    <n v="1950"/>
    <n v="240"/>
    <x v="1"/>
    <x v="2"/>
    <x v="1"/>
    <n v="2.82996924508309"/>
    <n v="25.198356291835733"/>
    <n v="3.1013361589951671"/>
    <n v="0.87379008939773573"/>
    <n v="0.35640345141770313"/>
    <n v="23"/>
    <x v="0"/>
    <m/>
  </r>
  <r>
    <x v="135"/>
    <d v="2015-05-28T00:00:00"/>
    <n v="70565"/>
    <n v="1296"/>
    <n v="265"/>
    <x v="0"/>
    <x v="6"/>
    <x v="2"/>
    <n v="2.212144831006873"/>
    <n v="18.366045489973786"/>
    <n v="3.7554028200949476"/>
    <n v="0.87379007823787869"/>
    <n v="0.35640154557885984"/>
    <n v="23"/>
    <x v="0"/>
    <m/>
  </r>
  <r>
    <x v="136"/>
    <d v="2015-03-21T00:00:00"/>
    <n v="67386"/>
    <n v="1393"/>
    <n v="226"/>
    <x v="0"/>
    <x v="2"/>
    <x v="6"/>
    <n v="2.4025762027720892"/>
    <n v="20.671949663134775"/>
    <n v="3.353812364586116"/>
    <n v="0.87379005331767368"/>
    <n v="0.35640262249179844"/>
    <n v="23"/>
    <x v="0"/>
    <m/>
  </r>
  <r>
    <x v="137"/>
    <d v="2014-07-09T00:00:00"/>
    <n v="65076"/>
    <n v="2099"/>
    <n v="386"/>
    <x v="1"/>
    <x v="3"/>
    <x v="3"/>
    <n v="3.8186120843321651"/>
    <n v="32.254594627819777"/>
    <n v="5.9315262155018749"/>
    <n v="0.87379006313647867"/>
    <n v="0.35640322279441472"/>
    <n v="23"/>
    <x v="0"/>
    <m/>
  </r>
  <r>
    <x v="138"/>
    <d v="2026-01-27T00:00:00"/>
    <n v="1150823786"/>
    <n v="8917138"/>
    <n v="40603"/>
    <x v="5"/>
    <x v="8"/>
    <x v="0"/>
    <n v="0.77837642121866957"/>
    <n v="7.748482529192354"/>
    <n v="3.528168299434159E-2"/>
    <n v="0.87379009383948147"/>
    <n v="0.35640522699096344"/>
    <n v="24"/>
    <x v="1"/>
    <n v="2.2940679304163685"/>
  </r>
  <r>
    <x v="139"/>
    <d v="2023-04-22T00:00:00"/>
    <n v="775049947"/>
    <n v="30632956"/>
    <n v="73806"/>
    <x v="6"/>
    <x v="1"/>
    <x v="6"/>
    <n v="3.9619075027173696"/>
    <n v="39.523847615978227"/>
    <n v="9.5227411195474856E-2"/>
    <n v="0.88310493417876612"/>
    <n v="0.36367272353409302"/>
    <n v="24"/>
    <x v="0"/>
    <m/>
  </r>
  <r>
    <x v="140"/>
    <d v="2023-08-22T00:00:00"/>
    <n v="538185052"/>
    <n v="13889755"/>
    <n v="29588"/>
    <x v="6"/>
    <x v="0"/>
    <x v="0"/>
    <n v="2.5863488679726467"/>
    <n v="25.80851130737091"/>
    <n v="5.4977372355559218E-2"/>
    <n v="0.88323372838709779"/>
    <n v="0.364642221603794"/>
    <n v="24"/>
    <x v="0"/>
    <m/>
  </r>
  <r>
    <x v="141"/>
    <d v="2023-08-12T00:00:00"/>
    <n v="445122218"/>
    <n v="6843185"/>
    <n v="109234"/>
    <x v="6"/>
    <x v="0"/>
    <x v="6"/>
    <n v="1.561912373468628"/>
    <n v="15.373721470807372"/>
    <n v="0.24540226387890618"/>
    <n v="0.88017784452654502"/>
    <n v="0.3650755030153931"/>
    <n v="24"/>
    <x v="1"/>
    <n v="4.0455790313232436"/>
  </r>
  <r>
    <x v="142"/>
    <d v="2025-11-18T00:00:00"/>
    <n v="379533891"/>
    <n v="3079228"/>
    <n v="13172"/>
    <x v="4"/>
    <x v="11"/>
    <x v="0"/>
    <n v="0.81478889588808812"/>
    <n v="8.1131832308488097"/>
    <n v="3.4705728032071843E-2"/>
    <n v="0.88095214363203811"/>
    <n v="0.36249085130437869"/>
    <n v="24"/>
    <x v="0"/>
    <m/>
  </r>
  <r>
    <x v="143"/>
    <d v="2024-08-29T00:00:00"/>
    <n v="274325711"/>
    <n v="8270857"/>
    <n v="23152"/>
    <x v="9"/>
    <x v="0"/>
    <x v="2"/>
    <n v="3.023416569218333"/>
    <n v="30.149769665592881"/>
    <n v="8.4396026590449633E-2"/>
    <n v="0.88237264138327509"/>
    <n v="0.36266092877277278"/>
    <n v="24"/>
    <x v="1"/>
    <n v="1.9778978962186073"/>
  </r>
  <r>
    <x v="144"/>
    <d v="2020-07-03T00:00:00"/>
    <n v="268612574"/>
    <n v="5564471"/>
    <n v="182005"/>
    <x v="7"/>
    <x v="3"/>
    <x v="1"/>
    <n v="2.1393175734208185"/>
    <n v="20.715601347835641"/>
    <n v="0.67757438637254563"/>
    <n v="0.8826257504241336"/>
    <n v="0.36201811796875649"/>
    <n v="24"/>
    <x v="1"/>
    <n v="1.5611086637621137"/>
  </r>
  <r>
    <x v="145"/>
    <d v="2025-05-21T00:00:00"/>
    <n v="259323347"/>
    <n v="3564972"/>
    <n v="10859"/>
    <x v="4"/>
    <x v="6"/>
    <x v="3"/>
    <n v="1.3789082399896682"/>
    <n v="13.74720803676809"/>
    <n v="4.1874363128592509E-2"/>
    <n v="0.88262970579378142"/>
    <n v="0.36155838190406836"/>
    <n v="24"/>
    <x v="0"/>
    <m/>
  </r>
  <r>
    <x v="146"/>
    <d v="2025-04-11T00:00:00"/>
    <n v="115433546"/>
    <n v="4300044"/>
    <n v="27577"/>
    <x v="4"/>
    <x v="1"/>
    <x v="1"/>
    <n v="3.7490150393543309"/>
    <n v="37.251251035812416"/>
    <n v="0.23889935773089738"/>
    <n v="0.882224848354494"/>
    <n v="0.3570312353632738"/>
    <n v="24"/>
    <x v="0"/>
    <m/>
  </r>
  <r>
    <x v="147"/>
    <d v="2025-05-07T00:00:00"/>
    <n v="94908731"/>
    <n v="4451679"/>
    <n v="172532"/>
    <x v="4"/>
    <x v="6"/>
    <x v="3"/>
    <n v="4.8722714457113545"/>
    <n v="46.904841663092093"/>
    <n v="1.8178727940214479"/>
    <n v="0.88231861912717924"/>
    <n v="0.35656495026363472"/>
    <n v="24"/>
    <x v="1"/>
    <n v="2.2180010273775372"/>
  </r>
  <r>
    <x v="148"/>
    <d v="2025-10-10T00:00:00"/>
    <n v="92525126"/>
    <n v="2355961"/>
    <n v="13105"/>
    <x v="4"/>
    <x v="10"/>
    <x v="1"/>
    <n v="2.5604569292885913"/>
    <n v="25.462932090468055"/>
    <n v="0.14163720241785999"/>
    <n v="0.88244525165143972"/>
    <n v="0.35863473646348959"/>
    <n v="24"/>
    <x v="3"/>
    <n v="2.2011770368693275"/>
  </r>
  <r>
    <x v="149"/>
    <d v="2026-04-27T00:00:00"/>
    <n v="18460027"/>
    <n v="400068"/>
    <n v="8907"/>
    <x v="5"/>
    <x v="1"/>
    <x v="5"/>
    <n v="2.215462631771882"/>
    <n v="21.672124314877763"/>
    <n v="0.48250200284105765"/>
    <n v="0.88243376375770544"/>
    <n v="0.3574571236368228"/>
    <n v="24"/>
    <x v="0"/>
    <m/>
  </r>
  <r>
    <x v="150"/>
    <d v="2015-06-30T00:00:00"/>
    <n v="1697863"/>
    <n v="115899"/>
    <n v="12957"/>
    <x v="0"/>
    <x v="4"/>
    <x v="0"/>
    <n v="7.5893049085821414"/>
    <n v="68.261691314316877"/>
    <n v="7.6313577715045326"/>
    <n v="0.88234052677523378"/>
    <n v="0.35705530313674549"/>
    <n v="24"/>
    <x v="0"/>
    <m/>
  </r>
  <r>
    <x v="151"/>
    <d v="2015-07-20T00:00:00"/>
    <n v="143389"/>
    <n v="4303"/>
    <n v="462"/>
    <x v="0"/>
    <x v="3"/>
    <x v="5"/>
    <n v="3.3231279944765637"/>
    <n v="30.00927546743474"/>
    <n v="3.2220044773308971"/>
    <n v="0.88225352465715201"/>
    <n v="0.35260313509541624"/>
    <n v="24"/>
    <x v="0"/>
    <m/>
  </r>
  <r>
    <x v="152"/>
    <d v="2013-12-31T00:00:00"/>
    <n v="96931"/>
    <n v="2132"/>
    <n v="347"/>
    <x v="3"/>
    <x v="7"/>
    <x v="0"/>
    <n v="2.5574893480929735"/>
    <n v="21.99502739061807"/>
    <n v="3.5798660903116648"/>
    <n v="0.88216198588174632"/>
    <n v="0.35154647948444406"/>
    <n v="24"/>
    <x v="0"/>
    <m/>
  </r>
  <r>
    <x v="153"/>
    <d v="2015-04-07T00:00:00"/>
    <n v="81159"/>
    <n v="1225"/>
    <n v="209"/>
    <x v="0"/>
    <x v="1"/>
    <x v="0"/>
    <n v="1.7669020071711086"/>
    <n v="15.093828164467281"/>
    <n v="2.5751919072438052"/>
    <n v="0.8820701814161156"/>
    <n v="0.35083973265496066"/>
    <n v="24"/>
    <x v="0"/>
    <m/>
  </r>
  <r>
    <x v="154"/>
    <d v="2025-05-16T00:00:00"/>
    <n v="902456203"/>
    <n v="9544909"/>
    <n v="32555"/>
    <x v="4"/>
    <x v="6"/>
    <x v="1"/>
    <n v="1.061266349343271"/>
    <n v="10.576589720664815"/>
    <n v="3.6073772767895751E-2"/>
    <n v="0.88199485665848754"/>
    <n v="0.35030216030225492"/>
    <n v="25"/>
    <x v="0"/>
    <m/>
  </r>
  <r>
    <x v="155"/>
    <d v="2023-10-14T00:00:00"/>
    <n v="430236651"/>
    <n v="6515260"/>
    <n v="136272"/>
    <x v="6"/>
    <x v="10"/>
    <x v="6"/>
    <n v="1.5460170546929997"/>
    <n v="15.143433235770516"/>
    <n v="0.31673731115948095"/>
    <n v="0.8859656855198812"/>
    <n v="0.35510456950620223"/>
    <n v="25"/>
    <x v="1"/>
    <n v="3.9979298744986416"/>
  </r>
  <r>
    <x v="156"/>
    <d v="2026-05-19T00:00:00"/>
    <n v="354422379"/>
    <n v="2706368"/>
    <n v="36624"/>
    <x v="5"/>
    <x v="6"/>
    <x v="0"/>
    <n v="0.77393307040580528"/>
    <n v="7.6359963714368044"/>
    <n v="0.10333433262124794"/>
    <n v="0.88635702793546256"/>
    <n v="0.35334076334083936"/>
    <n v="25"/>
    <x v="0"/>
    <m/>
  </r>
  <r>
    <x v="157"/>
    <d v="2025-05-02T00:00:00"/>
    <n v="352451133"/>
    <n v="6343883"/>
    <n v="15949"/>
    <x v="4"/>
    <x v="6"/>
    <x v="1"/>
    <n v="1.8044578111769045"/>
    <n v="17.999326448469667"/>
    <n v="4.5251663299377166E-2"/>
    <n v="0.88735800951355137"/>
    <n v="0.35185667733749976"/>
    <n v="25"/>
    <x v="0"/>
    <m/>
  </r>
  <r>
    <x v="158"/>
    <d v="2024-01-13T00:00:00"/>
    <n v="196948826"/>
    <n v="4830286"/>
    <n v="70584"/>
    <x v="9"/>
    <x v="8"/>
    <x v="6"/>
    <n v="2.4883976713829208"/>
    <n v="24.525589200516482"/>
    <n v="0.35838751331272217"/>
    <n v="0.88749422535442712"/>
    <n v="0.35296371850071367"/>
    <n v="25"/>
    <x v="1"/>
    <n v="3.0076227946148646"/>
  </r>
  <r>
    <x v="159"/>
    <d v="2020-08-13T00:00:00"/>
    <n v="186585400"/>
    <n v="4011016"/>
    <n v="126824"/>
    <x v="7"/>
    <x v="0"/>
    <x v="2"/>
    <n v="2.2176654765056645"/>
    <n v="21.496944562650668"/>
    <n v="0.67971020240597602"/>
    <n v="0.88750042102379456"/>
    <n v="0.35227114706259266"/>
    <n v="25"/>
    <x v="0"/>
    <m/>
  </r>
  <r>
    <x v="160"/>
    <d v="2024-08-17T00:00:00"/>
    <n v="185104411"/>
    <n v="4692253"/>
    <n v="94504"/>
    <x v="9"/>
    <x v="0"/>
    <x v="6"/>
    <n v="2.5859767328829348"/>
    <n v="25.349223039314822"/>
    <n v="0.51054428951452702"/>
    <n v="0.88758218759944141"/>
    <n v="0.35286588529739105"/>
    <n v="25"/>
    <x v="4"/>
    <n v="5.26331975090336"/>
  </r>
  <r>
    <x v="161"/>
    <d v="2025-05-24T00:00:00"/>
    <n v="176262841"/>
    <n v="3668917"/>
    <n v="82074"/>
    <x v="4"/>
    <x v="6"/>
    <x v="6"/>
    <n v="2.1280667999672152"/>
    <n v="20.81503383915161"/>
    <n v="0.46563416052053758"/>
    <n v="0.88766131682590943"/>
    <n v="0.35330935122969154"/>
    <n v="25"/>
    <x v="1"/>
    <n v="0.57036237251812361"/>
  </r>
  <r>
    <x v="162"/>
    <d v="2025-10-07T00:00:00"/>
    <n v="153489625"/>
    <n v="3543720"/>
    <n v="13094"/>
    <x v="4"/>
    <x v="10"/>
    <x v="0"/>
    <n v="2.3172992962879411"/>
    <n v="23.087684265304578"/>
    <n v="8.5308697574836084E-2"/>
    <n v="0.8877489994964296"/>
    <n v="0.35371486625298015"/>
    <n v="25"/>
    <x v="1"/>
    <n v="2.5475238318798143"/>
  </r>
  <r>
    <x v="163"/>
    <d v="2016-06-01T00:00:00"/>
    <n v="28588613"/>
    <n v="810565"/>
    <n v="27300"/>
    <x v="2"/>
    <x v="4"/>
    <x v="3"/>
    <n v="2.9307647768711269"/>
    <n v="28.352722113521214"/>
    <n v="0.95492565519005757"/>
    <n v="0.88783051652756151"/>
    <n v="0.35416635790777584"/>
    <n v="25"/>
    <x v="0"/>
    <m/>
  </r>
  <r>
    <x v="164"/>
    <d v="2016-10-25T00:00:00"/>
    <n v="1646489"/>
    <n v="38419"/>
    <n v="2784"/>
    <x v="2"/>
    <x v="10"/>
    <x v="0"/>
    <n v="2.5024764817742482"/>
    <n v="23.333894122584482"/>
    <n v="1.6908706951579999"/>
    <n v="0.88786421319383435"/>
    <n v="0.35450167939147109"/>
    <n v="25"/>
    <x v="1"/>
    <n v="1.4780288480586881"/>
  </r>
  <r>
    <x v="165"/>
    <d v="2013-01-12T00:00:00"/>
    <n v="1491514"/>
    <n v="51394"/>
    <n v="4237"/>
    <x v="3"/>
    <x v="8"/>
    <x v="6"/>
    <n v="3.7298342489577703"/>
    <n v="34.457604823018762"/>
    <n v="2.8407376665589466"/>
    <n v="0.88786520431604177"/>
    <n v="0.35453006012074467"/>
    <n v="25"/>
    <x v="0"/>
    <m/>
  </r>
  <r>
    <x v="166"/>
    <d v="2013-01-13T00:00:00"/>
    <n v="1199681"/>
    <n v="39151"/>
    <n v="3500"/>
    <x v="3"/>
    <x v="8"/>
    <x v="4"/>
    <n v="3.5551950893612552"/>
    <n v="32.634508673555715"/>
    <n v="2.9174422200568317"/>
    <n v="0.88786759029255979"/>
    <n v="0.35458016797785252"/>
    <n v="25"/>
    <x v="0"/>
    <m/>
  </r>
  <r>
    <x v="167"/>
    <d v="2013-01-26T00:00:00"/>
    <n v="630111"/>
    <n v="0"/>
    <n v="2101"/>
    <x v="3"/>
    <x v="8"/>
    <x v="6"/>
    <n v="0.33343331571738949"/>
    <n v="0"/>
    <n v="3.3343331571738948"/>
    <n v="0.88786918259654546"/>
    <n v="0.35461904714804793"/>
    <n v="25"/>
    <x v="0"/>
    <m/>
  </r>
  <r>
    <x v="168"/>
    <d v="2015-11-01T00:00:00"/>
    <n v="187484"/>
    <n v="6521"/>
    <n v="495"/>
    <x v="0"/>
    <x v="11"/>
    <x v="4"/>
    <n v="3.7421859998719893"/>
    <n v="34.781634699494354"/>
    <n v="2.6402252992255342"/>
    <n v="0.88786897571423751"/>
    <n v="0.3546453385612649"/>
    <n v="25"/>
    <x v="0"/>
    <m/>
  </r>
  <r>
    <x v="169"/>
    <d v="2016-01-21T00:00:00"/>
    <n v="141084"/>
    <n v="5907"/>
    <n v="742"/>
    <x v="2"/>
    <x v="8"/>
    <x v="2"/>
    <n v="4.7127952141986329"/>
    <n v="41.868673981457853"/>
    <n v="5.2592781605284795"/>
    <n v="0.88786883164723207"/>
    <n v="0.35464151638882935"/>
    <n v="25"/>
    <x v="0"/>
    <m/>
  </r>
  <r>
    <x v="170"/>
    <d v="2013-11-27T00:00:00"/>
    <n v="92680"/>
    <n v="2491"/>
    <n v="523"/>
    <x v="3"/>
    <x v="11"/>
    <x v="3"/>
    <n v="3.2520500647388864"/>
    <n v="26.877427708243417"/>
    <n v="5.6430729391454468"/>
    <n v="0.88786902890521657"/>
    <n v="0.35464786926889519"/>
    <n v="25"/>
    <x v="0"/>
    <m/>
  </r>
  <r>
    <x v="171"/>
    <d v="2016-03-09T00:00:00"/>
    <n v="90439"/>
    <n v="2981"/>
    <n v="1348"/>
    <x v="2"/>
    <x v="2"/>
    <x v="3"/>
    <n v="4.7866517763354306"/>
    <n v="32.961443624984796"/>
    <n v="14.905074138369509"/>
    <n v="0.88786905767963409"/>
    <n v="0.35465183476951645"/>
    <n v="25"/>
    <x v="0"/>
    <m/>
  </r>
  <r>
    <x v="172"/>
    <d v="2015-04-01T00:00:00"/>
    <n v="72158"/>
    <n v="1842"/>
    <n v="226"/>
    <x v="0"/>
    <x v="1"/>
    <x v="3"/>
    <n v="2.865933091271931"/>
    <n v="25.527315058621358"/>
    <n v="3.1320158540979519"/>
    <n v="0.88786909563740313"/>
    <n v="0.35466373228351655"/>
    <n v="25"/>
    <x v="0"/>
    <m/>
  </r>
  <r>
    <x v="173"/>
    <d v="2015-05-07T00:00:00"/>
    <n v="71297"/>
    <n v="1800"/>
    <n v="219"/>
    <x v="0"/>
    <x v="6"/>
    <x v="2"/>
    <n v="2.8318162054504397"/>
    <n v="25.246504060479403"/>
    <n v="3.071657994024994"/>
    <n v="0.88786912656370687"/>
    <n v="0.35466443054330649"/>
    <n v="25"/>
    <x v="0"/>
    <m/>
  </r>
  <r>
    <x v="174"/>
    <d v="2015-02-28T00:00:00"/>
    <n v="66499"/>
    <n v="1637"/>
    <n v="588"/>
    <x v="0"/>
    <x v="5"/>
    <x v="6"/>
    <n v="3.3459149761650551"/>
    <n v="24.616911532504247"/>
    <n v="8.8422382291463038"/>
    <n v="0.88786911176321603"/>
    <n v="0.35466518497498528"/>
    <n v="25"/>
    <x v="0"/>
    <m/>
  </r>
  <r>
    <x v="175"/>
    <d v="2015-04-13T00:00:00"/>
    <n v="66333"/>
    <n v="1424"/>
    <n v="197"/>
    <x v="0"/>
    <x v="1"/>
    <x v="5"/>
    <n v="2.4437308730194625"/>
    <n v="21.467444560022916"/>
    <n v="2.969864170171709"/>
    <n v="0.88786909685962823"/>
    <n v="0.35466958398980014"/>
    <n v="25"/>
    <x v="0"/>
    <m/>
  </r>
  <r>
    <x v="176"/>
    <d v="2015-08-29T00:00:00"/>
    <n v="65040"/>
    <n v="2335"/>
    <n v="542"/>
    <x v="0"/>
    <x v="0"/>
    <x v="6"/>
    <n v="4.4234317343173428"/>
    <n v="35.900984009840101"/>
    <n v="8.3333333333333339"/>
    <n v="0.88786907305011786"/>
    <n v="0.3546688183248034"/>
    <n v="25"/>
    <x v="0"/>
    <m/>
  </r>
  <r>
    <x v="177"/>
    <d v="2015-08-04T00:00:00"/>
    <n v="65039"/>
    <n v="1869"/>
    <n v="696"/>
    <x v="0"/>
    <x v="0"/>
    <x v="0"/>
    <n v="3.9437875736096806"/>
    <n v="28.736604191331356"/>
    <n v="10.701271544765449"/>
    <n v="0.88786910225533411"/>
    <n v="0.35467305491299667"/>
    <n v="25"/>
    <x v="0"/>
    <m/>
  </r>
  <r>
    <x v="178"/>
    <d v="2023-03-11T00:00:00"/>
    <n v="761620739"/>
    <n v="14429211"/>
    <n v="20201"/>
    <x v="6"/>
    <x v="2"/>
    <x v="6"/>
    <n v="1.8971925605613005"/>
    <n v="18.94540190560646"/>
    <n v="2.6523700006546171E-2"/>
    <n v="0.88786912752482661"/>
    <n v="0.35467904171747516"/>
    <n v="26"/>
    <x v="1"/>
    <n v="10.40323619202012"/>
  </r>
  <r>
    <x v="179"/>
    <d v="2026-05-15T00:00:00"/>
    <n v="634740319"/>
    <n v="3494242"/>
    <n v="83407"/>
    <x v="5"/>
    <x v="6"/>
    <x v="1"/>
    <n v="0.56363978983348617"/>
    <n v="5.5049945551040373"/>
    <n v="0.13140334323082445"/>
    <n v="0.8876282084592142"/>
    <n v="0.35943610103994511"/>
    <n v="26"/>
    <x v="1"/>
    <n v="3.6781041718094301"/>
  </r>
  <r>
    <x v="180"/>
    <d v="2025-04-22T00:00:00"/>
    <n v="634149354"/>
    <n v="7004817"/>
    <n v="6212"/>
    <x v="4"/>
    <x v="1"/>
    <x v="0"/>
    <n v="1.1055800902069515"/>
    <n v="11.046005102450991"/>
    <n v="9.7957996185233046E-3"/>
    <n v="0.89182046941665438"/>
    <n v="0.35947590675176061"/>
    <n v="26"/>
    <x v="1"/>
    <n v="2.5712705217614635"/>
  </r>
  <r>
    <x v="181"/>
    <d v="2025-03-23T00:00:00"/>
    <n v="631272285"/>
    <n v="13249291"/>
    <n v="13051"/>
    <x v="4"/>
    <x v="2"/>
    <x v="4"/>
    <n v="2.1008909016178334"/>
    <n v="20.988234894551088"/>
    <n v="2.0674121627246789E-2"/>
    <n v="0.89388107815882401"/>
    <n v="0.36381180716552503"/>
    <n v="26"/>
    <x v="1"/>
    <n v="2.82996924508309"/>
  </r>
  <r>
    <x v="182"/>
    <d v="2026-02-09T00:00:00"/>
    <n v="362606510"/>
    <n v="4942868"/>
    <n v="32337"/>
    <x v="5"/>
    <x v="5"/>
    <x v="5"/>
    <n v="1.3720672030957193"/>
    <n v="13.631492716443507"/>
    <n v="8.9179314513685923E-2"/>
    <n v="0.89314470899870224"/>
    <n v="0.36207651281561043"/>
    <n v="26"/>
    <x v="0"/>
    <m/>
  </r>
  <r>
    <x v="183"/>
    <d v="2026-04-21T00:00:00"/>
    <n v="131784458"/>
    <n v="2139059"/>
    <n v="17718"/>
    <x v="5"/>
    <x v="1"/>
    <x v="0"/>
    <n v="1.6365943547000057"/>
    <n v="16.231496736891387"/>
    <n v="0.13444681010867002"/>
    <n v="0.89406760356105397"/>
    <n v="0.36192491610712968"/>
    <n v="26"/>
    <x v="3"/>
    <n v="2.4025762027720892"/>
  </r>
  <r>
    <x v="184"/>
    <d v="2026-03-13T00:00:00"/>
    <n v="87493049"/>
    <n v="2293405"/>
    <n v="21677"/>
    <x v="5"/>
    <x v="2"/>
    <x v="1"/>
    <n v="2.6460181996857832"/>
    <n v="26.212425172198536"/>
    <n v="0.24775682465929377"/>
    <n v="0.89380469936463103"/>
    <n v="0.3630748154763177"/>
    <n v="26"/>
    <x v="1"/>
    <n v="3.8186120843321651"/>
  </r>
  <r>
    <x v="185"/>
    <d v="2025-05-05T00:00:00"/>
    <n v="61346750"/>
    <n v="1810100"/>
    <n v="8741"/>
    <x v="4"/>
    <x v="6"/>
    <x v="5"/>
    <n v="2.9648530688259767"/>
    <n v="29.506045552535383"/>
    <n v="0.14248513572438637"/>
    <n v="0.89311345573224077"/>
    <n v="0.36235369852726196"/>
    <n v="26"/>
    <x v="1"/>
    <n v="0.77837642121866957"/>
  </r>
  <r>
    <x v="186"/>
    <d v="2026-02-22T00:00:00"/>
    <n v="26738846"/>
    <n v="988766"/>
    <n v="16175"/>
    <x v="5"/>
    <x v="5"/>
    <x v="4"/>
    <n v="3.7583559140884391"/>
    <n v="36.978634006867757"/>
    <n v="0.60492513401662884"/>
    <n v="0.8930686004485473"/>
    <n v="0.36212277653384117"/>
    <n v="26"/>
    <x v="0"/>
    <m/>
  </r>
  <r>
    <x v="187"/>
    <d v="2018-06-01T00:00:00"/>
    <n v="17395085"/>
    <n v="429202"/>
    <n v="35866"/>
    <x v="13"/>
    <x v="4"/>
    <x v="1"/>
    <n v="2.6735598015186475"/>
    <n v="24.673751234903424"/>
    <n v="2.0618467802830511"/>
    <n v="0.8930319337326077"/>
    <n v="0.3609730529996209"/>
    <n v="26"/>
    <x v="0"/>
    <m/>
  </r>
  <r>
    <x v="188"/>
    <d v="2018-12-25T00:00:00"/>
    <n v="14578889"/>
    <n v="487393"/>
    <n v="33576"/>
    <x v="13"/>
    <x v="7"/>
    <x v="0"/>
    <n v="3.5734478806992773"/>
    <n v="33.431422655045935"/>
    <n v="2.3030561519468322"/>
    <n v="0.89296364085574143"/>
    <n v="0.36079874288280434"/>
    <n v="26"/>
    <x v="1"/>
    <n v="1.561912373468628"/>
  </r>
  <r>
    <x v="189"/>
    <d v="2015-07-27T00:00:00"/>
    <n v="271141"/>
    <n v="4181"/>
    <n v="577"/>
    <x v="0"/>
    <x v="3"/>
    <x v="5"/>
    <n v="1.7548065397708206"/>
    <n v="15.420021317321984"/>
    <n v="2.1280440803862199"/>
    <n v="0.89289890224351676"/>
    <n v="0.35985560231671859"/>
    <n v="26"/>
    <x v="0"/>
    <m/>
  </r>
  <r>
    <x v="190"/>
    <d v="2013-07-19T00:00:00"/>
    <n v="216436"/>
    <n v="7153"/>
    <n v="772"/>
    <x v="3"/>
    <x v="3"/>
    <x v="1"/>
    <n v="3.6615904932635974"/>
    <n v="33.049030660333777"/>
    <n v="3.5668742723022051"/>
    <n v="0.8928209270745221"/>
    <n v="0.35853181960705538"/>
    <n v="26"/>
    <x v="0"/>
    <m/>
  </r>
  <r>
    <x v="191"/>
    <d v="2015-02-17T00:00:00"/>
    <n v="163219"/>
    <n v="2357"/>
    <n v="317"/>
    <x v="0"/>
    <x v="5"/>
    <x v="0"/>
    <n v="1.6382896599047907"/>
    <n v="14.440720749422555"/>
    <n v="1.9421758496253501"/>
    <n v="0.89280199036475172"/>
    <n v="0.35772871316174609"/>
    <n v="26"/>
    <x v="0"/>
    <m/>
  </r>
  <r>
    <x v="192"/>
    <d v="2015-04-26T00:00:00"/>
    <n v="65146"/>
    <n v="1872"/>
    <n v="404"/>
    <x v="0"/>
    <x v="1"/>
    <x v="4"/>
    <n v="3.4936910938507348"/>
    <n v="28.735455745556134"/>
    <n v="6.2014551929512169"/>
    <n v="0.89280176879188866"/>
    <n v="0.35772125196901999"/>
    <n v="26"/>
    <x v="0"/>
    <m/>
  </r>
  <r>
    <x v="193"/>
    <d v="2025-04-16T00:00:00"/>
    <n v="569381470"/>
    <n v="7116073"/>
    <n v="12000"/>
    <x v="4"/>
    <x v="1"/>
    <x v="3"/>
    <n v="1.2518976074159911"/>
    <n v="12.497900572703919"/>
    <n v="2.1075501455992237E-2"/>
    <n v="0.89280177374452308"/>
    <n v="0.35772244031546452"/>
    <n v="27"/>
    <x v="1"/>
    <n v="3.7490150393543309"/>
  </r>
  <r>
    <x v="194"/>
    <d v="2023-06-10T00:00:00"/>
    <n v="555433781"/>
    <n v="8457520"/>
    <n v="168267"/>
    <x v="6"/>
    <x v="4"/>
    <x v="6"/>
    <n v="1.5529820646612778"/>
    <n v="15.226873642386543"/>
    <n v="0.30294700422623377"/>
    <n v="0.89410405148261107"/>
    <n v="0.36110563081783387"/>
    <n v="27"/>
    <x v="1"/>
    <n v="4.8722714457113545"/>
  </r>
  <r>
    <x v="195"/>
    <d v="2024-02-17T00:00:00"/>
    <n v="477519959"/>
    <n v="16515463"/>
    <n v="37766"/>
    <x v="9"/>
    <x v="5"/>
    <x v="6"/>
    <n v="3.466499920687085"/>
    <n v="34.585911413181371"/>
    <n v="7.908779368947802E-2"/>
    <n v="0.89477567136625602"/>
    <n v="0.3580534463467524"/>
    <n v="27"/>
    <x v="1"/>
    <n v="2.5604569292885913"/>
  </r>
  <r>
    <x v="196"/>
    <d v="2025-02-24T00:00:00"/>
    <n v="400158289"/>
    <n v="7992608"/>
    <n v="9952"/>
    <x v="4"/>
    <x v="5"/>
    <x v="5"/>
    <n v="1.9998486149064878"/>
    <n v="19.973615990746104"/>
    <n v="2.4870158318774701E-2"/>
    <n v="0.8946187961716392"/>
    <n v="0.35959157055174423"/>
    <n v="27"/>
    <x v="1"/>
    <n v="2.215462631771882"/>
  </r>
  <r>
    <x v="197"/>
    <d v="2023-11-18T00:00:00"/>
    <n v="316045759"/>
    <n v="8307146"/>
    <n v="126897"/>
    <x v="6"/>
    <x v="11"/>
    <x v="6"/>
    <n v="2.6686145154062957"/>
    <n v="26.284630511368452"/>
    <n v="0.40151464269450932"/>
    <n v="0.89465872390845125"/>
    <n v="0.36160951881908815"/>
    <n v="27"/>
    <x v="2"/>
    <n v="7.5893049085821414"/>
  </r>
  <r>
    <x v="198"/>
    <d v="2024-05-09T00:00:00"/>
    <n v="286845575"/>
    <n v="10012699"/>
    <n v="36075"/>
    <x v="9"/>
    <x v="6"/>
    <x v="2"/>
    <n v="3.5031999360631589"/>
    <n v="34.906234826875057"/>
    <n v="0.12576453375653432"/>
    <n v="0.89462036019236502"/>
    <n v="0.36118785340373655"/>
    <n v="27"/>
    <x v="0"/>
    <m/>
  </r>
  <r>
    <x v="199"/>
    <d v="2024-11-02T00:00:00"/>
    <n v="282132360"/>
    <n v="5162709"/>
    <n v="56701"/>
    <x v="9"/>
    <x v="11"/>
    <x v="6"/>
    <n v="1.8499862972117058"/>
    <n v="18.298889925281877"/>
    <n v="0.20097304683518047"/>
    <n v="0.89475495917694226"/>
    <n v="0.36196159136154432"/>
    <n v="27"/>
    <x v="1"/>
    <n v="2.5574893480929735"/>
  </r>
  <r>
    <x v="200"/>
    <d v="2023-11-04T00:00:00"/>
    <n v="267106963"/>
    <n v="10438121"/>
    <n v="214794"/>
    <x v="6"/>
    <x v="11"/>
    <x v="6"/>
    <n v="3.9882580672372812"/>
    <n v="39.078430913087054"/>
    <n v="0.80414975928575849"/>
    <n v="0.8948873930720721"/>
    <n v="0.36241927461189771"/>
    <n v="27"/>
    <x v="0"/>
    <m/>
  </r>
  <r>
    <x v="201"/>
    <d v="2025-06-21T00:00:00"/>
    <n v="257737612"/>
    <n v="6969414"/>
    <n v="119798"/>
    <x v="4"/>
    <x v="4"/>
    <x v="6"/>
    <n v="2.750553923809925"/>
    <n v="27.040733193415328"/>
    <n v="0.46480604468392456"/>
    <n v="0.89518587145601936"/>
    <n v="0.3625084590612222"/>
    <n v="27"/>
    <x v="1"/>
    <n v="1.061266349343271"/>
  </r>
  <r>
    <x v="202"/>
    <d v="2024-05-11T00:00:00"/>
    <n v="178347251"/>
    <n v="4280530"/>
    <n v="80019"/>
    <x v="9"/>
    <x v="6"/>
    <x v="6"/>
    <n v="2.4449768502459284"/>
    <n v="24.001098845083966"/>
    <n v="0.44866965737531889"/>
    <n v="0.89521194309049656"/>
    <n v="0.36250393864704988"/>
    <n v="27"/>
    <x v="0"/>
    <m/>
  </r>
  <r>
    <x v="203"/>
    <d v="2018-09-01T00:00:00"/>
    <n v="28843541"/>
    <n v="539162"/>
    <n v="16078"/>
    <x v="13"/>
    <x v="9"/>
    <x v="6"/>
    <n v="1.9250063645098223"/>
    <n v="18.692642487966371"/>
    <n v="0.55742115713185147"/>
    <n v="0.89528249240124935"/>
    <n v="0.36296671350850673"/>
    <n v="27"/>
    <x v="0"/>
    <m/>
  </r>
  <r>
    <x v="204"/>
    <d v="2018-03-30T00:00:00"/>
    <n v="15030213"/>
    <n v="355303"/>
    <n v="19429"/>
    <x v="13"/>
    <x v="2"/>
    <x v="1"/>
    <n v="2.4931915469195278"/>
    <n v="23.639252484312763"/>
    <n v="1.2926629848825162"/>
    <n v="0.89530243949632182"/>
    <n v="0.36320843236934003"/>
    <n v="27"/>
    <x v="1"/>
    <n v="1.8044578111769045"/>
  </r>
  <r>
    <x v="205"/>
    <d v="2017-12-08T00:00:00"/>
    <n v="7411463"/>
    <n v="201070"/>
    <n v="10581"/>
    <x v="8"/>
    <x v="7"/>
    <x v="1"/>
    <n v="2.8557249762968526"/>
    <n v="27.129596410317369"/>
    <n v="1.4276533526511566"/>
    <n v="0.89531647812597026"/>
    <n v="0.3634732669679"/>
    <n v="27"/>
    <x v="0"/>
    <m/>
  </r>
  <r>
    <x v="206"/>
    <d v="2016-06-13T00:00:00"/>
    <n v="688881"/>
    <n v="19114"/>
    <n v="3604"/>
    <x v="2"/>
    <x v="4"/>
    <x v="5"/>
    <n v="3.2978119588143673"/>
    <n v="27.746446773825959"/>
    <n v="5.2316728143177116"/>
    <n v="0.89532489668821225"/>
    <n v="0.36361828486383008"/>
    <n v="27"/>
    <x v="0"/>
    <m/>
  </r>
  <r>
    <x v="207"/>
    <d v="2016-02-28T00:00:00"/>
    <n v="640382"/>
    <n v="24876"/>
    <n v="1161"/>
    <x v="2"/>
    <x v="5"/>
    <x v="4"/>
    <n v="4.0658544431292567"/>
    <n v="38.8455640539553"/>
    <n v="1.8129803773372768"/>
    <n v="0.895325617243382"/>
    <n v="0.36366045116968726"/>
    <n v="27"/>
    <x v="0"/>
    <m/>
  </r>
  <r>
    <x v="208"/>
    <d v="2014-02-22T00:00:00"/>
    <n v="638731"/>
    <n v="19943"/>
    <n v="2267"/>
    <x v="1"/>
    <x v="5"/>
    <x v="6"/>
    <n v="3.4772071498017163"/>
    <n v="31.222846550425768"/>
    <n v="3.5492249475913962"/>
    <n v="0.89359744906955618"/>
    <n v="0.36295182991121949"/>
    <n v="27"/>
    <x v="0"/>
    <m/>
  </r>
  <r>
    <x v="209"/>
    <d v="2013-01-27T00:00:00"/>
    <n v="450212"/>
    <n v="20488"/>
    <n v="2463"/>
    <x v="3"/>
    <x v="8"/>
    <x v="4"/>
    <n v="5.0978205823034477"/>
    <n v="45.507449823638645"/>
    <n v="5.4707559993958403"/>
    <n v="0.89357579583164926"/>
    <n v="0.36021216239863224"/>
    <n v="27"/>
    <x v="0"/>
    <m/>
  </r>
  <r>
    <x v="210"/>
    <d v="2016-10-10T00:00:00"/>
    <n v="370402"/>
    <n v="12225"/>
    <n v="1329"/>
    <x v="2"/>
    <x v="10"/>
    <x v="5"/>
    <n v="3.6592674985556233"/>
    <n v="33.004681400208426"/>
    <n v="3.5879935853478111"/>
    <n v="0.89351009068166265"/>
    <n v="0.3597929325280238"/>
    <n v="27"/>
    <x v="0"/>
    <m/>
  </r>
  <r>
    <x v="211"/>
    <d v="2015-08-10T00:00:00"/>
    <n v="325798"/>
    <n v="7676"/>
    <n v="640"/>
    <x v="0"/>
    <x v="0"/>
    <x v="5"/>
    <n v="2.5525018569788642"/>
    <n v="23.560611176250315"/>
    <n v="1.9644073935383275"/>
    <n v="0.89342810749124635"/>
    <n v="0.35882924564256313"/>
    <n v="27"/>
    <x v="0"/>
    <m/>
  </r>
  <r>
    <x v="212"/>
    <d v="2015-02-22T00:00:00"/>
    <n v="220199"/>
    <n v="3650"/>
    <n v="445"/>
    <x v="0"/>
    <x v="5"/>
    <x v="4"/>
    <n v="1.8596814699430968"/>
    <n v="16.575915421959227"/>
    <n v="2.0208992774717416"/>
    <n v="0.89334307621261566"/>
    <n v="0.35824266509397557"/>
    <n v="27"/>
    <x v="0"/>
    <m/>
  </r>
  <r>
    <x v="213"/>
    <d v="2016-05-15T00:00:00"/>
    <n v="215598"/>
    <n v="9211"/>
    <n v="578"/>
    <x v="2"/>
    <x v="6"/>
    <x v="4"/>
    <n v="4.5403946233267467"/>
    <n v="42.72303082588892"/>
    <n v="2.6809154073785471"/>
    <n v="0.89326419596758211"/>
    <n v="0.35773567481027829"/>
    <n v="27"/>
    <x v="0"/>
    <m/>
  </r>
  <r>
    <x v="214"/>
    <d v="2015-07-02T00:00:00"/>
    <n v="104277"/>
    <n v="3460"/>
    <n v="344"/>
    <x v="0"/>
    <x v="3"/>
    <x v="2"/>
    <n v="3.6479760637532728"/>
    <n v="33.180854838555007"/>
    <n v="3.2989057989777231"/>
    <n v="0.89319866281920035"/>
    <n v="0.35697943666678389"/>
    <n v="27"/>
    <x v="0"/>
    <m/>
  </r>
  <r>
    <x v="215"/>
    <d v="2015-07-26T00:00:00"/>
    <n v="65063"/>
    <n v="1756"/>
    <n v="281"/>
    <x v="0"/>
    <x v="3"/>
    <x v="4"/>
    <n v="3.1308116748382337"/>
    <n v="26.989225827275103"/>
    <n v="4.3188909211072346"/>
    <n v="0.89315760707812097"/>
    <n v="0.35642578087278037"/>
    <n v="27"/>
    <x v="0"/>
    <m/>
  </r>
  <r>
    <x v="216"/>
    <d v="2025-09-16T00:00:00"/>
    <n v="1211809470"/>
    <n v="11579479"/>
    <n v="33965"/>
    <x v="4"/>
    <x v="9"/>
    <x v="0"/>
    <n v="0.9583556068430461"/>
    <n v="9.5555277349004388"/>
    <n v="2.8028333530022667E-2"/>
    <n v="0.89313300358579395"/>
    <n v="0.35583011528005809"/>
    <n v="28"/>
    <x v="1"/>
    <n v="4.7127952141986329"/>
  </r>
  <r>
    <x v="217"/>
    <d v="2024-04-25T00:00:00"/>
    <n v="731923375"/>
    <n v="26575642"/>
    <n v="44356"/>
    <x v="9"/>
    <x v="1"/>
    <x v="2"/>
    <n v="3.6369924652290275"/>
    <n v="36.309322680123451"/>
    <n v="6.060197216682689E-2"/>
    <n v="0.90289341195921735"/>
    <n v="0.3658640054875717"/>
    <n v="28"/>
    <x v="0"/>
    <m/>
  </r>
  <r>
    <x v="218"/>
    <d v="2025-02-14T00:00:00"/>
    <n v="599313395"/>
    <n v="8507821"/>
    <n v="11705"/>
    <x v="4"/>
    <x v="5"/>
    <x v="1"/>
    <n v="1.4215477363058104"/>
    <n v="14.195946679950312"/>
    <n v="1.9530683107792043E-2"/>
    <n v="0.90210882895379652"/>
    <n v="0.3690610312521394"/>
    <n v="28"/>
    <x v="1"/>
    <n v="4.7866517763354306"/>
  </r>
  <r>
    <x v="219"/>
    <d v="2023-04-01T00:00:00"/>
    <n v="564954489"/>
    <n v="9086953"/>
    <n v="176255"/>
    <x v="6"/>
    <x v="1"/>
    <x v="6"/>
    <n v="1.6396379142674624"/>
    <n v="16.084398260264113"/>
    <n v="0.31198088241051219"/>
    <n v="0.90325894571275378"/>
    <n v="0.3730238440780983"/>
    <n v="28"/>
    <x v="1"/>
    <n v="2.865933091271931"/>
  </r>
  <r>
    <x v="220"/>
    <d v="2023-10-31T00:00:00"/>
    <n v="560260485"/>
    <n v="21942870"/>
    <n v="39094"/>
    <x v="6"/>
    <x v="10"/>
    <x v="0"/>
    <n v="3.9235256793096878"/>
    <n v="39.165478536291914"/>
    <n v="6.9778256804957431E-2"/>
    <n v="0.90389672179072711"/>
    <n v="0.36952247803541766"/>
    <n v="28"/>
    <x v="0"/>
    <m/>
  </r>
  <r>
    <x v="221"/>
    <d v="2024-03-30T00:00:00"/>
    <n v="498944989"/>
    <n v="7725619"/>
    <n v="152291"/>
    <x v="9"/>
    <x v="2"/>
    <x v="6"/>
    <n v="1.5789135423103728"/>
    <n v="15.483909389457761"/>
    <n v="0.30522603364596568"/>
    <n v="0.90402891247422967"/>
    <n v="0.37167127578700593"/>
    <n v="28"/>
    <x v="4"/>
    <n v="3.3459149761650551"/>
  </r>
  <r>
    <x v="222"/>
    <d v="2022-10-22T00:00:00"/>
    <n v="449482142"/>
    <n v="7705582"/>
    <n v="116509"/>
    <x v="10"/>
    <x v="10"/>
    <x v="6"/>
    <n v="1.7402451107835115"/>
    <n v="17.143243924471641"/>
    <n v="0.25920718336347165"/>
    <n v="0.90464922954088933"/>
    <n v="0.36937337467544595"/>
    <n v="28"/>
    <x v="1"/>
    <n v="2.4437308730194625"/>
  </r>
  <r>
    <x v="223"/>
    <d v="2025-07-29T00:00:00"/>
    <n v="393764062"/>
    <n v="5385447"/>
    <n v="14582"/>
    <x v="4"/>
    <x v="3"/>
    <x v="0"/>
    <n v="1.3713869601436608"/>
    <n v="13.676837273179084"/>
    <n v="3.7032328257523922E-2"/>
    <n v="0.90497088247936142"/>
    <n v="0.36832944726736316"/>
    <n v="28"/>
    <x v="0"/>
    <m/>
  </r>
  <r>
    <x v="224"/>
    <d v="2024-11-30T00:00:00"/>
    <n v="377030112"/>
    <n v="8446700"/>
    <n v="122492"/>
    <x v="9"/>
    <x v="11"/>
    <x v="6"/>
    <n v="2.2728136897458207"/>
    <n v="22.403250380171226"/>
    <n v="0.32488651728697998"/>
    <n v="0.9055935878945407"/>
    <n v="0.37026286777741757"/>
    <n v="28"/>
    <x v="1"/>
    <n v="3.9437875736096806"/>
  </r>
  <r>
    <x v="225"/>
    <d v="2023-10-07T00:00:00"/>
    <n v="351886259"/>
    <n v="6751592"/>
    <n v="149864"/>
    <x v="6"/>
    <x v="10"/>
    <x v="6"/>
    <n v="1.9612746515344892"/>
    <n v="19.186858899199017"/>
    <n v="0.42588761614587517"/>
    <n v="0.90553892718167139"/>
    <n v="0.36938741237556011"/>
    <n v="28"/>
    <x v="0"/>
    <m/>
  </r>
  <r>
    <x v="226"/>
    <d v="2020-02-29T00:00:00"/>
    <n v="287098041"/>
    <n v="4459326"/>
    <n v="110351"/>
    <x v="7"/>
    <x v="5"/>
    <x v="6"/>
    <n v="1.591678223955558"/>
    <n v="15.532415283878583"/>
    <n v="0.38436695567699819"/>
    <n v="0.90565349129814299"/>
    <n v="0.36826311185719035"/>
    <n v="28"/>
    <x v="1"/>
    <n v="0.56363978983348617"/>
  </r>
  <r>
    <x v="227"/>
    <d v="2021-12-10T00:00:00"/>
    <n v="267713914"/>
    <n v="4871846"/>
    <n v="93529"/>
    <x v="12"/>
    <x v="7"/>
    <x v="1"/>
    <n v="1.8547317641473053"/>
    <n v="18.197955897055092"/>
    <n v="0.34936174441796103"/>
    <n v="0.9059142270394912"/>
    <n v="0.36802666902024267"/>
    <n v="28"/>
    <x v="0"/>
    <m/>
  </r>
  <r>
    <x v="228"/>
    <d v="2025-01-10T00:00:00"/>
    <n v="248244770"/>
    <n v="4153406"/>
    <n v="5866"/>
    <x v="4"/>
    <x v="8"/>
    <x v="1"/>
    <n v="1.675472155969288"/>
    <n v="16.731091656029651"/>
    <n v="2.3629903663227224E-2"/>
    <n v="0.90605024913657339"/>
    <n v="0.36802598787911428"/>
    <n v="28"/>
    <x v="0"/>
    <m/>
  </r>
  <r>
    <x v="229"/>
    <d v="2022-08-20T00:00:00"/>
    <n v="233909250"/>
    <n v="4281465"/>
    <n v="74037"/>
    <x v="10"/>
    <x v="0"/>
    <x v="6"/>
    <n v="1.8620477813511009"/>
    <n v="18.30395762459159"/>
    <n v="0.31652018891942069"/>
    <n v="0.9062199646810295"/>
    <n v="0.36914955125877691"/>
    <n v="28"/>
    <x v="4"/>
    <n v="1.3720672030957193"/>
  </r>
  <r>
    <x v="230"/>
    <d v="2021-06-12T00:00:00"/>
    <n v="224856339"/>
    <n v="3775716"/>
    <n v="80058"/>
    <x v="12"/>
    <x v="4"/>
    <x v="6"/>
    <n v="1.714772203953743"/>
    <n v="16.791681376614427"/>
    <n v="0.35604066292300524"/>
    <n v="0.91342177864258534"/>
    <n v="0.36828656142753718"/>
    <n v="28"/>
    <x v="1"/>
    <n v="1.6365943547000057"/>
  </r>
  <r>
    <x v="231"/>
    <d v="2020-04-30T00:00:00"/>
    <n v="176031351"/>
    <n v="4139740"/>
    <n v="65593"/>
    <x v="7"/>
    <x v="1"/>
    <x v="2"/>
    <n v="2.3889682014654312"/>
    <n v="23.51706088990932"/>
    <n v="0.37262112474498932"/>
    <n v="0.91350777672397088"/>
    <n v="0.36818305439502186"/>
    <n v="28"/>
    <x v="0"/>
    <m/>
  </r>
  <r>
    <x v="232"/>
    <d v="2025-07-20T00:00:00"/>
    <n v="171703201"/>
    <n v="2534538"/>
    <n v="7607"/>
    <x v="4"/>
    <x v="3"/>
    <x v="4"/>
    <n v="1.480546073220848"/>
    <n v="14.761157539514945"/>
    <n v="4.4303192693536331E-2"/>
    <n v="0.91349103895598716"/>
    <n v="0.36810144606802869"/>
    <n v="28"/>
    <x v="1"/>
    <n v="2.9648530688259767"/>
  </r>
  <r>
    <x v="233"/>
    <d v="2025-10-14T00:00:00"/>
    <n v="112744014"/>
    <n v="3021978"/>
    <n v="69428"/>
    <x v="4"/>
    <x v="10"/>
    <x v="0"/>
    <n v="2.7419690769569369"/>
    <n v="26.803888674745963"/>
    <n v="0.61580209482341119"/>
    <n v="0.91356062462509657"/>
    <n v="0.36822865477545891"/>
    <n v="28"/>
    <x v="1"/>
    <n v="3.7583559140884391"/>
  </r>
  <r>
    <x v="234"/>
    <d v="2019-02-28T00:00:00"/>
    <n v="89556234"/>
    <n v="2235312"/>
    <n v="110975"/>
    <x v="11"/>
    <x v="5"/>
    <x v="2"/>
    <n v="2.6199036015739563"/>
    <n v="24.95987046529893"/>
    <n v="1.2391655504406316"/>
    <n v="0.91355553989969762"/>
    <n v="0.36752245511965981"/>
    <n v="28"/>
    <x v="0"/>
    <m/>
  </r>
  <r>
    <x v="235"/>
    <d v="2025-10-21T00:00:00"/>
    <n v="48423264"/>
    <n v="865486"/>
    <n v="8059"/>
    <x v="4"/>
    <x v="10"/>
    <x v="0"/>
    <n v="1.8039779391988113"/>
    <n v="17.873351123129574"/>
    <n v="0.16642826885853873"/>
    <n v="0.9135045353034893"/>
    <n v="0.36638300572557897"/>
    <n v="28"/>
    <x v="0"/>
    <m/>
  </r>
  <r>
    <x v="236"/>
    <d v="2018-12-16T00:00:00"/>
    <n v="47441064"/>
    <n v="1723250"/>
    <n v="48959"/>
    <x v="13"/>
    <x v="7"/>
    <x v="4"/>
    <n v="3.7356012925848376"/>
    <n v="36.324016678883929"/>
    <n v="1.0319962469644441"/>
    <n v="0.91348907568290327"/>
    <n v="0.36610855469382431"/>
    <n v="28"/>
    <x v="1"/>
    <n v="1.7548065397708206"/>
  </r>
  <r>
    <x v="237"/>
    <d v="2026-03-10T00:00:00"/>
    <n v="19230719"/>
    <n v="940015"/>
    <n v="20005"/>
    <x v="5"/>
    <x v="2"/>
    <x v="0"/>
    <n v="4.992117039409707"/>
    <n v="48.880907676930853"/>
    <n v="1.0402627171662171"/>
    <n v="0.91350677507940425"/>
    <n v="0.36617196057088591"/>
    <n v="28"/>
    <x v="0"/>
    <m/>
  </r>
  <r>
    <x v="238"/>
    <d v="2026-05-03T00:00:00"/>
    <n v="15670322"/>
    <n v="421128"/>
    <n v="12014"/>
    <x v="5"/>
    <x v="6"/>
    <x v="4"/>
    <n v="2.7640912547936156"/>
    <n v="26.874240363407974"/>
    <n v="0.76667218452818009"/>
    <n v="0.91350803092395494"/>
    <n v="0.36605093662218036"/>
    <n v="28"/>
    <x v="0"/>
    <m/>
  </r>
  <r>
    <x v="239"/>
    <d v="2017-08-30T00:00:00"/>
    <n v="4675968"/>
    <n v="127748"/>
    <n v="7987"/>
    <x v="8"/>
    <x v="0"/>
    <x v="3"/>
    <n v="2.9028214051079906"/>
    <n v="27.320118529468122"/>
    <n v="1.7080955216117817"/>
    <n v="0.91341145906650523"/>
    <n v="0.36603595818202805"/>
    <n v="28"/>
    <x v="1"/>
    <n v="3.4936910938507348"/>
  </r>
  <r>
    <x v="240"/>
    <d v="2013-03-25T00:00:00"/>
    <n v="910996"/>
    <n v="0"/>
    <n v="1906"/>
    <x v="3"/>
    <x v="2"/>
    <x v="5"/>
    <n v="0.2092215553086951"/>
    <n v="0"/>
    <n v="2.0922155530869508"/>
    <n v="0.91338570310275213"/>
    <n v="0.36529426269237864"/>
    <n v="28"/>
    <x v="0"/>
    <m/>
  </r>
  <r>
    <x v="241"/>
    <d v="2015-08-20T00:00:00"/>
    <n v="816672"/>
    <n v="26609"/>
    <n v="2595"/>
    <x v="0"/>
    <x v="0"/>
    <x v="2"/>
    <n v="3.5759766466831238"/>
    <n v="32.582236197641159"/>
    <n v="3.1775302691900786"/>
    <n v="0.91334422397977977"/>
    <n v="0.36384406425598337"/>
    <n v="28"/>
    <x v="0"/>
    <m/>
  </r>
  <r>
    <x v="242"/>
    <d v="2015-04-04T00:00:00"/>
    <n v="564572"/>
    <n v="18558"/>
    <n v="1224"/>
    <x v="0"/>
    <x v="1"/>
    <x v="6"/>
    <n v="3.5038932146829813"/>
    <n v="32.870918146843984"/>
    <n v="2.1680139999858303"/>
    <n v="0.91332893871352305"/>
    <n v="0.36357256870050741"/>
    <n v="28"/>
    <x v="0"/>
    <m/>
  </r>
  <r>
    <x v="243"/>
    <d v="2015-04-11T00:00:00"/>
    <n v="503411"/>
    <n v="9717"/>
    <n v="2794"/>
    <x v="0"/>
    <x v="1"/>
    <x v="6"/>
    <n v="2.4852456541474064"/>
    <n v="19.302319575853527"/>
    <n v="5.5501369656205366"/>
    <n v="0.91331598154165294"/>
    <n v="0.36306543100056299"/>
    <n v="28"/>
    <x v="0"/>
    <m/>
  </r>
  <r>
    <x v="244"/>
    <d v="2013-04-21T00:00:00"/>
    <n v="478832"/>
    <n v="15098"/>
    <n v="1348"/>
    <x v="3"/>
    <x v="1"/>
    <x v="4"/>
    <n v="3.4346075450262301"/>
    <n v="31.530891836802891"/>
    <n v="2.8151836134594181"/>
    <n v="0.91329994333191156"/>
    <n v="0.36287094628535504"/>
    <n v="28"/>
    <x v="0"/>
    <m/>
  </r>
  <r>
    <x v="245"/>
    <d v="2013-09-05T00:00:00"/>
    <n v="205727"/>
    <n v="4967"/>
    <n v="482"/>
    <x v="3"/>
    <x v="9"/>
    <x v="2"/>
    <n v="2.648655742804785"/>
    <n v="24.143646677392855"/>
    <n v="2.342910750654994"/>
    <n v="0.91330002689043643"/>
    <n v="0.36287567305911839"/>
    <n v="28"/>
    <x v="2"/>
    <n v="3.5031999360631589"/>
  </r>
  <r>
    <x v="246"/>
    <d v="2016-01-22T00:00:00"/>
    <n v="106443"/>
    <n v="4389"/>
    <n v="198"/>
    <x v="2"/>
    <x v="8"/>
    <x v="1"/>
    <n v="4.3093486654829345"/>
    <n v="41.233336151743188"/>
    <n v="1.8601505030861587"/>
    <n v="0.91329988434540244"/>
    <n v="0.3628697911459437"/>
    <n v="28"/>
    <x v="0"/>
    <m/>
  </r>
  <r>
    <x v="247"/>
    <d v="2014-02-23T00:00:00"/>
    <n v="92837"/>
    <n v="2341"/>
    <n v="380"/>
    <x v="1"/>
    <x v="5"/>
    <x v="4"/>
    <n v="2.9309434815860054"/>
    <n v="25.216239214968169"/>
    <n v="4.0931956008918853"/>
    <n v="0.91329993697675171"/>
    <n v="0.36286991745554864"/>
    <n v="28"/>
    <x v="0"/>
    <m/>
  </r>
  <r>
    <x v="248"/>
    <d v="2014-06-02T00:00:00"/>
    <n v="90960"/>
    <n v="1793"/>
    <n v="223"/>
    <x v="1"/>
    <x v="4"/>
    <x v="5"/>
    <n v="2.2163588390501321"/>
    <n v="19.711961301671064"/>
    <n v="2.4516270888302549"/>
    <n v="0.91329989951365664"/>
    <n v="0.36286998071711124"/>
    <n v="28"/>
    <x v="0"/>
    <m/>
  </r>
  <r>
    <x v="249"/>
    <d v="2014-06-09T00:00:00"/>
    <n v="82632"/>
    <n v="2120"/>
    <n v="229"/>
    <x v="1"/>
    <x v="4"/>
    <x v="5"/>
    <n v="2.842724368283474"/>
    <n v="25.655920224610323"/>
    <n v="2.7713234582244168"/>
    <n v="0.91329991561830037"/>
    <n v="0.3628703077885343"/>
    <n v="28"/>
    <x v="0"/>
    <m/>
  </r>
  <r>
    <x v="250"/>
    <d v="2026-04-01T00:00:00"/>
    <n v="706173056"/>
    <n v="3333954"/>
    <n v="21756"/>
    <x v="5"/>
    <x v="1"/>
    <x v="3"/>
    <n v="0.47519655012156109"/>
    <n v="4.7211571889822999"/>
    <n v="3.0808312233311833E-2"/>
    <n v="0.91329991050113091"/>
    <n v="0.36286777147014426"/>
    <n v="29"/>
    <x v="0"/>
    <m/>
  </r>
  <r>
    <x v="251"/>
    <d v="2026-04-03T00:00:00"/>
    <n v="675992847"/>
    <n v="8112213"/>
    <n v="19719"/>
    <x v="5"/>
    <x v="1"/>
    <x v="1"/>
    <n v="1.2029612496772468"/>
    <n v="12.000442069766457"/>
    <n v="2.9170427006012387E-2"/>
    <n v="0.91914255950804802"/>
    <n v="0.36709787913897723"/>
    <n v="29"/>
    <x v="0"/>
    <m/>
  </r>
  <r>
    <x v="252"/>
    <d v="2025-07-31T00:00:00"/>
    <n v="529630320"/>
    <n v="8545980"/>
    <n v="13955"/>
    <x v="4"/>
    <x v="3"/>
    <x v="2"/>
    <n v="1.6162093967732061"/>
    <n v="16.135745400678722"/>
    <n v="2.6348567053336373E-2"/>
    <n v="0.92134879677256565"/>
    <n v="0.37120025554456954"/>
    <n v="29"/>
    <x v="1"/>
    <n v="2.8557249762968526"/>
  </r>
  <r>
    <x v="253"/>
    <d v="2025-10-03T00:00:00"/>
    <n v="345199596"/>
    <n v="4248458"/>
    <n v="15516"/>
    <x v="4"/>
    <x v="10"/>
    <x v="1"/>
    <n v="1.2352198697242971"/>
    <n v="12.307250788323634"/>
    <n v="4.4947908919337205E-2"/>
    <n v="0.92194429270268163"/>
    <n v="0.3741945595505507"/>
    <n v="29"/>
    <x v="0"/>
    <m/>
  </r>
  <r>
    <x v="254"/>
    <d v="2021-03-27T00:00:00"/>
    <n v="342403337"/>
    <n v="8348099"/>
    <n v="242233"/>
    <x v="12"/>
    <x v="2"/>
    <x v="6"/>
    <n v="2.5088341939845056"/>
    <n v="24.380892642994304"/>
    <n v="0.70744929685074887"/>
    <n v="0.92272994446138845"/>
    <n v="0.37355221399644378"/>
    <n v="29"/>
    <x v="0"/>
    <m/>
  </r>
  <r>
    <x v="255"/>
    <d v="2024-04-02T00:00:00"/>
    <n v="316956354"/>
    <n v="11048808"/>
    <n v="17351"/>
    <x v="9"/>
    <x v="1"/>
    <x v="0"/>
    <n v="3.4913826021610537"/>
    <n v="34.859083468634296"/>
    <n v="5.474255297623723E-2"/>
    <n v="0.92243631615750155"/>
    <n v="0.37276729732303421"/>
    <n v="29"/>
    <x v="0"/>
    <m/>
  </r>
  <r>
    <x v="256"/>
    <d v="2021-04-17T00:00:00"/>
    <n v="273350070"/>
    <n v="4023555"/>
    <n v="116406"/>
    <x v="12"/>
    <x v="1"/>
    <x v="6"/>
    <n v="1.5145271409661609"/>
    <n v="14.719421875399556"/>
    <n v="0.42584953426205452"/>
    <n v="0.92226611807469305"/>
    <n v="0.37365195103310028"/>
    <n v="29"/>
    <x v="1"/>
    <n v="5.0978205823034477"/>
  </r>
  <r>
    <x v="257"/>
    <d v="2021-09-04T00:00:00"/>
    <n v="235239446"/>
    <n v="4802133"/>
    <n v="97216"/>
    <x v="12"/>
    <x v="9"/>
    <x v="6"/>
    <n v="2.0827072514020459"/>
    <n v="20.413808490264852"/>
    <n v="0.41326402375560772"/>
    <n v="0.92244740438626693"/>
    <n v="0.37309486073835851"/>
    <n v="29"/>
    <x v="1"/>
    <n v="3.6592674985556233"/>
  </r>
  <r>
    <x v="258"/>
    <d v="2025-08-02T00:00:00"/>
    <n v="178862990"/>
    <n v="4742799"/>
    <n v="20410"/>
    <x v="4"/>
    <x v="0"/>
    <x v="6"/>
    <n v="2.6630489627843077"/>
    <n v="26.516379939751651"/>
    <n v="0.11410968809142685"/>
    <n v="0.92246612622072532"/>
    <n v="0.37271743985457223"/>
    <n v="29"/>
    <x v="1"/>
    <n v="2.5525018569788642"/>
  </r>
  <r>
    <x v="259"/>
    <d v="2019-06-08T00:00:00"/>
    <n v="170575990"/>
    <n v="3293586"/>
    <n v="93765"/>
    <x v="11"/>
    <x v="4"/>
    <x v="6"/>
    <n v="1.9858310656734279"/>
    <n v="19.30861430146177"/>
    <n v="0.54969635527250937"/>
    <n v="0.92243933470568518"/>
    <n v="0.37269696946607278"/>
    <n v="29"/>
    <x v="1"/>
    <n v="1.8596814699430968"/>
  </r>
  <r>
    <x v="260"/>
    <d v="2026-03-17T00:00:00"/>
    <n v="99528244"/>
    <n v="1892392"/>
    <n v="13433"/>
    <x v="5"/>
    <x v="2"/>
    <x v="0"/>
    <n v="1.9148584596750247"/>
    <n v="19.013617883180981"/>
    <n v="0.13496671356926584"/>
    <n v="0.92246355060872776"/>
    <n v="0.3727288469088616"/>
    <n v="29"/>
    <x v="1"/>
    <n v="4.5403946233267467"/>
  </r>
  <r>
    <x v="261"/>
    <d v="2026-05-30T00:00:00"/>
    <n v="85713424"/>
    <n v="2372163"/>
    <n v="97537"/>
    <x v="5"/>
    <x v="6"/>
    <x v="6"/>
    <n v="2.8813456337947718"/>
    <n v="27.675513231159684"/>
    <n v="1.1379431067880335"/>
    <n v="0.922460673559377"/>
    <n v="0.37262543975739976"/>
    <n v="29"/>
    <x v="4"/>
    <n v="3.6479760637532728"/>
  </r>
  <r>
    <x v="262"/>
    <d v="2018-09-11T00:00:00"/>
    <n v="43731563"/>
    <n v="714838"/>
    <n v="18754"/>
    <x v="13"/>
    <x v="9"/>
    <x v="0"/>
    <n v="1.6774886367541906"/>
    <n v="16.346042788363178"/>
    <n v="0.42884357917872729"/>
    <n v="0.92246145900144483"/>
    <n v="0.37306109131303811"/>
    <n v="29"/>
    <x v="0"/>
    <m/>
  </r>
  <r>
    <x v="263"/>
    <d v="2018-05-01T00:00:00"/>
    <n v="23960364"/>
    <n v="502903"/>
    <n v="29466"/>
    <x v="13"/>
    <x v="6"/>
    <x v="0"/>
    <n v="2.2218735909020415"/>
    <n v="20.988954925726503"/>
    <n v="1.2297809832939097"/>
    <n v="0.9223627315190811"/>
    <n v="0.37148766658363613"/>
    <n v="29"/>
    <x v="1"/>
    <n v="0.9583556068430461"/>
  </r>
  <r>
    <x v="264"/>
    <d v="2016-08-02T00:00:00"/>
    <n v="3631816"/>
    <n v="120354"/>
    <n v="7311"/>
    <x v="2"/>
    <x v="0"/>
    <x v="0"/>
    <n v="3.5151835885958977"/>
    <n v="33.138793374994769"/>
    <n v="2.0130425109642118"/>
    <n v="0.92234750178571978"/>
    <n v="0.37142886392651703"/>
    <n v="29"/>
    <x v="1"/>
    <n v="3.6369924652290275"/>
  </r>
  <r>
    <x v="265"/>
    <d v="2015-10-08T00:00:00"/>
    <n v="1797257"/>
    <n v="133141"/>
    <n v="13072"/>
    <x v="0"/>
    <x v="10"/>
    <x v="2"/>
    <n v="8.1353418014229462"/>
    <n v="74.080112081911494"/>
    <n v="7.273305932317971"/>
    <n v="0.92232883262159138"/>
    <n v="0.37098627367838216"/>
    <n v="29"/>
    <x v="0"/>
    <m/>
  </r>
  <r>
    <x v="266"/>
    <d v="2013-01-23T00:00:00"/>
    <n v="612112"/>
    <n v="26546"/>
    <n v="2539"/>
    <x v="3"/>
    <x v="8"/>
    <x v="3"/>
    <n v="4.7515814099380504"/>
    <n v="43.367880387902865"/>
    <n v="4.1479337114776387"/>
    <n v="0.9223200321104269"/>
    <n v="0.37069899353629687"/>
    <n v="29"/>
    <x v="0"/>
    <m/>
  </r>
  <r>
    <x v="267"/>
    <d v="2015-06-28T00:00:00"/>
    <n v="289482"/>
    <n v="3428"/>
    <n v="233"/>
    <x v="0"/>
    <x v="4"/>
    <x v="4"/>
    <n v="1.2646727603097947"/>
    <n v="11.841841634367594"/>
    <n v="0.8048859687303529"/>
    <n v="0.92230603958331958"/>
    <n v="0.37031825666178619"/>
    <n v="29"/>
    <x v="0"/>
    <m/>
  </r>
  <r>
    <x v="268"/>
    <d v="2013-07-30T00:00:00"/>
    <n v="271369"/>
    <n v="7140"/>
    <n v="720"/>
    <x v="3"/>
    <x v="3"/>
    <x v="0"/>
    <n v="2.8964251627857274"/>
    <n v="26.311037738282558"/>
    <n v="2.6532138895747117"/>
    <n v="0.922274770345344"/>
    <n v="0.36982750703258244"/>
    <n v="29"/>
    <x v="0"/>
    <m/>
  </r>
  <r>
    <x v="269"/>
    <d v="2013-09-15T00:00:00"/>
    <n v="198498"/>
    <n v="6779"/>
    <n v="615"/>
    <x v="3"/>
    <x v="9"/>
    <x v="4"/>
    <n v="3.7249745589376215"/>
    <n v="34.151477596751604"/>
    <n v="3.0982679926246108"/>
    <n v="0.92225868820520884"/>
    <n v="0.36961968150241958"/>
    <n v="29"/>
    <x v="0"/>
    <m/>
  </r>
  <r>
    <x v="270"/>
    <d v="2014-03-16T00:00:00"/>
    <n v="168312"/>
    <n v="5124"/>
    <n v="690"/>
    <x v="1"/>
    <x v="2"/>
    <x v="4"/>
    <n v="3.4542991587052616"/>
    <n v="30.443462141736777"/>
    <n v="4.0995294453158415"/>
    <n v="0.92225174671800436"/>
    <n v="0.36939665056042914"/>
    <n v="29"/>
    <x v="0"/>
    <m/>
  </r>
  <r>
    <x v="271"/>
    <d v="2016-04-19T00:00:00"/>
    <n v="160764"/>
    <n v="5779"/>
    <n v="1176"/>
    <x v="2"/>
    <x v="1"/>
    <x v="0"/>
    <n v="4.3262173123336067"/>
    <n v="35.947102585155882"/>
    <n v="7.3150705381801897"/>
    <n v="0.92224984374614971"/>
    <n v="0.36922326312168124"/>
    <n v="29"/>
    <x v="0"/>
    <m/>
  </r>
  <r>
    <x v="272"/>
    <d v="2015-05-03T00:00:00"/>
    <n v="159215"/>
    <n v="3806"/>
    <n v="356"/>
    <x v="0"/>
    <x v="6"/>
    <x v="4"/>
    <n v="2.6140753069748452"/>
    <n v="23.904782840812739"/>
    <n v="2.2359702289357157"/>
    <n v="0.92224853081425928"/>
    <n v="0.36917774101377648"/>
    <n v="29"/>
    <x v="0"/>
    <m/>
  </r>
  <r>
    <x v="273"/>
    <d v="2015-07-29T00:00:00"/>
    <n v="99265"/>
    <n v="2628"/>
    <n v="425"/>
    <x v="0"/>
    <x v="3"/>
    <x v="3"/>
    <n v="3.0756057019090313"/>
    <n v="26.4745882234423"/>
    <n v="4.2814687956480126"/>
    <n v="0.92224823365195219"/>
    <n v="0.36917121465941971"/>
    <n v="29"/>
    <x v="0"/>
    <m/>
  </r>
  <r>
    <x v="274"/>
    <d v="2015-10-29T00:00:00"/>
    <n v="92183"/>
    <n v="3651"/>
    <n v="294"/>
    <x v="0"/>
    <x v="10"/>
    <x v="2"/>
    <n v="4.2795309330353755"/>
    <n v="39.606001106494688"/>
    <n v="3.1893082238590629"/>
    <n v="0.92224769645405336"/>
    <n v="0.36915288832742149"/>
    <n v="29"/>
    <x v="0"/>
    <m/>
  </r>
  <r>
    <x v="275"/>
    <d v="2016-01-18T00:00:00"/>
    <n v="83358"/>
    <n v="2460"/>
    <n v="251"/>
    <x v="2"/>
    <x v="8"/>
    <x v="5"/>
    <n v="3.252237337748026"/>
    <n v="29.511264665658963"/>
    <n v="3.0111087118213007"/>
    <n v="0.92224768940610191"/>
    <n v="0.36914986211047679"/>
    <n v="29"/>
    <x v="0"/>
    <m/>
  </r>
  <r>
    <x v="276"/>
    <d v="2023-07-15T00:00:00"/>
    <n v="758607878"/>
    <n v="27586644"/>
    <n v="43992"/>
    <x v="6"/>
    <x v="3"/>
    <x v="6"/>
    <n v="3.6422817111846548"/>
    <n v="36.364826677953374"/>
    <n v="5.7990433893173994E-2"/>
    <n v="0.92224771889524459"/>
    <n v="0.36914957167522311"/>
    <n v="30"/>
    <x v="0"/>
    <m/>
  </r>
  <r>
    <x v="277"/>
    <d v="2025-08-29T00:00:00"/>
    <n v="659158821"/>
    <n v="23734250"/>
    <n v="33539"/>
    <x v="4"/>
    <x v="0"/>
    <x v="1"/>
    <n v="3.6057757618933541"/>
    <n v="36.006876103081076"/>
    <n v="5.088151585245948E-2"/>
    <n v="0.92177552902602133"/>
    <n v="0.37256565218926491"/>
    <n v="30"/>
    <x v="0"/>
    <m/>
  </r>
  <r>
    <x v="278"/>
    <d v="2023-02-14T00:00:00"/>
    <n v="612882497"/>
    <n v="22148024"/>
    <n v="30322"/>
    <x v="6"/>
    <x v="5"/>
    <x v="0"/>
    <n v="3.6186946288335595"/>
    <n v="36.13747187823509"/>
    <n v="4.9474410100505774E-2"/>
    <n v="0.92148509243909371"/>
    <n v="0.37580215746264062"/>
    <n v="30"/>
    <x v="0"/>
    <m/>
  </r>
  <r>
    <x v="279"/>
    <d v="2024-12-01T00:00:00"/>
    <n v="412413088"/>
    <n v="9750373"/>
    <n v="38883"/>
    <x v="9"/>
    <x v="7"/>
    <x v="4"/>
    <n v="2.3736530883326381"/>
    <n v="23.642249200393952"/>
    <n v="9.4281682932429139E-2"/>
    <n v="0.92131939585912892"/>
    <n v="0.3788413025923118"/>
    <n v="30"/>
    <x v="0"/>
    <m/>
  </r>
  <r>
    <x v="280"/>
    <d v="2024-09-16T00:00:00"/>
    <n v="363330621"/>
    <n v="8313824"/>
    <n v="11669"/>
    <x v="9"/>
    <x v="9"/>
    <x v="5"/>
    <n v="2.2914371976371353"/>
    <n v="22.8822552228539"/>
    <n v="3.2116753517452634E-2"/>
    <n v="0.92118042731071759"/>
    <n v="0.38007931805260947"/>
    <n v="30"/>
    <x v="0"/>
    <m/>
  </r>
  <r>
    <x v="281"/>
    <d v="2024-03-19T00:00:00"/>
    <n v="184935258"/>
    <n v="7981157"/>
    <n v="95609"/>
    <x v="9"/>
    <x v="2"/>
    <x v="0"/>
    <n v="4.3673478423459953"/>
    <n v="43.156492095195823"/>
    <n v="0.51698632826413238"/>
    <n v="0.92103795182311854"/>
    <n v="0.38141491438825859"/>
    <n v="30"/>
    <x v="1"/>
    <n v="2.6199036015739563"/>
  </r>
  <r>
    <x v="282"/>
    <d v="2019-08-29T00:00:00"/>
    <n v="160038079"/>
    <n v="3559643"/>
    <n v="137005"/>
    <x v="11"/>
    <x v="0"/>
    <x v="2"/>
    <n v="2.3098552688826013"/>
    <n v="22.242475179922646"/>
    <n v="0.85607750890336543"/>
    <n v="0.92129607144290881"/>
    <n v="0.38107608807173943"/>
    <n v="30"/>
    <x v="0"/>
    <m/>
  </r>
  <r>
    <x v="283"/>
    <d v="2020-02-08T00:00:00"/>
    <n v="152842470"/>
    <n v="2759647"/>
    <n v="54876"/>
    <x v="7"/>
    <x v="5"/>
    <x v="6"/>
    <n v="1.8414534912972815"/>
    <n v="18.055498579681419"/>
    <n v="0.35903633329139473"/>
    <n v="0.92130040114503353"/>
    <n v="0.38129162939923267"/>
    <n v="30"/>
    <x v="3"/>
    <n v="3.7356012925848376"/>
  </r>
  <r>
    <x v="284"/>
    <d v="2025-11-22T00:00:00"/>
    <n v="130070298"/>
    <n v="2123976"/>
    <n v="67684"/>
    <x v="4"/>
    <x v="11"/>
    <x v="6"/>
    <n v="1.6849811476560159"/>
    <n v="16.329446711961864"/>
    <n v="0.52036476459829439"/>
    <n v="0.9213281411880957"/>
    <n v="0.38092130394767748"/>
    <n v="30"/>
    <x v="0"/>
    <m/>
  </r>
  <r>
    <x v="285"/>
    <d v="2026-03-20T00:00:00"/>
    <n v="127897654"/>
    <n v="2277697"/>
    <n v="19695"/>
    <x v="5"/>
    <x v="2"/>
    <x v="1"/>
    <n v="1.7962737612059718"/>
    <n v="17.808747297272554"/>
    <n v="0.15399031478716568"/>
    <n v="0.92135812575268539"/>
    <n v="0.38111300761364264"/>
    <n v="30"/>
    <x v="1"/>
    <n v="2.7640912547936156"/>
  </r>
  <r>
    <x v="286"/>
    <d v="2020-09-17T00:00:00"/>
    <n v="59422417"/>
    <n v="2778705"/>
    <n v="93982"/>
    <x v="7"/>
    <x v="9"/>
    <x v="2"/>
    <n v="4.8343489629511369"/>
    <n v="46.761897955110108"/>
    <n v="1.5815916744012617"/>
    <n v="0.92141521323932973"/>
    <n v="0.38147661967288754"/>
    <n v="30"/>
    <x v="0"/>
    <m/>
  </r>
  <r>
    <x v="287"/>
    <d v="2025-12-05T00:00:00"/>
    <n v="59020732"/>
    <n v="1280478"/>
    <n v="10514"/>
    <x v="4"/>
    <x v="7"/>
    <x v="1"/>
    <n v="2.1873534201507363"/>
    <n v="21.6953934085399"/>
    <n v="0.17814079296746099"/>
    <n v="0.92152540893595747"/>
    <n v="0.38251442744560049"/>
    <n v="30"/>
    <x v="0"/>
    <m/>
  </r>
  <r>
    <x v="288"/>
    <d v="2018-11-25T00:00:00"/>
    <n v="26773246"/>
    <n v="1686575"/>
    <n v="166333"/>
    <x v="13"/>
    <x v="11"/>
    <x v="4"/>
    <n v="6.9207446866920801"/>
    <n v="62.994789649338742"/>
    <n v="6.2126572175820591"/>
    <n v="0.92155350309938433"/>
    <n v="0.38274783009578517"/>
    <n v="30"/>
    <x v="0"/>
    <m/>
  </r>
  <r>
    <x v="289"/>
    <d v="2018-03-08T00:00:00"/>
    <n v="7842577"/>
    <n v="248127"/>
    <n v="16991"/>
    <x v="13"/>
    <x v="2"/>
    <x v="2"/>
    <n v="3.3804959772788967"/>
    <n v="31.638452513759191"/>
    <n v="2.1665072590297805"/>
    <n v="0.92163278454588515"/>
    <n v="0.38574076649375089"/>
    <n v="30"/>
    <x v="1"/>
    <n v="3.5038932146829813"/>
  </r>
  <r>
    <x v="290"/>
    <d v="2016-11-19T00:00:00"/>
    <n v="3820036"/>
    <n v="326445"/>
    <n v="18071"/>
    <x v="2"/>
    <x v="11"/>
    <x v="6"/>
    <n v="9.0186584629045381"/>
    <n v="85.456000938211048"/>
    <n v="4.7305836908343268"/>
    <n v="0.92164015031559088"/>
    <n v="0.38593006884757131"/>
    <n v="30"/>
    <x v="0"/>
    <m/>
  </r>
  <r>
    <x v="291"/>
    <d v="2013-01-12T00:00:00"/>
    <n v="1747531"/>
    <n v="60536"/>
    <n v="4750"/>
    <x v="3"/>
    <x v="8"/>
    <x v="6"/>
    <n v="3.7358993917704462"/>
    <n v="34.640873323563362"/>
    <n v="2.7181205941411055"/>
    <n v="0.92165351403898954"/>
    <n v="0.38613322609369327"/>
    <n v="30"/>
    <x v="0"/>
    <m/>
  </r>
  <r>
    <x v="292"/>
    <d v="2016-08-24T00:00:00"/>
    <n v="1483253"/>
    <n v="50674"/>
    <n v="2983"/>
    <x v="2"/>
    <x v="0"/>
    <x v="3"/>
    <n v="3.6175217579199233"/>
    <n v="34.164097426399948"/>
    <n v="2.0111201527992866"/>
    <n v="0.92165531174130266"/>
    <n v="0.38617830588865731"/>
    <n v="30"/>
    <x v="0"/>
    <m/>
  </r>
  <r>
    <x v="293"/>
    <d v="2017-06-23T00:00:00"/>
    <n v="964372"/>
    <n v="29972"/>
    <n v="4534"/>
    <x v="8"/>
    <x v="4"/>
    <x v="1"/>
    <n v="3.5780798281161217"/>
    <n v="31.079293052888307"/>
    <n v="4.7015052282729073"/>
    <n v="0.9216568180060406"/>
    <n v="0.38620937064321098"/>
    <n v="30"/>
    <x v="3"/>
    <n v="4.3093486654829345"/>
  </r>
  <r>
    <x v="294"/>
    <d v="2016-06-21T00:00:00"/>
    <n v="947826"/>
    <n v="35358"/>
    <n v="1722"/>
    <x v="2"/>
    <x v="4"/>
    <x v="0"/>
    <n v="3.9121104506523348"/>
    <n v="37.304315349019753"/>
    <n v="1.8167891575035926"/>
    <n v="0.92165769155565114"/>
    <n v="0.38625563436482135"/>
    <n v="30"/>
    <x v="0"/>
    <m/>
  </r>
  <r>
    <x v="295"/>
    <d v="2014-04-05T00:00:00"/>
    <n v="314832"/>
    <n v="5636"/>
    <n v="582"/>
    <x v="1"/>
    <x v="1"/>
    <x v="6"/>
    <n v="1.9750215988209585"/>
    <n v="17.901611017939729"/>
    <n v="1.8486049702698581"/>
    <n v="0.92165868717462218"/>
    <n v="0.38626641502178233"/>
    <n v="30"/>
    <x v="0"/>
    <m/>
  </r>
  <r>
    <x v="296"/>
    <d v="2013-09-08T00:00:00"/>
    <n v="298889"/>
    <n v="9456"/>
    <n v="847"/>
    <x v="3"/>
    <x v="9"/>
    <x v="4"/>
    <n v="3.4470990902977361"/>
    <n v="31.637162960162467"/>
    <n v="2.8338279428148909"/>
    <n v="0.92165876459577678"/>
    <n v="0.38626880796961255"/>
    <n v="30"/>
    <x v="0"/>
    <m/>
  </r>
  <r>
    <x v="297"/>
    <d v="2015-12-27T00:00:00"/>
    <n v="230862"/>
    <n v="5942"/>
    <n v="455"/>
    <x v="0"/>
    <x v="7"/>
    <x v="4"/>
    <n v="2.7709194237249957"/>
    <n v="25.738319862082111"/>
    <n v="1.970874375167849"/>
    <n v="0.92176201858413798"/>
    <n v="0.38849343617348159"/>
    <n v="30"/>
    <x v="0"/>
    <m/>
  </r>
  <r>
    <x v="298"/>
    <d v="2014-01-12T00:00:00"/>
    <n v="124672"/>
    <n v="2494"/>
    <n v="300"/>
    <x v="1"/>
    <x v="8"/>
    <x v="4"/>
    <n v="2.2410805954825461"/>
    <n v="20.004491786447637"/>
    <n v="2.4063141683778233"/>
    <n v="0.90444058576616349"/>
    <n v="0.38441107606356695"/>
    <n v="30"/>
    <x v="0"/>
    <m/>
  </r>
  <r>
    <x v="299"/>
    <d v="2015-03-06T00:00:00"/>
    <n v="70238"/>
    <n v="1579"/>
    <n v="177"/>
    <x v="0"/>
    <x v="2"/>
    <x v="1"/>
    <n v="2.5000711865372023"/>
    <n v="22.480708448418234"/>
    <n v="2.5200034169537857"/>
    <n v="0.90437383567833451"/>
    <n v="0.38387878250113172"/>
    <n v="30"/>
    <x v="0"/>
    <m/>
  </r>
  <r>
    <x v="300"/>
    <d v="2016-03-26T00:00:00"/>
    <n v="65068"/>
    <n v="2656"/>
    <n v="374"/>
    <x v="2"/>
    <x v="2"/>
    <x v="6"/>
    <n v="4.6566668715805006"/>
    <n v="40.818835679596731"/>
    <n v="5.7478330362082746"/>
    <n v="0.90431946184672152"/>
    <n v="0.3832634609760277"/>
    <n v="30"/>
    <x v="0"/>
    <m/>
  </r>
  <r>
    <x v="301"/>
    <d v="2015-08-06T00:00:00"/>
    <n v="65053"/>
    <n v="1522"/>
    <n v="343"/>
    <x v="0"/>
    <x v="0"/>
    <x v="2"/>
    <n v="2.8668931486633973"/>
    <n v="23.396307626089499"/>
    <n v="5.2726238605444795"/>
    <n v="0.90428747131355369"/>
    <n v="0.38272808040896344"/>
    <n v="30"/>
    <x v="0"/>
    <m/>
  </r>
  <r>
    <x v="302"/>
    <d v="2015-08-05T00:00:00"/>
    <n v="65041"/>
    <n v="1720"/>
    <n v="325"/>
    <x v="0"/>
    <x v="0"/>
    <x v="3"/>
    <n v="3.1441706000830245"/>
    <n v="26.444857858889009"/>
    <n v="4.9968481419412374"/>
    <n v="0.9042559394391112"/>
    <n v="0.38248738454808812"/>
    <n v="30"/>
    <x v="0"/>
    <m/>
  </r>
  <r>
    <x v="303"/>
    <d v="2025-02-19T00:00:00"/>
    <n v="810548135"/>
    <n v="18186040"/>
    <n v="16704"/>
    <x v="4"/>
    <x v="5"/>
    <x v="3"/>
    <n v="2.245732636224004"/>
    <n v="22.436718085841996"/>
    <n v="2.0608276398045133E-2"/>
    <n v="0.90423299493882914"/>
    <n v="0.38210342961568611"/>
    <n v="31"/>
    <x v="1"/>
    <n v="1.5145271409661609"/>
  </r>
  <r>
    <x v="304"/>
    <d v="2023-12-05T00:00:00"/>
    <n v="511827924"/>
    <n v="15852700"/>
    <n v="31382"/>
    <x v="6"/>
    <x v="7"/>
    <x v="0"/>
    <n v="3.1034027756562965"/>
    <n v="30.9727141811825"/>
    <n v="6.1313575380463219E-2"/>
    <n v="0.90319338613661382"/>
    <n v="0.38827554971631423"/>
    <n v="31"/>
    <x v="0"/>
    <m/>
  </r>
  <r>
    <x v="305"/>
    <d v="2023-05-27T00:00:00"/>
    <n v="466906979"/>
    <n v="6742042"/>
    <n v="119176"/>
    <x v="6"/>
    <x v="6"/>
    <x v="6"/>
    <n v="1.4695042714279067"/>
    <n v="14.439797011472814"/>
    <n v="0.25524570280625425"/>
    <n v="0.90263387589140143"/>
    <n v="0.39017421515010969"/>
    <n v="31"/>
    <x v="1"/>
    <n v="2.6630489627843077"/>
  </r>
  <r>
    <x v="306"/>
    <d v="2023-05-20T00:00:00"/>
    <n v="324430397"/>
    <n v="13397253"/>
    <n v="24594"/>
    <x v="6"/>
    <x v="6"/>
    <x v="6"/>
    <n v="4.1370497721888864"/>
    <n v="41.294691015034573"/>
    <n v="7.5806706854290223E-2"/>
    <n v="0.90334038022168239"/>
    <n v="0.38877473294813586"/>
    <n v="31"/>
    <x v="0"/>
    <m/>
  </r>
  <r>
    <x v="307"/>
    <d v="2021-01-22T00:00:00"/>
    <n v="308022049"/>
    <n v="6181586"/>
    <n v="173035"/>
    <x v="12"/>
    <x v="8"/>
    <x v="1"/>
    <n v="2.0630409480848559"/>
    <n v="20.068647748005858"/>
    <n v="0.56176173284270314"/>
    <n v="0.90367913427488078"/>
    <n v="0.38995776649539649"/>
    <n v="31"/>
    <x v="1"/>
    <n v="1.9148584596750247"/>
  </r>
  <r>
    <x v="308"/>
    <d v="2023-10-19T00:00:00"/>
    <n v="286275332"/>
    <n v="11416973"/>
    <n v="29003"/>
    <x v="6"/>
    <x v="10"/>
    <x v="2"/>
    <n v="3.9982404072454276"/>
    <n v="39.88109251411155"/>
    <n v="0.10131155834272162"/>
    <n v="0.90374788081449675"/>
    <n v="0.38901996025889563"/>
    <n v="31"/>
    <x v="0"/>
    <m/>
  </r>
  <r>
    <x v="309"/>
    <d v="2019-01-31T00:00:00"/>
    <n v="239776679"/>
    <n v="3573459"/>
    <n v="142825"/>
    <x v="11"/>
    <x v="8"/>
    <x v="2"/>
    <n v="1.5498938493513792"/>
    <n v="14.903280064196736"/>
    <n v="0.59565842931705626"/>
    <n v="0.90399507722371231"/>
    <n v="0.38995015056536181"/>
    <n v="31"/>
    <x v="1"/>
    <n v="1.6774886367541906"/>
  </r>
  <r>
    <x v="310"/>
    <d v="2025-07-05T00:00:00"/>
    <n v="238172070"/>
    <n v="3546669"/>
    <n v="48023"/>
    <x v="4"/>
    <x v="3"/>
    <x v="6"/>
    <n v="1.5092836032369372"/>
    <n v="14.891204497655833"/>
    <n v="0.20163153471353715"/>
    <n v="0.90421257988699921"/>
    <n v="0.38981363400593144"/>
    <n v="31"/>
    <x v="0"/>
    <m/>
  </r>
  <r>
    <x v="311"/>
    <d v="2021-01-09T00:00:00"/>
    <n v="216892002"/>
    <n v="5786833"/>
    <n v="192002"/>
    <x v="12"/>
    <x v="8"/>
    <x v="6"/>
    <n v="2.7565954230068841"/>
    <n v="26.680711813430538"/>
    <n v="0.88524241663830461"/>
    <n v="0.9044285947907208"/>
    <n v="0.39028807641766788"/>
    <n v="31"/>
    <x v="0"/>
    <m/>
  </r>
  <r>
    <x v="312"/>
    <d v="2021-09-26T00:00:00"/>
    <n v="216443681"/>
    <n v="4577967"/>
    <n v="117365"/>
    <x v="12"/>
    <x v="9"/>
    <x v="4"/>
    <n v="2.1693088836351846"/>
    <n v="21.15084616399589"/>
    <n v="0.54224267235595569"/>
    <n v="0.90355558114254797"/>
    <n v="0.39081402818182137"/>
    <n v="31"/>
    <x v="1"/>
    <n v="8.1353418014229462"/>
  </r>
  <r>
    <x v="313"/>
    <d v="2019-12-21T00:00:00"/>
    <n v="210997555"/>
    <n v="4893643"/>
    <n v="127577"/>
    <x v="11"/>
    <x v="7"/>
    <x v="6"/>
    <n v="2.379752694290699"/>
    <n v="23.192889604810823"/>
    <n v="0.60463733809616893"/>
    <n v="0.90340472773068503"/>
    <n v="0.39109201312334463"/>
    <n v="31"/>
    <x v="1"/>
    <n v="4.7515814099380504"/>
  </r>
  <r>
    <x v="314"/>
    <d v="2019-04-18T00:00:00"/>
    <n v="206559058"/>
    <n v="4395170"/>
    <n v="81195"/>
    <x v="11"/>
    <x v="1"/>
    <x v="2"/>
    <n v="2.1671114514861896"/>
    <n v="21.278030808990231"/>
    <n v="0.39308370587166408"/>
    <n v="0.90313740459020786"/>
    <n v="0.39145429869721493"/>
    <n v="31"/>
    <x v="0"/>
    <m/>
  </r>
  <r>
    <x v="315"/>
    <d v="2025-12-12T00:00:00"/>
    <n v="168651797"/>
    <n v="3946052"/>
    <n v="25493"/>
    <x v="4"/>
    <x v="7"/>
    <x v="1"/>
    <n v="2.3548785548961568"/>
    <n v="23.397627954121354"/>
    <n v="0.15115759484021388"/>
    <n v="0.90315367702612259"/>
    <n v="0.39197098510321643"/>
    <n v="31"/>
    <x v="1"/>
    <n v="2.8964251627857274"/>
  </r>
  <r>
    <x v="316"/>
    <d v="2025-08-27T00:00:00"/>
    <n v="165303961"/>
    <n v="3418943"/>
    <n v="10267"/>
    <x v="4"/>
    <x v="0"/>
    <x v="3"/>
    <n v="2.0744874951907537"/>
    <n v="20.682765127449063"/>
    <n v="6.210982445847138E-2"/>
    <n v="0.90307423326240122"/>
    <n v="0.39226923795095714"/>
    <n v="31"/>
    <x v="0"/>
    <m/>
  </r>
  <r>
    <x v="317"/>
    <d v="2026-04-10T00:00:00"/>
    <n v="146632610"/>
    <n v="2455195"/>
    <n v="13495"/>
    <x v="5"/>
    <x v="1"/>
    <x v="1"/>
    <n v="1.6835886642132334"/>
    <n v="16.74385390807679"/>
    <n v="9.2032734055541937E-2"/>
    <n v="0.90310667421963309"/>
    <n v="0.37220461177726866"/>
    <n v="31"/>
    <x v="0"/>
    <m/>
  </r>
  <r>
    <x v="318"/>
    <d v="2022-07-02T00:00:00"/>
    <n v="132482996"/>
    <n v="4377433"/>
    <n v="106770"/>
    <x v="10"/>
    <x v="3"/>
    <x v="6"/>
    <n v="3.3847385214627845"/>
    <n v="33.04147046916119"/>
    <n v="0.80591474546665598"/>
    <n v="0.90304632413920283"/>
    <n v="0.37252303042550494"/>
    <n v="31"/>
    <x v="2"/>
    <n v="4.3262173123336067"/>
  </r>
  <r>
    <x v="319"/>
    <d v="2026-02-07T00:00:00"/>
    <n v="126420335"/>
    <n v="1749517"/>
    <n v="86987"/>
    <x v="5"/>
    <x v="5"/>
    <x v="6"/>
    <n v="1.4526966725724939"/>
    <n v="13.838889131246171"/>
    <n v="0.68807759447876804"/>
    <n v="0.90298785108477353"/>
    <n v="0.37277700461964391"/>
    <n v="31"/>
    <x v="1"/>
    <n v="2.6140753069748452"/>
  </r>
  <r>
    <x v="320"/>
    <d v="2026-02-18T00:00:00"/>
    <n v="125911907"/>
    <n v="1675369"/>
    <n v="9317"/>
    <x v="5"/>
    <x v="5"/>
    <x v="3"/>
    <n v="1.3379878362099622"/>
    <n v="13.305882183167951"/>
    <n v="7.3996178931671638E-2"/>
    <n v="0.90298082614709352"/>
    <n v="0.37290680689576705"/>
    <n v="31"/>
    <x v="1"/>
    <n v="3.0756057019090313"/>
  </r>
  <r>
    <x v="321"/>
    <d v="2026-06-14T00:00:00"/>
    <n v="112979930"/>
    <n v="2256693"/>
    <n v="21554"/>
    <x v="5"/>
    <x v="4"/>
    <x v="4"/>
    <n v="2.0165059404798713"/>
    <n v="19.97428215790185"/>
    <n v="0.19077724689686035"/>
    <n v="0.90302237456388246"/>
    <n v="0.37286315828848571"/>
    <n v="31"/>
    <x v="1"/>
    <n v="4.2795309330353755"/>
  </r>
  <r>
    <x v="322"/>
    <d v="2025-03-27T00:00:00"/>
    <n v="72006301"/>
    <n v="1594329"/>
    <n v="7555"/>
    <x v="4"/>
    <x v="2"/>
    <x v="2"/>
    <n v="2.2246442016234105"/>
    <n v="22.141520642755971"/>
    <n v="0.10492137347813492"/>
    <n v="0.90288957298913364"/>
    <n v="0.37216868731623204"/>
    <n v="31"/>
    <x v="0"/>
    <m/>
  </r>
  <r>
    <x v="323"/>
    <d v="2019-03-12T00:00:00"/>
    <n v="57168031"/>
    <n v="1740475"/>
    <n v="141709"/>
    <x v="11"/>
    <x v="2"/>
    <x v="0"/>
    <n v="3.2923715703974481"/>
    <n v="30.444900227541506"/>
    <n v="2.4788154764329735"/>
    <n v="0.90286619015668301"/>
    <n v="0.37202057847974146"/>
    <n v="31"/>
    <x v="1"/>
    <n v="3.6422817111846548"/>
  </r>
  <r>
    <x v="324"/>
    <d v="2017-06-24T00:00:00"/>
    <n v="28333362"/>
    <n v="666182"/>
    <n v="37525"/>
    <x v="8"/>
    <x v="4"/>
    <x v="6"/>
    <n v="2.4836692518169925"/>
    <n v="23.512282093455763"/>
    <n v="1.3244104247141586"/>
    <n v="0.90286331929777586"/>
    <n v="0.3730498428633372"/>
    <n v="31"/>
    <x v="0"/>
    <m/>
  </r>
  <r>
    <x v="325"/>
    <d v="2017-08-19T00:00:00"/>
    <n v="23744727"/>
    <n v="930231"/>
    <n v="108274"/>
    <x v="8"/>
    <x v="0"/>
    <x v="6"/>
    <n v="4.3736236681095555"/>
    <n v="39.176319020218678"/>
    <n v="4.5599176608768763"/>
    <n v="0.90284993782098799"/>
    <n v="0.37248398248290493"/>
    <n v="31"/>
    <x v="0"/>
    <m/>
  </r>
  <r>
    <x v="326"/>
    <d v="2016-03-19T00:00:00"/>
    <n v="2190055"/>
    <n v="90226"/>
    <n v="2938"/>
    <x v="2"/>
    <x v="2"/>
    <x v="6"/>
    <n v="4.2539570924017891"/>
    <n v="41.198052103714296"/>
    <n v="1.3415188203035997"/>
    <n v="0.90281968081527808"/>
    <n v="0.37343887226924705"/>
    <n v="31"/>
    <x v="0"/>
    <m/>
  </r>
  <r>
    <x v="327"/>
    <d v="2016-03-27T00:00:00"/>
    <n v="183482"/>
    <n v="12088"/>
    <n v="671"/>
    <x v="2"/>
    <x v="2"/>
    <x v="4"/>
    <n v="6.9538156331411249"/>
    <n v="65.881121853914834"/>
    <n v="3.6570344774964298"/>
    <n v="0.90279727337283699"/>
    <n v="0.37312209394827028"/>
    <n v="31"/>
    <x v="0"/>
    <m/>
  </r>
  <r>
    <x v="328"/>
    <d v="2013-11-11T00:00:00"/>
    <n v="135565"/>
    <n v="3997"/>
    <n v="395"/>
    <x v="3"/>
    <x v="11"/>
    <x v="5"/>
    <n v="3.2397742780216134"/>
    <n v="29.484011359864272"/>
    <n v="2.9137314203518607"/>
    <n v="0.90277077846498854"/>
    <n v="0.37233736794498618"/>
    <n v="31"/>
    <x v="0"/>
    <m/>
  </r>
  <r>
    <x v="329"/>
    <d v="2013-08-05T00:00:00"/>
    <n v="114145"/>
    <n v="4355"/>
    <n v="896"/>
    <x v="3"/>
    <x v="0"/>
    <x v="5"/>
    <n v="4.6002891059617159"/>
    <n v="38.153226159709142"/>
    <n v="7.8496648999080119"/>
    <n v="0.9027595095096721"/>
    <n v="0.37210606637985372"/>
    <n v="31"/>
    <x v="0"/>
    <m/>
  </r>
  <r>
    <x v="330"/>
    <d v="2013-12-18T00:00:00"/>
    <n v="84501"/>
    <n v="2160"/>
    <n v="364"/>
    <x v="3"/>
    <x v="7"/>
    <x v="3"/>
    <n v="2.9869469000366857"/>
    <n v="25.561827670678454"/>
    <n v="4.3076413296884057"/>
    <n v="0.90275388038310356"/>
    <n v="0.37197941739438206"/>
    <n v="31"/>
    <x v="0"/>
    <m/>
  </r>
  <r>
    <x v="331"/>
    <d v="2015-07-03T00:00:00"/>
    <n v="68402"/>
    <n v="1299"/>
    <n v="183"/>
    <x v="0"/>
    <x v="3"/>
    <x v="1"/>
    <n v="2.1666033156925235"/>
    <n v="18.9906727873454"/>
    <n v="2.6753603695798365"/>
    <n v="0.90275355989062167"/>
    <n v="0.37195136190479627"/>
    <n v="31"/>
    <x v="0"/>
    <m/>
  </r>
  <r>
    <x v="332"/>
    <d v="2015-07-24T00:00:00"/>
    <n v="65063"/>
    <n v="2375"/>
    <n v="1152"/>
    <x v="0"/>
    <x v="3"/>
    <x v="1"/>
    <n v="5.4208997433256991"/>
    <n v="36.50308162857538"/>
    <n v="17.705915804681617"/>
    <n v="0.90275258273063042"/>
    <n v="0.37192763363835707"/>
    <n v="31"/>
    <x v="0"/>
    <m/>
  </r>
  <r>
    <x v="333"/>
    <d v="2015-06-07T00:00:00"/>
    <n v="65039"/>
    <n v="1977"/>
    <n v="401"/>
    <x v="0"/>
    <x v="4"/>
    <x v="4"/>
    <n v="3.6562677777948616"/>
    <n v="30.397146327588064"/>
    <n v="6.1655314503605529"/>
    <n v="0.90275251583521643"/>
    <n v="0.37193317754329575"/>
    <n v="31"/>
    <x v="0"/>
    <m/>
  </r>
  <r>
    <x v="334"/>
    <d v="2016-03-23T00:00:00"/>
    <n v="65038"/>
    <n v="2717"/>
    <n v="318"/>
    <x v="2"/>
    <x v="2"/>
    <x v="3"/>
    <n v="4.6665026599833945"/>
    <n v="41.775577354777212"/>
    <n v="4.8894492450567357"/>
    <n v="0.90275234768209267"/>
    <n v="0.37192748529190633"/>
    <n v="31"/>
    <x v="0"/>
    <m/>
  </r>
  <r>
    <x v="335"/>
    <d v="2022-10-21T00:00:00"/>
    <n v="728659862"/>
    <n v="36370869"/>
    <n v="81679"/>
    <x v="10"/>
    <x v="10"/>
    <x v="1"/>
    <n v="5.0026836801393619"/>
    <n v="49.914741976003064"/>
    <n v="0.11209482539056063"/>
    <n v="0.90275230447229304"/>
    <n v="0.37192376754895118"/>
    <n v="32"/>
    <x v="1"/>
    <n v="6.9207446866920801"/>
  </r>
  <r>
    <x v="336"/>
    <d v="2024-07-19T00:00:00"/>
    <n v="691776126"/>
    <n v="17596005"/>
    <n v="30213"/>
    <x v="9"/>
    <x v="3"/>
    <x v="1"/>
    <n v="2.5479656405488615"/>
    <n v="25.4359818713952"/>
    <n v="4.3674534093418545E-2"/>
    <n v="0.90708684684341934"/>
    <n v="0.37300205225744876"/>
    <n v="32"/>
    <x v="1"/>
    <n v="3.3804959772788967"/>
  </r>
  <r>
    <x v="337"/>
    <d v="2024-12-27T00:00:00"/>
    <n v="650067550"/>
    <n v="12873323"/>
    <n v="33682"/>
    <x v="9"/>
    <x v="7"/>
    <x v="1"/>
    <n v="1.9854867390319668"/>
    <n v="19.803054313355588"/>
    <n v="5.1813076964078573E-2"/>
    <n v="0.90593547645833339"/>
    <n v="0.37703921029341575"/>
    <n v="32"/>
    <x v="0"/>
    <m/>
  </r>
  <r>
    <x v="338"/>
    <d v="2025-01-21T00:00:00"/>
    <n v="648512206"/>
    <n v="13848986"/>
    <n v="18353"/>
    <x v="4"/>
    <x v="8"/>
    <x v="0"/>
    <n v="2.1383312251797464"/>
    <n v="21.355012090551153"/>
    <n v="2.8300161246309682E-2"/>
    <n v="0.90572712662223953"/>
    <n v="0.38048426718039707"/>
    <n v="32"/>
    <x v="1"/>
    <n v="3.7358993917704462"/>
  </r>
  <r>
    <x v="339"/>
    <d v="2025-08-15T00:00:00"/>
    <n v="513025476"/>
    <n v="5217480"/>
    <n v="28950"/>
    <x v="4"/>
    <x v="0"/>
    <x v="1"/>
    <n v="1.0226451210387844"/>
    <n v="10.170021264207159"/>
    <n v="5.6429946180684407E-2"/>
    <n v="0.90522638701382563"/>
    <n v="0.38489818229865363"/>
    <n v="32"/>
    <x v="0"/>
    <m/>
  </r>
  <r>
    <x v="340"/>
    <d v="2023-11-10T00:00:00"/>
    <n v="371302133"/>
    <n v="13869865"/>
    <n v="37583"/>
    <x v="6"/>
    <x v="11"/>
    <x v="1"/>
    <n v="3.7455879629972393"/>
    <n v="37.354660173740506"/>
    <n v="0.10121945623188758"/>
    <n v="0.90705521287342539"/>
    <n v="0.38738045135852428"/>
    <n v="32"/>
    <x v="0"/>
    <m/>
  </r>
  <r>
    <x v="341"/>
    <d v="2024-09-28T00:00:00"/>
    <n v="286579964"/>
    <n v="8534718"/>
    <n v="7994"/>
    <x v="9"/>
    <x v="9"/>
    <x v="6"/>
    <n v="2.9809173958860571"/>
    <n v="29.781279475630054"/>
    <n v="2.789448323051642E-2"/>
    <n v="0.90716495243500728"/>
    <n v="0.38855871409830911"/>
    <n v="32"/>
    <x v="1"/>
    <n v="3.9121104506523348"/>
  </r>
  <r>
    <x v="342"/>
    <d v="2025-07-25T00:00:00"/>
    <n v="275736632"/>
    <n v="6524395"/>
    <n v="20003"/>
    <x v="4"/>
    <x v="3"/>
    <x v="1"/>
    <n v="2.3734234920226345"/>
    <n v="23.66169105887969"/>
    <n v="7.2543861346649072E-2"/>
    <n v="0.89229770206112402"/>
    <n v="0.39575739381379982"/>
    <n v="32"/>
    <x v="1"/>
    <n v="1.9750215988209585"/>
  </r>
  <r>
    <x v="343"/>
    <d v="2025-10-25T00:00:00"/>
    <n v="206102085"/>
    <n v="3464916"/>
    <n v="61637"/>
    <x v="4"/>
    <x v="10"/>
    <x v="6"/>
    <n v="1.7110709966859385"/>
    <n v="16.811649430911871"/>
    <n v="0.29906053594751358"/>
    <n v="0.89408006697877052"/>
    <n v="0.39246038129422467"/>
    <n v="32"/>
    <x v="0"/>
    <m/>
  </r>
  <r>
    <x v="344"/>
    <d v="2026-02-06T00:00:00"/>
    <n v="156925389"/>
    <n v="2774150"/>
    <n v="10434"/>
    <x v="5"/>
    <x v="5"/>
    <x v="1"/>
    <n v="1.7744636592871534"/>
    <n v="17.678146396055769"/>
    <n v="6.6490196815761918E-2"/>
    <n v="0.89392844735760535"/>
    <n v="0.39329717364804451"/>
    <n v="32"/>
    <x v="0"/>
    <m/>
  </r>
  <r>
    <x v="345"/>
    <d v="2025-01-11T00:00:00"/>
    <n v="145513197"/>
    <n v="3021109"/>
    <n v="56096"/>
    <x v="4"/>
    <x v="8"/>
    <x v="6"/>
    <n v="2.1147257179704462"/>
    <n v="20.761752626464528"/>
    <n v="0.38550455323993743"/>
    <n v="0.89394882676567711"/>
    <n v="0.39392622208787681"/>
    <n v="32"/>
    <x v="0"/>
    <m/>
  </r>
  <r>
    <x v="346"/>
    <d v="2021-12-18T00:00:00"/>
    <n v="110994478"/>
    <n v="3648948"/>
    <n v="116175"/>
    <x v="12"/>
    <x v="7"/>
    <x v="6"/>
    <n v="3.3921714555925928"/>
    <n v="32.875040864645534"/>
    <n v="1.0466736912803896"/>
    <n v="0.89392757240778331"/>
    <n v="0.39391780167727863"/>
    <n v="32"/>
    <x v="1"/>
    <n v="2.5000711865372023"/>
  </r>
  <r>
    <x v="347"/>
    <d v="2025-12-26T00:00:00"/>
    <n v="99971748"/>
    <n v="2788075"/>
    <n v="41215"/>
    <x v="4"/>
    <x v="7"/>
    <x v="1"/>
    <n v="2.830089556901616"/>
    <n v="27.888629095492057"/>
    <n v="0.41226647352410001"/>
    <n v="0.89397549474214877"/>
    <n v="0.39389104919994883"/>
    <n v="32"/>
    <x v="0"/>
    <m/>
  </r>
  <r>
    <x v="348"/>
    <d v="2025-09-26T00:00:00"/>
    <n v="97861858"/>
    <n v="2594377"/>
    <n v="9423"/>
    <x v="4"/>
    <x v="9"/>
    <x v="1"/>
    <n v="2.6606893157495537"/>
    <n v="26.510604366412093"/>
    <n v="9.6288791083447442E-2"/>
    <n v="0.89400438162327933"/>
    <n v="0.39361598600213504"/>
    <n v="32"/>
    <x v="0"/>
    <m/>
  </r>
  <r>
    <x v="349"/>
    <d v="2025-12-02T00:00:00"/>
    <n v="79571303"/>
    <n v="1025116"/>
    <n v="12507"/>
    <x v="4"/>
    <x v="7"/>
    <x v="0"/>
    <n v="1.3040166000549218"/>
    <n v="12.88298621929064"/>
    <n v="0.15717978125857759"/>
    <n v="0.89405407113757396"/>
    <n v="0.39377782060667998"/>
    <n v="32"/>
    <x v="0"/>
    <m/>
  </r>
  <r>
    <x v="350"/>
    <d v="2016-02-01T00:00:00"/>
    <n v="68466482"/>
    <n v="709586"/>
    <n v="56965"/>
    <x v="2"/>
    <x v="5"/>
    <x v="5"/>
    <n v="1.1196003907430208"/>
    <n v="10.363990952536454"/>
    <n v="0.83201295489375371"/>
    <n v="0.89410782403356237"/>
    <n v="0.39407119279728214"/>
    <n v="32"/>
    <x v="0"/>
    <m/>
  </r>
  <r>
    <x v="351"/>
    <d v="2025-12-06T00:00:00"/>
    <n v="47272504"/>
    <n v="960593"/>
    <n v="14160"/>
    <x v="4"/>
    <x v="7"/>
    <x v="6"/>
    <n v="2.0619872389243437"/>
    <n v="20.320332512955098"/>
    <n v="0.29953987628833878"/>
    <n v="0.89415545016153386"/>
    <n v="0.39455780674138702"/>
    <n v="32"/>
    <x v="0"/>
    <m/>
  </r>
  <r>
    <x v="352"/>
    <d v="2012-02-20T00:00:00"/>
    <n v="35020484"/>
    <n v="1429501"/>
    <n v="164399"/>
    <x v="14"/>
    <x v="5"/>
    <x v="5"/>
    <n v="4.5513362979220959"/>
    <n v="40.818996105250861"/>
    <n v="4.694366873970103"/>
    <n v="0.89418670068492645"/>
    <n v="0.39477229055726543"/>
    <n v="32"/>
    <x v="0"/>
    <m/>
  </r>
  <r>
    <x v="353"/>
    <d v="2018-07-11T00:00:00"/>
    <n v="30273965"/>
    <n v="860801"/>
    <n v="42888"/>
    <x v="13"/>
    <x v="3"/>
    <x v="3"/>
    <n v="2.9850368129843581"/>
    <n v="28.433705330636407"/>
    <n v="1.4166627992071734"/>
    <n v="0.89424288756608394"/>
    <n v="0.39714368537218336"/>
    <n v="32"/>
    <x v="0"/>
    <m/>
  </r>
  <r>
    <x v="354"/>
    <d v="2026-04-02T00:00:00"/>
    <n v="16947694"/>
    <n v="453994"/>
    <n v="8025"/>
    <x v="5"/>
    <x v="1"/>
    <x v="2"/>
    <n v="2.7261466958277629"/>
    <n v="26.787951210353455"/>
    <n v="0.47351574792417184"/>
    <n v="0.89427257705926666"/>
    <n v="0.39756698845832777"/>
    <n v="32"/>
    <x v="0"/>
    <m/>
  </r>
  <r>
    <x v="355"/>
    <d v="2018-05-11T00:00:00"/>
    <n v="15258283"/>
    <n v="452440"/>
    <n v="30503"/>
    <x v="13"/>
    <x v="6"/>
    <x v="1"/>
    <n v="3.1651202169995147"/>
    <n v="29.652091260858118"/>
    <n v="1.9991109091370241"/>
    <n v="0.89428897102346216"/>
    <n v="0.39767365786678549"/>
    <n v="32"/>
    <x v="1"/>
    <n v="3.9982404072454276"/>
  </r>
  <r>
    <x v="356"/>
    <d v="2016-12-18T00:00:00"/>
    <n v="8869396"/>
    <n v="713680"/>
    <n v="12994"/>
    <x v="2"/>
    <x v="7"/>
    <x v="4"/>
    <n v="8.1930494477865246"/>
    <n v="80.46545672332141"/>
    <n v="1.4650377545438269"/>
    <n v="0.89430569886418609"/>
    <n v="0.39797614772137152"/>
    <n v="32"/>
    <x v="0"/>
    <m/>
  </r>
  <r>
    <x v="357"/>
    <d v="2016-10-09T00:00:00"/>
    <n v="1251554"/>
    <n v="55317"/>
    <n v="3085"/>
    <x v="2"/>
    <x v="10"/>
    <x v="4"/>
    <n v="4.6663587827612716"/>
    <n v="44.19865223554077"/>
    <n v="2.4649355920719365"/>
    <n v="0.89382229857069573"/>
    <n v="0.39709571303648161"/>
    <n v="32"/>
    <x v="0"/>
    <m/>
  </r>
  <r>
    <x v="358"/>
    <d v="2013-01-21T00:00:00"/>
    <n v="954129"/>
    <n v="34940"/>
    <n v="4571"/>
    <x v="3"/>
    <x v="8"/>
    <x v="5"/>
    <n v="4.1410543018816117"/>
    <n v="36.619786213394626"/>
    <n v="4.7907568054214895"/>
    <n v="0.89371239952530224"/>
    <n v="0.39723853737976716"/>
    <n v="32"/>
    <x v="0"/>
    <m/>
  </r>
  <r>
    <x v="359"/>
    <d v="2016-04-04T00:00:00"/>
    <n v="743939"/>
    <n v="21464"/>
    <n v="1836"/>
    <x v="2"/>
    <x v="1"/>
    <x v="5"/>
    <n v="3.131977218562275"/>
    <n v="28.851827905244921"/>
    <n v="2.4679442803778264"/>
    <n v="0.89354351766503082"/>
    <n v="0.39701237230708453"/>
    <n v="32"/>
    <x v="0"/>
    <m/>
  </r>
  <r>
    <x v="360"/>
    <d v="2015-02-16T00:00:00"/>
    <n v="328773"/>
    <n v="7696"/>
    <n v="608"/>
    <x v="0"/>
    <x v="5"/>
    <x v="5"/>
    <n v="2.5257548521320183"/>
    <n v="23.408248244229299"/>
    <n v="1.8493002770908804"/>
    <n v="0.89348686273288835"/>
    <n v="0.39663048708380705"/>
    <n v="32"/>
    <x v="0"/>
    <m/>
  </r>
  <r>
    <x v="361"/>
    <d v="2015-03-01T00:00:00"/>
    <n v="303846"/>
    <n v="4457"/>
    <n v="438"/>
    <x v="0"/>
    <x v="2"/>
    <x v="4"/>
    <n v="1.611013473930873"/>
    <n v="14.668615022083555"/>
    <n v="1.4415197172251732"/>
    <n v="0.89343667345019651"/>
    <n v="0.39621201589704391"/>
    <n v="32"/>
    <x v="0"/>
    <m/>
  </r>
  <r>
    <x v="362"/>
    <d v="2014-02-17T00:00:00"/>
    <n v="140048"/>
    <n v="3648"/>
    <n v="644"/>
    <x v="1"/>
    <x v="5"/>
    <x v="5"/>
    <n v="3.0646635439277965"/>
    <n v="26.048212041585742"/>
    <n v="4.59842339769222"/>
    <n v="0.89338234360518143"/>
    <n v="0.39571967962288745"/>
    <n v="32"/>
    <x v="0"/>
    <m/>
  </r>
  <r>
    <x v="363"/>
    <d v="2015-07-05T00:00:00"/>
    <n v="107057"/>
    <n v="2503"/>
    <n v="249"/>
    <x v="0"/>
    <x v="3"/>
    <x v="4"/>
    <n v="2.5705932353792837"/>
    <n v="23.38006856160737"/>
    <n v="2.3258637921854715"/>
    <n v="0.89334722826126434"/>
    <n v="0.3953898561516565"/>
    <n v="32"/>
    <x v="0"/>
    <m/>
  </r>
  <r>
    <x v="364"/>
    <d v="2015-11-03T00:00:00"/>
    <n v="65036"/>
    <n v="1988"/>
    <n v="273"/>
    <x v="0"/>
    <x v="11"/>
    <x v="0"/>
    <n v="3.4765360723291714"/>
    <n v="30.567685589519648"/>
    <n v="4.1976751337720639"/>
    <n v="0.89328443367067989"/>
    <n v="0.39446489142662955"/>
    <n v="32"/>
    <x v="0"/>
    <m/>
  </r>
  <r>
    <x v="365"/>
    <d v="2015-06-04T00:00:00"/>
    <n v="65034"/>
    <n v="1898"/>
    <n v="288"/>
    <x v="0"/>
    <x v="4"/>
    <x v="2"/>
    <n v="3.3613186948365472"/>
    <n v="29.184734139065721"/>
    <n v="4.4284528092997508"/>
    <n v="0.89325784674934783"/>
    <n v="0.39417671001368421"/>
    <n v="32"/>
    <x v="0"/>
    <m/>
  </r>
  <r>
    <x v="366"/>
    <d v="2021-11-24T00:00:00"/>
    <n v="936855846"/>
    <n v="20041207"/>
    <n v="653246"/>
    <x v="12"/>
    <x v="11"/>
    <x v="3"/>
    <n v="2.2089260677997626"/>
    <n v="21.391985848802612"/>
    <n v="0.6972748291950136"/>
    <n v="0.89322718458589212"/>
    <n v="0.39374146510692565"/>
    <n v="33"/>
    <x v="1"/>
    <n v="1.4526966725724939"/>
  </r>
  <r>
    <x v="367"/>
    <d v="2025-09-23T00:00:00"/>
    <n v="800425043"/>
    <n v="12496914"/>
    <n v="65182"/>
    <x v="4"/>
    <x v="9"/>
    <x v="0"/>
    <n v="1.5694281569348649"/>
    <n v="15.612847335662385"/>
    <n v="8.143423368626411E-2"/>
    <n v="0.89155663234707094"/>
    <n v="0.36487785417994062"/>
    <n v="33"/>
    <x v="0"/>
    <m/>
  </r>
  <r>
    <x v="368"/>
    <d v="2024-12-22T00:00:00"/>
    <n v="747520413"/>
    <n v="14167719"/>
    <n v="11672"/>
    <x v="9"/>
    <x v="7"/>
    <x v="4"/>
    <n v="1.8968566949354999"/>
    <n v="18.952952660036591"/>
    <n v="1.5614289318410893E-2"/>
    <n v="0.89254438770472733"/>
    <n v="0.36735082294839877"/>
    <n v="33"/>
    <x v="1"/>
    <n v="2.0165059404798713"/>
  </r>
  <r>
    <x v="369"/>
    <d v="2023-03-30T00:00:00"/>
    <n v="745892791"/>
    <n v="30271166"/>
    <n v="81586"/>
    <x v="6"/>
    <x v="2"/>
    <x v="2"/>
    <n v="4.0693183211097699"/>
    <n v="40.583802880593872"/>
    <n v="0.10938033050382438"/>
    <n v="0.89227721588560771"/>
    <n v="0.37328005434348499"/>
    <n v="33"/>
    <x v="0"/>
    <m/>
  </r>
  <r>
    <x v="370"/>
    <d v="2025-02-28T00:00:00"/>
    <n v="680873257"/>
    <n v="12649855"/>
    <n v="14101"/>
    <x v="4"/>
    <x v="5"/>
    <x v="1"/>
    <n v="1.8599579099051029"/>
    <n v="18.578868930374217"/>
    <n v="2.0710168676811462E-2"/>
    <n v="0.89221452441856175"/>
    <n v="0.37430219644497259"/>
    <n v="33"/>
    <x v="1"/>
    <n v="3.2923715703974481"/>
  </r>
  <r>
    <x v="371"/>
    <d v="2023-12-14T00:00:00"/>
    <n v="633026108"/>
    <n v="16095881"/>
    <n v="32298"/>
    <x v="6"/>
    <x v="7"/>
    <x v="2"/>
    <n v="2.5477904933424957"/>
    <n v="25.426883341121215"/>
    <n v="5.1021592303741127E-2"/>
    <n v="0.89208337463469134"/>
    <n v="0.37959369038618135"/>
    <n v="33"/>
    <x v="1"/>
    <n v="2.4836692518169925"/>
  </r>
  <r>
    <x v="372"/>
    <d v="2024-07-13T00:00:00"/>
    <n v="472174213"/>
    <n v="9756553"/>
    <n v="350709"/>
    <x v="9"/>
    <x v="3"/>
    <x v="6"/>
    <n v="2.1405789900686512"/>
    <n v="20.663036505129941"/>
    <n v="0.74275339555656761"/>
    <n v="0.89090268009459861"/>
    <n v="0.38318194277537648"/>
    <n v="33"/>
    <x v="1"/>
    <n v="4.3736236681095555"/>
  </r>
  <r>
    <x v="373"/>
    <d v="2026-05-22T00:00:00"/>
    <n v="320768587"/>
    <n v="3483909"/>
    <n v="37637"/>
    <x v="5"/>
    <x v="6"/>
    <x v="1"/>
    <n v="1.0978462800660715"/>
    <n v="10.861128992035619"/>
    <n v="0.11733380862509457"/>
    <n v="0.89070048757793796"/>
    <n v="0.37727800104859621"/>
    <n v="33"/>
    <x v="0"/>
    <m/>
  </r>
  <r>
    <x v="374"/>
    <d v="2024-12-09T00:00:00"/>
    <n v="313296891"/>
    <n v="9250620"/>
    <n v="19740"/>
    <x v="9"/>
    <x v="7"/>
    <x v="5"/>
    <n v="2.9589696758273929"/>
    <n v="29.526689430186526"/>
    <n v="6.300732808740192E-2"/>
    <n v="0.89138126826201125"/>
    <n v="0.37824478540909084"/>
    <n v="33"/>
    <x v="0"/>
    <m/>
  </r>
  <r>
    <x v="375"/>
    <d v="2022-12-24T00:00:00"/>
    <n v="259791034"/>
    <n v="5869273"/>
    <n v="143026"/>
    <x v="10"/>
    <x v="7"/>
    <x v="6"/>
    <n v="2.3142827169316398"/>
    <n v="22.59228468985577"/>
    <n v="0.55054247946062684"/>
    <n v="0.89124175503145331"/>
    <n v="0.37963469235452435"/>
    <n v="33"/>
    <x v="4"/>
    <n v="3.2397742780216134"/>
  </r>
  <r>
    <x v="376"/>
    <d v="2024-12-19T00:00:00"/>
    <n v="202042205"/>
    <n v="4660535"/>
    <n v="51724"/>
    <x v="9"/>
    <x v="7"/>
    <x v="2"/>
    <n v="2.3323141815839912"/>
    <n v="23.067135898660382"/>
    <n v="0.25600591717953186"/>
    <n v="0.89123281853048453"/>
    <n v="0.3791133282425968"/>
    <n v="33"/>
    <x v="1"/>
    <n v="4.6002891059617159"/>
  </r>
  <r>
    <x v="377"/>
    <d v="2019-08-15T00:00:00"/>
    <n v="189791887"/>
    <n v="3032302"/>
    <n v="67674"/>
    <x v="11"/>
    <x v="0"/>
    <x v="2"/>
    <n v="1.6333553815184945"/>
    <n v="15.976984305972993"/>
    <n v="0.35656950921195063"/>
    <n v="0.89097073589559206"/>
    <n v="0.38008787571112451"/>
    <n v="33"/>
    <x v="0"/>
    <m/>
  </r>
  <r>
    <x v="378"/>
    <d v="2019-06-06T00:00:00"/>
    <n v="124889171"/>
    <n v="2392781"/>
    <n v="65737"/>
    <x v="11"/>
    <x v="4"/>
    <x v="2"/>
    <n v="1.9685597881020442"/>
    <n v="19.159235191015881"/>
    <n v="0.52636269000456415"/>
    <n v="0.89092023342559756"/>
    <n v="0.38061904736760416"/>
    <n v="33"/>
    <x v="1"/>
    <n v="2.1666033156925235"/>
  </r>
  <r>
    <x v="379"/>
    <d v="2026-04-04T00:00:00"/>
    <n v="111478886"/>
    <n v="2619052"/>
    <n v="171141"/>
    <x v="5"/>
    <x v="1"/>
    <x v="6"/>
    <n v="2.5028892018171045"/>
    <n v="23.493704449109764"/>
    <n v="1.535187569061284"/>
    <n v="0.89065299148363286"/>
    <n v="0.38102159191918961"/>
    <n v="33"/>
    <x v="1"/>
    <n v="5.4208997433256991"/>
  </r>
  <r>
    <x v="380"/>
    <d v="2019-07-12T00:00:00"/>
    <n v="93889459"/>
    <n v="1709022"/>
    <n v="56839"/>
    <x v="11"/>
    <x v="3"/>
    <x v="1"/>
    <n v="1.8807872777283761"/>
    <n v="18.202490654462075"/>
    <n v="0.60538212282168968"/>
    <n v="0.89062341628924102"/>
    <n v="0.38209306792834186"/>
    <n v="33"/>
    <x v="0"/>
    <m/>
  </r>
  <r>
    <x v="381"/>
    <d v="2025-04-12T00:00:00"/>
    <n v="77740419"/>
    <n v="4263456"/>
    <n v="73427"/>
    <x v="4"/>
    <x v="1"/>
    <x v="6"/>
    <n v="5.5786720161618888"/>
    <n v="54.842205056805781"/>
    <n v="0.94451510481310885"/>
    <n v="0.89061290741595611"/>
    <n v="0.38158777858720427"/>
    <n v="33"/>
    <x v="0"/>
    <m/>
  </r>
  <r>
    <x v="382"/>
    <d v="2018-08-02T00:00:00"/>
    <n v="45963993"/>
    <n v="1209058"/>
    <n v="49636"/>
    <x v="13"/>
    <x v="0"/>
    <x v="2"/>
    <n v="2.7384348439875534"/>
    <n v="26.304459666939728"/>
    <n v="1.0798887729358064"/>
    <n v="0.8907313034189791"/>
    <n v="0.38101698426431752"/>
    <n v="33"/>
    <x v="0"/>
    <m/>
  </r>
  <r>
    <x v="383"/>
    <d v="2018-01-25T00:00:00"/>
    <n v="26667437"/>
    <n v="719020"/>
    <n v="37979"/>
    <x v="13"/>
    <x v="8"/>
    <x v="2"/>
    <n v="2.8386642480865332"/>
    <n v="26.962471121615472"/>
    <n v="1.4241713592498595"/>
    <n v="0.89072909435112346"/>
    <n v="0.38111290728722569"/>
    <n v="33"/>
    <x v="0"/>
    <m/>
  </r>
  <r>
    <x v="384"/>
    <d v="2016-11-03T00:00:00"/>
    <n v="13459378"/>
    <n v="352607"/>
    <n v="7766"/>
    <x v="2"/>
    <x v="11"/>
    <x v="2"/>
    <n v="2.6774862850274359"/>
    <n v="26.197867390305852"/>
    <n v="0.57699545996850676"/>
    <n v="0.8907557984291804"/>
    <n v="0.3813995242152734"/>
    <n v="33"/>
    <x v="1"/>
    <n v="1.9854867390319668"/>
  </r>
  <r>
    <x v="385"/>
    <d v="2016-08-14T00:00:00"/>
    <n v="3157501"/>
    <n v="151452"/>
    <n v="5447"/>
    <x v="2"/>
    <x v="0"/>
    <x v="4"/>
    <n v="4.9690878957758047"/>
    <n v="47.965780533402842"/>
    <n v="1.7250984243552101"/>
    <n v="0.89076888818499711"/>
    <n v="0.38149770779004621"/>
    <n v="33"/>
    <x v="0"/>
    <m/>
  </r>
  <r>
    <x v="386"/>
    <d v="2013-01-27T00:00:00"/>
    <n v="623240"/>
    <n v="24226"/>
    <n v="2516"/>
    <x v="3"/>
    <x v="8"/>
    <x v="4"/>
    <n v="4.2908029009691289"/>
    <n v="38.871060907515563"/>
    <n v="4.0369681021757273"/>
    <n v="0.89077534030959149"/>
    <n v="0.38154878872757225"/>
    <n v="33"/>
    <x v="0"/>
    <m/>
  </r>
  <r>
    <x v="387"/>
    <d v="2015-09-19T00:00:00"/>
    <n v="466867"/>
    <n v="12185"/>
    <n v="698"/>
    <x v="0"/>
    <x v="9"/>
    <x v="6"/>
    <n v="2.7594582611321852"/>
    <n v="26.099510138861817"/>
    <n v="1.4950724724600368"/>
    <n v="0.89077619460763902"/>
    <n v="0.38156684049938677"/>
    <n v="33"/>
    <x v="0"/>
    <m/>
  </r>
  <r>
    <x v="388"/>
    <d v="2013-04-04T00:00:00"/>
    <n v="268919"/>
    <n v="10763"/>
    <n v="1017"/>
    <x v="3"/>
    <x v="1"/>
    <x v="2"/>
    <n v="4.380501191808686"/>
    <n v="40.023204013104319"/>
    <n v="3.781807904982541"/>
    <n v="0.89077660168793094"/>
    <n v="0.38157111430923829"/>
    <n v="33"/>
    <x v="0"/>
    <m/>
  </r>
  <r>
    <x v="389"/>
    <d v="2016-02-29T00:00:00"/>
    <n v="223704"/>
    <n v="5426"/>
    <n v="384"/>
    <x v="2"/>
    <x v="5"/>
    <x v="5"/>
    <n v="2.5971819904874298"/>
    <n v="24.25526588706505"/>
    <n v="1.716554017809248"/>
    <n v="0.89067008672319614"/>
    <n v="0.38275385902176057"/>
    <n v="33"/>
    <x v="0"/>
    <m/>
  </r>
  <r>
    <x v="390"/>
    <d v="2016-01-12T00:00:00"/>
    <n v="193060"/>
    <n v="9653"/>
    <n v="1218"/>
    <x v="2"/>
    <x v="8"/>
    <x v="0"/>
    <n v="5.6308919506889055"/>
    <n v="50"/>
    <n v="6.3089195068890502"/>
    <n v="0.89060572470623189"/>
    <n v="0.30665699022186421"/>
    <n v="33"/>
    <x v="0"/>
    <m/>
  </r>
  <r>
    <x v="391"/>
    <d v="2013-11-13T00:00:00"/>
    <n v="162392"/>
    <n v="3647"/>
    <n v="432"/>
    <x v="3"/>
    <x v="11"/>
    <x v="3"/>
    <n v="2.5118232425242621"/>
    <n v="22.45800285728361"/>
    <n v="2.6602295679590129"/>
    <n v="0.89054680398937103"/>
    <n v="0.30627862995394062"/>
    <n v="33"/>
    <x v="0"/>
    <m/>
  </r>
  <r>
    <x v="392"/>
    <d v="2015-12-19T00:00:00"/>
    <n v="121633"/>
    <n v="4638"/>
    <n v="423"/>
    <x v="0"/>
    <x v="7"/>
    <x v="6"/>
    <n v="4.1608773934705221"/>
    <n v="38.131099290488599"/>
    <n v="3.4776746442166191"/>
    <n v="0.89050295033393556"/>
    <n v="0.3059239475989895"/>
    <n v="33"/>
    <x v="0"/>
    <m/>
  </r>
  <r>
    <x v="393"/>
    <d v="2013-12-29T00:00:00"/>
    <n v="67956"/>
    <n v="2434"/>
    <n v="764"/>
    <x v="3"/>
    <x v="7"/>
    <x v="4"/>
    <n v="4.7059862263817767"/>
    <n v="35.817293542880684"/>
    <n v="11.242568720937077"/>
    <n v="0.89050306734254625"/>
    <n v="0.30592498167563104"/>
    <n v="33"/>
    <x v="0"/>
    <m/>
  </r>
  <r>
    <x v="394"/>
    <d v="2014-06-13T00:00:00"/>
    <n v="65041"/>
    <n v="1901"/>
    <n v="433"/>
    <x v="1"/>
    <x v="4"/>
    <x v="1"/>
    <n v="3.5885057117817989"/>
    <n v="29.227717901016284"/>
    <n v="6.6573392168017094"/>
    <n v="0.89050313146090687"/>
    <n v="0.30592930385754391"/>
    <n v="33"/>
    <x v="0"/>
    <m/>
  </r>
  <r>
    <x v="395"/>
    <d v="2015-06-21T00:00:00"/>
    <n v="65041"/>
    <n v="2375"/>
    <n v="591"/>
    <x v="0"/>
    <x v="4"/>
    <x v="4"/>
    <n v="4.560200488922372"/>
    <n v="36.51542872957058"/>
    <n v="9.0865761596531414"/>
    <n v="0.89050306886991826"/>
    <n v="0.30592866861670459"/>
    <n v="33"/>
    <x v="0"/>
    <m/>
  </r>
  <r>
    <x v="396"/>
    <d v="2015-06-27T00:00:00"/>
    <n v="65038"/>
    <n v="2294"/>
    <n v="492"/>
    <x v="0"/>
    <x v="4"/>
    <x v="6"/>
    <n v="4.2836495587195174"/>
    <n v="35.271687321258341"/>
    <n v="7.5648082659368372"/>
    <n v="0.89000717127738005"/>
    <n v="0.30349896986725955"/>
    <n v="33"/>
    <x v="0"/>
    <m/>
  </r>
  <r>
    <x v="397"/>
    <d v="2015-07-22T00:00:00"/>
    <n v="65035"/>
    <n v="2459"/>
    <n v="618"/>
    <x v="0"/>
    <x v="3"/>
    <x v="3"/>
    <n v="4.7312985315599292"/>
    <n v="37.810409779349584"/>
    <n v="9.5025755362497115"/>
    <n v="0.88992037132113566"/>
    <n v="0.30315989427045398"/>
    <n v="33"/>
    <x v="3"/>
    <n v="1.1196003907430208"/>
  </r>
  <r>
    <x v="398"/>
    <d v="2015-07-25T00:00:00"/>
    <n v="65034"/>
    <n v="1587"/>
    <n v="301"/>
    <x v="0"/>
    <x v="3"/>
    <x v="6"/>
    <n v="2.9030968416520588"/>
    <n v="24.402620167912168"/>
    <n v="4.62834824860842"/>
    <n v="0.88986033069558024"/>
    <n v="0.30271271942523986"/>
    <n v="33"/>
    <x v="0"/>
    <m/>
  </r>
  <r>
    <x v="399"/>
    <d v="2023-05-01T00:00:00"/>
    <n v="991961264"/>
    <n v="29376509"/>
    <n v="38613"/>
    <x v="6"/>
    <x v="6"/>
    <x v="5"/>
    <n v="2.9653498647100398"/>
    <n v="29.614572731944904"/>
    <n v="3.8925915155493408E-2"/>
    <n v="0.88983135836922755"/>
    <n v="0.30219133247854452"/>
    <n v="34"/>
    <x v="0"/>
    <m/>
  </r>
  <r>
    <x v="400"/>
    <d v="2024-09-05T00:00:00"/>
    <n v="772670894"/>
    <n v="18116647"/>
    <n v="15995"/>
    <x v="9"/>
    <x v="9"/>
    <x v="2"/>
    <n v="2.3467484204212825"/>
    <n v="23.446783282094227"/>
    <n v="2.0700922118596071E-2"/>
    <n v="0.88557003768881959"/>
    <n v="0.30854374870403733"/>
    <n v="34"/>
    <x v="0"/>
    <m/>
  </r>
  <r>
    <x v="401"/>
    <d v="2023-09-28T00:00:00"/>
    <n v="770479116"/>
    <n v="22087704"/>
    <n v="32117"/>
    <x v="6"/>
    <x v="9"/>
    <x v="2"/>
    <n v="2.8709176589803898"/>
    <n v="28.667492137450743"/>
    <n v="4.168445235315113E-2"/>
    <n v="0.88369494684246741"/>
    <n v="0.31413461135514587"/>
    <n v="34"/>
    <x v="1"/>
    <n v="2.7261466958277629"/>
  </r>
  <r>
    <x v="402"/>
    <d v="2023-11-02T00:00:00"/>
    <n v="738096987"/>
    <n v="22393089"/>
    <n v="41164"/>
    <x v="6"/>
    <x v="11"/>
    <x v="2"/>
    <n v="3.0394722367292362"/>
    <n v="30.338951918794379"/>
    <n v="5.5770448497983099E-2"/>
    <n v="0.88111287582640929"/>
    <n v="0.31898743049679185"/>
    <n v="34"/>
    <x v="1"/>
    <n v="3.1651202169995147"/>
  </r>
  <r>
    <x v="403"/>
    <d v="2021-08-31T00:00:00"/>
    <n v="558041959"/>
    <n v="7913972"/>
    <n v="132963"/>
    <x v="12"/>
    <x v="0"/>
    <x v="0"/>
    <n v="1.4419946153188814"/>
    <n v="14.181679123522681"/>
    <n v="0.23826702966613303"/>
    <n v="0.87446145116066354"/>
    <n v="0.32242657057849566"/>
    <n v="34"/>
    <x v="1"/>
    <n v="8.1930494477865246"/>
  </r>
  <r>
    <x v="404"/>
    <d v="2023-08-31T00:00:00"/>
    <n v="422830495"/>
    <n v="14303407"/>
    <n v="33946"/>
    <x v="6"/>
    <x v="0"/>
    <x v="2"/>
    <n v="3.390803920138258"/>
    <n v="33.827756439374127"/>
    <n v="8.0282762008449748E-2"/>
    <n v="0.87513592441865307"/>
    <n v="0.32085633735449792"/>
    <n v="34"/>
    <x v="1"/>
    <n v="4.6663587827612716"/>
  </r>
  <r>
    <x v="405"/>
    <d v="2024-11-18T00:00:00"/>
    <n v="421407377"/>
    <n v="6566336"/>
    <n v="2740"/>
    <x v="9"/>
    <x v="11"/>
    <x v="5"/>
    <n v="1.5588421936904062"/>
    <n v="15.581919914990001"/>
    <n v="6.5020219140587091E-3"/>
    <n v="0.8746651154691184"/>
    <n v="0.32247008253429227"/>
    <n v="34"/>
    <x v="0"/>
    <m/>
  </r>
  <r>
    <x v="406"/>
    <d v="2024-10-05T00:00:00"/>
    <n v="407288459"/>
    <n v="11173042"/>
    <n v="14434"/>
    <x v="9"/>
    <x v="10"/>
    <x v="6"/>
    <n v="2.7468188093196129"/>
    <n v="27.432748837108591"/>
    <n v="3.5439256087538687E-2"/>
    <n v="0.87506521296926021"/>
    <n v="0.32512832949388304"/>
    <n v="34"/>
    <x v="1"/>
    <n v="3.131977218562275"/>
  </r>
  <r>
    <x v="407"/>
    <d v="2024-01-27T00:00:00"/>
    <n v="399154956"/>
    <n v="6030192"/>
    <n v="103841"/>
    <x v="9"/>
    <x v="8"/>
    <x v="6"/>
    <n v="1.5367548135867315"/>
    <n v="15.107396035939486"/>
    <n v="0.26015209992782851"/>
    <n v="0.87455125700093195"/>
    <n v="0.32729377769528833"/>
    <n v="34"/>
    <x v="1"/>
    <n v="2.5257548521320183"/>
  </r>
  <r>
    <x v="408"/>
    <d v="2020-11-14T00:00:00"/>
    <n v="366548012"/>
    <n v="4869422"/>
    <n v="93132"/>
    <x v="7"/>
    <x v="11"/>
    <x v="6"/>
    <n v="1.3538619328264152"/>
    <n v="13.284540743873956"/>
    <n v="0.25407858439019443"/>
    <n v="0.87498832927601122"/>
    <n v="0.32686674776108404"/>
    <n v="34"/>
    <x v="1"/>
    <n v="1.611013473930873"/>
  </r>
  <r>
    <x v="409"/>
    <d v="2024-05-30T00:00:00"/>
    <n v="324443137"/>
    <n v="11973986"/>
    <n v="86805"/>
    <x v="9"/>
    <x v="6"/>
    <x v="2"/>
    <n v="3.7173820693269897"/>
    <n v="36.906269957561157"/>
    <n v="0.26755073570873528"/>
    <n v="0.87559677743560738"/>
    <n v="0.32670422570045893"/>
    <n v="34"/>
    <x v="0"/>
    <m/>
  </r>
  <r>
    <x v="410"/>
    <d v="2022-07-23T00:00:00"/>
    <n v="306988519"/>
    <n v="5047789"/>
    <n v="136125"/>
    <x v="10"/>
    <x v="3"/>
    <x v="6"/>
    <n v="1.6886344860343132"/>
    <n v="16.442924368777454"/>
    <n v="0.4434204915656797"/>
    <n v="0.8755569373315143"/>
    <n v="0.32667813765934434"/>
    <n v="34"/>
    <x v="1"/>
    <n v="2.5705932353792837"/>
  </r>
  <r>
    <x v="411"/>
    <d v="2022-12-10T00:00:00"/>
    <n v="276128869"/>
    <n v="5841586"/>
    <n v="124432"/>
    <x v="10"/>
    <x v="7"/>
    <x v="6"/>
    <n v="2.1605919082658467"/>
    <n v="21.155288909686583"/>
    <n v="0.45063017297188152"/>
    <n v="0.87582579325384891"/>
    <n v="0.32660728740557504"/>
    <n v="34"/>
    <x v="0"/>
    <m/>
  </r>
  <r>
    <x v="412"/>
    <d v="2024-03-16T00:00:00"/>
    <n v="270549447"/>
    <n v="5484703"/>
    <n v="127028"/>
    <x v="9"/>
    <x v="2"/>
    <x v="6"/>
    <n v="2.0741979191700217"/>
    <n v="20.272460582778422"/>
    <n v="0.46951860892179165"/>
    <n v="0.87572349508336877"/>
    <n v="0.32573119974749337"/>
    <n v="34"/>
    <x v="3"/>
    <n v="3.3613186948365472"/>
  </r>
  <r>
    <x v="413"/>
    <d v="2024-05-03T00:00:00"/>
    <n v="234775722"/>
    <n v="11902518"/>
    <n v="30640"/>
    <x v="9"/>
    <x v="6"/>
    <x v="1"/>
    <n v="5.0827904599096492"/>
    <n v="50.697397067316864"/>
    <n v="0.13050753177962751"/>
    <n v="0.8756786457463529"/>
    <n v="0.32485211363291638"/>
    <n v="34"/>
    <x v="1"/>
    <n v="2.2089260677997626"/>
  </r>
  <r>
    <x v="401"/>
    <d v="2024-05-08T00:00:00"/>
    <n v="206596077"/>
    <n v="6473102"/>
    <n v="12518"/>
    <x v="9"/>
    <x v="6"/>
    <x v="3"/>
    <n v="3.1392754858554257"/>
    <n v="31.332163194947789"/>
    <n v="6.0591663606468185E-2"/>
    <n v="0.87645739952769752"/>
    <n v="0.3247376978146595"/>
    <n v="34"/>
    <x v="1"/>
    <n v="1.5694281569348649"/>
  </r>
  <r>
    <x v="414"/>
    <d v="2025-10-11T00:00:00"/>
    <n v="181215573"/>
    <n v="2908608"/>
    <n v="52877"/>
    <x v="4"/>
    <x v="10"/>
    <x v="6"/>
    <n v="1.6342331682498392"/>
    <n v="16.050541086775141"/>
    <n v="0.2917905957232495"/>
    <n v="0.87645173737815996"/>
    <n v="0.32535951268441254"/>
    <n v="34"/>
    <x v="0"/>
    <m/>
  </r>
  <r>
    <x v="415"/>
    <d v="2025-12-06T00:00:00"/>
    <n v="152688952"/>
    <n v="1961174"/>
    <n v="74377"/>
    <x v="4"/>
    <x v="7"/>
    <x v="6"/>
    <n v="1.3331357464553166"/>
    <n v="12.844242980985292"/>
    <n v="0.48711448356787462"/>
    <n v="0.87658164481212542"/>
    <n v="0.32572083772569888"/>
    <n v="34"/>
    <x v="0"/>
    <m/>
  </r>
  <r>
    <x v="416"/>
    <d v="2026-04-14T00:00:00"/>
    <n v="97020419"/>
    <n v="1917110"/>
    <n v="11908"/>
    <x v="5"/>
    <x v="1"/>
    <x v="0"/>
    <n v="1.9882598115763654"/>
    <n v="19.759861065947366"/>
    <n v="0.12273704981628661"/>
    <n v="0.87674031022711085"/>
    <n v="0.32600501967607948"/>
    <n v="34"/>
    <x v="3"/>
    <n v="1.8599579099051029"/>
  </r>
  <r>
    <x v="417"/>
    <d v="2025-11-25T00:00:00"/>
    <n v="93340549"/>
    <n v="1884208"/>
    <n v="8761"/>
    <x v="4"/>
    <x v="11"/>
    <x v="0"/>
    <n v="2.0280242834226314"/>
    <n v="20.186382233513541"/>
    <n v="9.3860600712772746E-2"/>
    <n v="0.87679900865260474"/>
    <n v="0.32635727805681453"/>
    <n v="34"/>
    <x v="0"/>
    <m/>
  </r>
  <r>
    <x v="418"/>
    <d v="2018-10-09T00:00:00"/>
    <n v="44200113"/>
    <n v="933560"/>
    <n v="32617"/>
    <x v="13"/>
    <x v="10"/>
    <x v="0"/>
    <n v="2.1859152260538339"/>
    <n v="21.121212970654621"/>
    <n v="0.73793928988371593"/>
    <n v="0.87685594528242172"/>
    <n v="0.32670004479271003"/>
    <n v="34"/>
    <x v="0"/>
    <m/>
  </r>
  <r>
    <x v="419"/>
    <d v="2019-04-06T00:00:00"/>
    <n v="38542708"/>
    <n v="1009468"/>
    <n v="34285"/>
    <x v="11"/>
    <x v="1"/>
    <x v="6"/>
    <n v="2.7080427249688839"/>
    <n v="26.190894526663772"/>
    <n v="0.88953272302506614"/>
    <n v="0.8768905885390087"/>
    <n v="0.32699888755638257"/>
    <n v="34"/>
    <x v="0"/>
    <m/>
  </r>
  <r>
    <x v="420"/>
    <d v="2017-03-19T00:00:00"/>
    <n v="1975121"/>
    <n v="95714"/>
    <n v="8799"/>
    <x v="8"/>
    <x v="2"/>
    <x v="4"/>
    <n v="5.291473281890072"/>
    <n v="48.459815879634718"/>
    <n v="4.454916939266"/>
    <n v="0.87692843149054578"/>
    <n v="0.3273006202127981"/>
    <n v="34"/>
    <x v="0"/>
    <m/>
  </r>
  <r>
    <x v="421"/>
    <d v="2016-08-21T00:00:00"/>
    <n v="1661452"/>
    <n v="124022"/>
    <n v="3543"/>
    <x v="2"/>
    <x v="0"/>
    <x v="4"/>
    <n v="7.6779226844952486"/>
    <n v="74.646754766312839"/>
    <n v="2.1324720786396476"/>
    <n v="0.87693305981107506"/>
    <n v="0.32737495556892487"/>
    <n v="34"/>
    <x v="0"/>
    <m/>
  </r>
  <r>
    <x v="422"/>
    <d v="2016-08-08T00:00:00"/>
    <n v="853688"/>
    <n v="42142"/>
    <n v="6643"/>
    <x v="2"/>
    <x v="0"/>
    <x v="5"/>
    <n v="5.7146170497886821"/>
    <n v="49.364639071885748"/>
    <n v="7.7815314260010684"/>
    <n v="0.87693943411554642"/>
    <n v="0.32740137208132114"/>
    <n v="34"/>
    <x v="0"/>
    <m/>
  </r>
  <r>
    <x v="423"/>
    <d v="2016-05-01T00:00:00"/>
    <n v="652708"/>
    <n v="13064"/>
    <n v="1335"/>
    <x v="2"/>
    <x v="6"/>
    <x v="4"/>
    <n v="2.2060400669211959"/>
    <n v="20.015075654044381"/>
    <n v="2.0453250151675788"/>
    <n v="0.87690903088522953"/>
    <n v="0.32712440503112833"/>
    <n v="34"/>
    <x v="0"/>
    <m/>
  </r>
  <r>
    <x v="424"/>
    <d v="2016-02-09T00:00:00"/>
    <n v="184081"/>
    <n v="7789"/>
    <n v="1427"/>
    <x v="2"/>
    <x v="5"/>
    <x v="0"/>
    <n v="5.0064917074548703"/>
    <n v="42.312894866933576"/>
    <n v="7.7520222076151253"/>
    <n v="0.87690939933373158"/>
    <n v="0.32713362088673587"/>
    <n v="34"/>
    <x v="0"/>
    <m/>
  </r>
  <r>
    <x v="425"/>
    <d v="2016-04-01T00:00:00"/>
    <n v="171521"/>
    <n v="4790"/>
    <n v="492"/>
    <x v="2"/>
    <x v="1"/>
    <x v="1"/>
    <n v="3.0795062995201752"/>
    <n v="27.926609569673683"/>
    <n v="2.8684534255280694"/>
    <n v="0.8769094923156967"/>
    <n v="0.32713602466146097"/>
    <n v="34"/>
    <x v="1"/>
    <n v="2.5028892018171045"/>
  </r>
  <r>
    <x v="426"/>
    <d v="2014-02-16T00:00:00"/>
    <n v="127801"/>
    <n v="2859"/>
    <n v="937"/>
    <x v="1"/>
    <x v="5"/>
    <x v="4"/>
    <n v="2.9702427993521177"/>
    <n v="22.370716974045585"/>
    <n v="7.3317110194755903"/>
    <n v="0.87690964271738814"/>
    <n v="0.32713741918626282"/>
    <n v="34"/>
    <x v="0"/>
    <m/>
  </r>
  <r>
    <x v="427"/>
    <d v="2013-12-05T00:00:00"/>
    <n v="89747"/>
    <n v="2296"/>
    <n v="356"/>
    <x v="3"/>
    <x v="7"/>
    <x v="2"/>
    <n v="2.9549734252955528"/>
    <n v="25.583027844941892"/>
    <n v="3.9667064080136378"/>
    <n v="0.87653589809389498"/>
    <n v="0.32715546298657616"/>
    <n v="34"/>
    <x v="0"/>
    <m/>
  </r>
  <r>
    <x v="428"/>
    <d v="2015-07-16T00:00:00"/>
    <n v="69465"/>
    <n v="1612"/>
    <n v="205"/>
    <x v="0"/>
    <x v="3"/>
    <x v="2"/>
    <n v="2.6157057510976753"/>
    <n v="23.205931044410857"/>
    <n v="2.9511264665658965"/>
    <n v="0.87653478096585835"/>
    <n v="0.32714115960673429"/>
    <n v="34"/>
    <x v="0"/>
    <m/>
  </r>
  <r>
    <x v="429"/>
    <d v="2015-08-26T00:00:00"/>
    <n v="66874"/>
    <n v="1864"/>
    <n v="226"/>
    <x v="0"/>
    <x v="0"/>
    <x v="3"/>
    <n v="3.1252803780243443"/>
    <n v="27.873313993480277"/>
    <n v="3.3794897867631666"/>
    <n v="0.87653477167014526"/>
    <n v="0.32714101630662834"/>
    <n v="34"/>
    <x v="0"/>
    <m/>
  </r>
  <r>
    <x v="430"/>
    <d v="2015-09-21T00:00:00"/>
    <n v="65712"/>
    <n v="2441"/>
    <n v="271"/>
    <x v="0"/>
    <x v="9"/>
    <x v="5"/>
    <n v="4.1271000730460186"/>
    <n v="37.14694424153884"/>
    <n v="4.1240564889213536"/>
    <n v="0.87652868858309718"/>
    <n v="0.32706650663908093"/>
    <n v="34"/>
    <x v="0"/>
    <m/>
  </r>
  <r>
    <x v="431"/>
    <d v="2014-06-10T00:00:00"/>
    <n v="65045"/>
    <n v="1965"/>
    <n v="477"/>
    <x v="1"/>
    <x v="4"/>
    <x v="0"/>
    <n v="3.7543239295872088"/>
    <n v="30.209854715965871"/>
    <n v="7.3333845799062187"/>
    <n v="0.87652821604594189"/>
    <n v="0.32706054814649843"/>
    <n v="34"/>
    <x v="0"/>
    <m/>
  </r>
  <r>
    <x v="432"/>
    <d v="2014-07-09T00:00:00"/>
    <n v="65039"/>
    <n v="1798"/>
    <n v="330"/>
    <x v="1"/>
    <x v="3"/>
    <x v="3"/>
    <n v="3.2718830240317347"/>
    <n v="27.644951490644075"/>
    <n v="5.0738787496732725"/>
    <n v="0.87652809758181172"/>
    <n v="0.32705914689474985"/>
    <n v="34"/>
    <x v="0"/>
    <m/>
  </r>
  <r>
    <x v="433"/>
    <d v="2025-05-31T00:00:00"/>
    <n v="899833123"/>
    <n v="8560441"/>
    <n v="22040"/>
    <x v="4"/>
    <x v="6"/>
    <x v="6"/>
    <n v="0.95378584991252879"/>
    <n v="9.5133650686917424"/>
    <n v="2.4493430433544953E-2"/>
    <n v="0.87650087725801096"/>
    <n v="0.32682973415623667"/>
    <n v="35"/>
    <x v="0"/>
    <m/>
  </r>
  <r>
    <x v="434"/>
    <d v="2024-04-30T00:00:00"/>
    <n v="531706665"/>
    <n v="14065500"/>
    <n v="38283"/>
    <x v="9"/>
    <x v="1"/>
    <x v="0"/>
    <n v="2.6525495970602511"/>
    <n v="26.453495744688475"/>
    <n v="7.2000225914038526E-2"/>
    <n v="0.88314294560432682"/>
    <n v="0.33462784897940179"/>
    <n v="35"/>
    <x v="3"/>
    <n v="4.380501191808686"/>
  </r>
  <r>
    <x v="435"/>
    <d v="2023-09-05T00:00:00"/>
    <n v="527154335"/>
    <n v="15642985"/>
    <n v="29577"/>
    <x v="6"/>
    <x v="9"/>
    <x v="0"/>
    <n v="2.9730500082105937"/>
    <n v="29.67439317368034"/>
    <n v="5.6106908425594182E-2"/>
    <n v="0.88208821717709207"/>
    <n v="0.33705447535521643"/>
    <n v="35"/>
    <x v="0"/>
    <m/>
  </r>
  <r>
    <x v="436"/>
    <d v="2025-03-18T00:00:00"/>
    <n v="412890266"/>
    <n v="8957930"/>
    <n v="25775"/>
    <x v="4"/>
    <x v="2"/>
    <x v="0"/>
    <n v="2.1758093468834647"/>
    <n v="21.695667681349502"/>
    <n v="6.2425787485142603E-2"/>
    <n v="0.88092002585360452"/>
    <n v="0.3398705113082312"/>
    <n v="35"/>
    <x v="0"/>
    <m/>
  </r>
  <r>
    <x v="437"/>
    <d v="2022-12-03T00:00:00"/>
    <n v="342989045"/>
    <n v="4938037"/>
    <n v="93054"/>
    <x v="10"/>
    <x v="7"/>
    <x v="6"/>
    <n v="1.4668372279936812"/>
    <n v="14.397069154205786"/>
    <n v="0.27130312573102733"/>
    <n v="0.88064287105437122"/>
    <n v="0.34183874159371275"/>
    <n v="35"/>
    <x v="1"/>
    <n v="2.5118232425242621"/>
  </r>
  <r>
    <x v="438"/>
    <d v="2023-09-02T00:00:00"/>
    <n v="280028059"/>
    <n v="5838742"/>
    <n v="144140"/>
    <x v="6"/>
    <x v="9"/>
    <x v="6"/>
    <n v="2.1365294682844622"/>
    <n v="20.850560550433983"/>
    <n v="0.51473413241063826"/>
    <n v="0.88109960262320186"/>
    <n v="0.34166780701900656"/>
    <n v="35"/>
    <x v="0"/>
    <m/>
  </r>
  <r>
    <x v="439"/>
    <d v="2021-07-10T00:00:00"/>
    <n v="190915303"/>
    <n v="3710444"/>
    <n v="83024"/>
    <x v="12"/>
    <x v="3"/>
    <x v="6"/>
    <n v="1.986990010957896"/>
    <n v="19.435026641106923"/>
    <n v="0.43487346847203762"/>
    <n v="0.88108450244432601"/>
    <n v="0.34084352285511238"/>
    <n v="35"/>
    <x v="1"/>
    <n v="4.7059862263817767"/>
  </r>
  <r>
    <x v="440"/>
    <d v="2020-10-29T00:00:00"/>
    <n v="184488770"/>
    <n v="4270804"/>
    <n v="192695"/>
    <x v="7"/>
    <x v="10"/>
    <x v="2"/>
    <n v="2.4193879117953903"/>
    <n v="23.149398199142418"/>
    <n v="1.044480918811481"/>
    <n v="0.88110132784281536"/>
    <n v="0.3406450609785131"/>
    <n v="35"/>
    <x v="4"/>
    <n v="3.5885057117817989"/>
  </r>
  <r>
    <x v="441"/>
    <d v="2019-02-15T00:00:00"/>
    <n v="139622166"/>
    <n v="2496185"/>
    <n v="68204"/>
    <x v="11"/>
    <x v="5"/>
    <x v="1"/>
    <n v="1.8366632415658126"/>
    <n v="17.878142643912284"/>
    <n v="0.48848977174584152"/>
    <n v="0.88107628932456983"/>
    <n v="0.34005886002223418"/>
    <n v="35"/>
    <x v="0"/>
    <m/>
  </r>
  <r>
    <x v="442"/>
    <d v="2025-03-25T00:00:00"/>
    <n v="115898146"/>
    <n v="2015808"/>
    <n v="10562"/>
    <x v="4"/>
    <x v="2"/>
    <x v="0"/>
    <n v="1.7484058804529972"/>
    <n v="17.392927062008393"/>
    <n v="9.1131742521575798E-2"/>
    <n v="0.88113041083643617"/>
    <n v="0.34004388573060007"/>
    <n v="35"/>
    <x v="3"/>
    <n v="4.2836495587195174"/>
  </r>
  <r>
    <x v="443"/>
    <d v="2026-02-21T00:00:00"/>
    <n v="70103357"/>
    <n v="2387295"/>
    <n v="96244"/>
    <x v="5"/>
    <x v="5"/>
    <x v="6"/>
    <n v="3.5426819859710856"/>
    <n v="34.053932681141077"/>
    <n v="1.3728871785697796"/>
    <n v="0.88116086835999208"/>
    <n v="0.34003996102646389"/>
    <n v="35"/>
    <x v="0"/>
    <m/>
  </r>
  <r>
    <x v="444"/>
    <d v="2018-10-23T00:00:00"/>
    <n v="46533184"/>
    <n v="1206876"/>
    <n v="46300"/>
    <x v="13"/>
    <x v="10"/>
    <x v="0"/>
    <n v="2.6930802757877048"/>
    <n v="25.935813891437132"/>
    <n v="0.99498886643991524"/>
    <n v="0.88123695899063159"/>
    <n v="0.34063136780488407"/>
    <n v="35"/>
    <x v="1"/>
    <n v="2.9030968416520588"/>
  </r>
  <r>
    <x v="445"/>
    <d v="2018-06-28T00:00:00"/>
    <n v="29733665"/>
    <n v="805802"/>
    <n v="43496"/>
    <x v="13"/>
    <x v="4"/>
    <x v="2"/>
    <n v="2.8563515463028186"/>
    <n v="27.10066182557717"/>
    <n v="1.4628536374510173"/>
    <n v="0.88127671218559378"/>
    <n v="0.34098881421668781"/>
    <n v="35"/>
    <x v="0"/>
    <m/>
  </r>
  <r>
    <x v="446"/>
    <d v="2017-08-23T00:00:00"/>
    <n v="23188093"/>
    <n v="699639"/>
    <n v="39556"/>
    <x v="8"/>
    <x v="0"/>
    <x v="3"/>
    <n v="3.1878214392188271"/>
    <n v="30.172338880993792"/>
    <n v="1.7058755111944739"/>
    <n v="0.88130575167095027"/>
    <n v="0.34132862751194964"/>
    <n v="35"/>
    <x v="1"/>
    <n v="2.3467484204212825"/>
  </r>
  <r>
    <x v="447"/>
    <d v="2026-06-12T00:00:00"/>
    <n v="8880900"/>
    <n v="339957"/>
    <n v="19736"/>
    <x v="5"/>
    <x v="4"/>
    <x v="1"/>
    <n v="4.0501863549865442"/>
    <n v="38.279566260176331"/>
    <n v="2.222297289689108"/>
    <n v="0.88133313003042224"/>
    <n v="0.34165574850830149"/>
    <n v="35"/>
    <x v="0"/>
    <m/>
  </r>
  <r>
    <x v="448"/>
    <d v="2017-08-28T00:00:00"/>
    <n v="6141828"/>
    <n v="229294"/>
    <n v="11037"/>
    <x v="8"/>
    <x v="0"/>
    <x v="5"/>
    <n v="3.9130206837443184"/>
    <n v="37.333184843339801"/>
    <n v="1.7970219941033843"/>
    <n v="0.88134846982664328"/>
    <n v="0.34182547519675111"/>
    <n v="35"/>
    <x v="0"/>
    <m/>
  </r>
  <r>
    <x v="449"/>
    <d v="2017-02-18T00:00:00"/>
    <n v="4145145"/>
    <n v="156358"/>
    <n v="19162"/>
    <x v="8"/>
    <x v="5"/>
    <x v="6"/>
    <n v="4.234351271185929"/>
    <n v="37.72075524499143"/>
    <n v="4.6227574668678661"/>
    <n v="0.88135883930509751"/>
    <n v="0.34192139729141574"/>
    <n v="35"/>
    <x v="0"/>
    <m/>
  </r>
  <r>
    <x v="450"/>
    <d v="2016-08-07T00:00:00"/>
    <n v="1942610"/>
    <n v="127408"/>
    <n v="4537"/>
    <x v="2"/>
    <x v="0"/>
    <x v="4"/>
    <n v="6.7921507662371763"/>
    <n v="65.58598998254925"/>
    <n v="2.335517679822507"/>
    <n v="0.88131615792555162"/>
    <n v="0.34182271491269833"/>
    <n v="35"/>
    <x v="0"/>
    <m/>
  </r>
  <r>
    <x v="451"/>
    <d v="2013-04-21T00:00:00"/>
    <n v="674901"/>
    <n v="19736"/>
    <n v="2113"/>
    <x v="3"/>
    <x v="1"/>
    <x v="4"/>
    <n v="3.2373637022318831"/>
    <n v="29.242807463613183"/>
    <n v="3.1308295587056474"/>
    <n v="0.88132218296041953"/>
    <n v="0.3418539088106306"/>
    <n v="35"/>
    <x v="0"/>
    <m/>
  </r>
  <r>
    <x v="452"/>
    <d v="2015-08-03T00:00:00"/>
    <n v="464815"/>
    <n v="10655"/>
    <n v="707"/>
    <x v="0"/>
    <x v="0"/>
    <x v="5"/>
    <n v="2.4444133687596139"/>
    <n v="22.923098437012573"/>
    <n v="1.5210352505835654"/>
    <n v="0.88132268884521814"/>
    <n v="0.34186557687390129"/>
    <n v="35"/>
    <x v="0"/>
    <m/>
  </r>
  <r>
    <x v="453"/>
    <d v="2014-11-23T00:00:00"/>
    <n v="333226"/>
    <n v="17096"/>
    <n v="942"/>
    <x v="1"/>
    <x v="11"/>
    <x v="4"/>
    <n v="5.4131430320563219"/>
    <n v="51.304520055457857"/>
    <n v="2.8269102651053641"/>
    <n v="0.88132307454118641"/>
    <n v="0.34186958219181401"/>
    <n v="35"/>
    <x v="0"/>
    <m/>
  </r>
  <r>
    <x v="454"/>
    <d v="2015-08-20T00:00:00"/>
    <n v="237147"/>
    <n v="11629"/>
    <n v="752"/>
    <x v="0"/>
    <x v="0"/>
    <x v="2"/>
    <n v="5.220812407494086"/>
    <n v="49.037095135084989"/>
    <n v="3.1710289398558702"/>
    <n v="0.88109367115721948"/>
    <n v="0.34231389600600565"/>
    <n v="35"/>
    <x v="0"/>
    <m/>
  </r>
  <r>
    <x v="455"/>
    <d v="2013-04-05T00:00:00"/>
    <n v="211323"/>
    <n v="9284"/>
    <n v="1744"/>
    <x v="3"/>
    <x v="1"/>
    <x v="1"/>
    <n v="5.2185516957453757"/>
    <n v="43.932747500272093"/>
    <n v="8.2527694571816603"/>
    <n v="0.88109412368288809"/>
    <n v="0.34231856168503039"/>
    <n v="35"/>
    <x v="0"/>
    <m/>
  </r>
  <r>
    <x v="456"/>
    <d v="2015-09-13T00:00:00"/>
    <n v="186238"/>
    <n v="6425"/>
    <n v="650"/>
    <x v="0"/>
    <x v="9"/>
    <x v="4"/>
    <n v="3.7989024796228481"/>
    <n v="34.498867041097945"/>
    <n v="3.4901577551305318"/>
    <n v="0.8810944931250192"/>
    <n v="0.3423298389451831"/>
    <n v="35"/>
    <x v="0"/>
    <m/>
  </r>
  <r>
    <x v="457"/>
    <d v="2013-08-16T00:00:00"/>
    <n v="147116"/>
    <n v="3963"/>
    <n v="461"/>
    <x v="3"/>
    <x v="0"/>
    <x v="1"/>
    <n v="3.0071508197612768"/>
    <n v="26.937926534163516"/>
    <n v="3.133581663449251"/>
    <n v="0.88109473465965138"/>
    <n v="0.3423337499811121"/>
    <n v="35"/>
    <x v="0"/>
    <m/>
  </r>
  <r>
    <x v="458"/>
    <d v="2014-06-02T00:00:00"/>
    <n v="121901"/>
    <n v="2527"/>
    <n v="361"/>
    <x v="1"/>
    <x v="4"/>
    <x v="5"/>
    <n v="2.369135610044216"/>
    <n v="20.729936587886893"/>
    <n v="2.96141951255527"/>
    <n v="0.88109451483504919"/>
    <n v="0.34233031248095985"/>
    <n v="35"/>
    <x v="0"/>
    <m/>
  </r>
  <r>
    <x v="459"/>
    <d v="2015-01-01T00:00:00"/>
    <n v="96287"/>
    <n v="1686"/>
    <n v="216"/>
    <x v="0"/>
    <x v="8"/>
    <x v="2"/>
    <n v="1.975344542877024"/>
    <n v="17.510151941591285"/>
    <n v="2.2432934871789545"/>
    <n v="0.88109405862336543"/>
    <n v="0.34231298882097871"/>
    <n v="35"/>
    <x v="0"/>
    <m/>
  </r>
  <r>
    <x v="460"/>
    <d v="2014-04-24T00:00:00"/>
    <n v="91369"/>
    <n v="1810"/>
    <n v="272"/>
    <x v="1"/>
    <x v="1"/>
    <x v="2"/>
    <n v="2.2786721973535884"/>
    <n v="19.809782311287197"/>
    <n v="2.9769396622486841"/>
    <n v="0.8810938970826423"/>
    <n v="0.34231104450027866"/>
    <n v="35"/>
    <x v="3"/>
    <n v="3.1392754858554257"/>
  </r>
  <r>
    <x v="461"/>
    <d v="2014-11-30T00:00:00"/>
    <n v="83768"/>
    <n v="1857"/>
    <n v="290"/>
    <x v="1"/>
    <x v="11"/>
    <x v="4"/>
    <n v="2.5630312291089674"/>
    <n v="22.168369783210775"/>
    <n v="3.4619425078789039"/>
    <n v="0.88109389956265571"/>
    <n v="0.34231113017562176"/>
    <n v="35"/>
    <x v="0"/>
    <m/>
  </r>
  <r>
    <x v="462"/>
    <d v="2015-11-18T00:00:00"/>
    <n v="82066"/>
    <n v="2560"/>
    <n v="404"/>
    <x v="0"/>
    <x v="11"/>
    <x v="3"/>
    <n v="3.6117271464431071"/>
    <n v="31.194404503692148"/>
    <n v="4.9228669607389177"/>
    <n v="0.88107557465034381"/>
    <n v="0.34215941335391808"/>
    <n v="35"/>
    <x v="0"/>
    <m/>
  </r>
  <r>
    <x v="463"/>
    <d v="2015-06-18T00:00:00"/>
    <n v="65051"/>
    <n v="1921"/>
    <n v="491"/>
    <x v="0"/>
    <x v="4"/>
    <x v="2"/>
    <n v="3.7078599867796038"/>
    <n v="29.530675931192448"/>
    <n v="7.5479239366035875"/>
    <n v="0.8810755180115144"/>
    <n v="0.3421576948938308"/>
    <n v="35"/>
    <x v="0"/>
    <m/>
  </r>
  <r>
    <x v="464"/>
    <d v="2024-11-08T00:00:00"/>
    <n v="816189699"/>
    <n v="14239088"/>
    <n v="22167"/>
    <x v="9"/>
    <x v="11"/>
    <x v="1"/>
    <n v="1.7472966171311604"/>
    <n v="17.4458070439333"/>
    <n v="2.7159127378303265E-2"/>
    <n v="0.88107554703525992"/>
    <n v="0.34215945427452565"/>
    <n v="36"/>
    <x v="0"/>
    <m/>
  </r>
  <r>
    <x v="465"/>
    <d v="2024-06-15T00:00:00"/>
    <n v="435083886"/>
    <n v="6876080"/>
    <n v="139132"/>
    <x v="9"/>
    <x v="4"/>
    <x v="6"/>
    <n v="1.6123814799245402"/>
    <n v="15.804032788288556"/>
    <n v="0.31978201095684794"/>
    <n v="0.88119882899263646"/>
    <n v="0.34903601603870232"/>
    <n v="36"/>
    <x v="0"/>
    <m/>
  </r>
  <r>
    <x v="466"/>
    <d v="2021-04-10T00:00:00"/>
    <n v="406183182"/>
    <n v="5789027"/>
    <n v="139930"/>
    <x v="12"/>
    <x v="1"/>
    <x v="6"/>
    <n v="1.4596756494955028"/>
    <n v="14.252256756410954"/>
    <n v="0.34449973854407395"/>
    <n v="0.88166341063678966"/>
    <n v="0.34750374088523878"/>
    <n v="36"/>
    <x v="1"/>
    <n v="2.7080427249688839"/>
  </r>
  <r>
    <x v="467"/>
    <d v="2020-07-23T00:00:00"/>
    <n v="283574603"/>
    <n v="5008501"/>
    <n v="206942"/>
    <x v="7"/>
    <x v="3"/>
    <x v="2"/>
    <n v="1.8391784542143925"/>
    <n v="17.662022434357425"/>
    <n v="0.72976210778650019"/>
    <n v="0.88230978314748543"/>
    <n v="0.34577948148000964"/>
    <n v="36"/>
    <x v="0"/>
    <m/>
  </r>
  <r>
    <x v="468"/>
    <d v="2022-11-12T00:00:00"/>
    <n v="249317506"/>
    <n v="4963758"/>
    <n v="99710"/>
    <x v="10"/>
    <x v="11"/>
    <x v="6"/>
    <n v="2.0309315945106556"/>
    <n v="19.909384140879379"/>
    <n v="0.39993180422717689"/>
    <n v="0.88245217120385888"/>
    <n v="0.34417831515650682"/>
    <n v="36"/>
    <x v="0"/>
    <m/>
  </r>
  <r>
    <x v="469"/>
    <d v="2022-04-09T00:00:00"/>
    <n v="248180619"/>
    <n v="5641303"/>
    <n v="127489"/>
    <x v="10"/>
    <x v="1"/>
    <x v="6"/>
    <n v="2.3244329163350184"/>
    <n v="22.730634739854523"/>
    <n v="0.51369442349565586"/>
    <n v="0.88249417755542447"/>
    <n v="0.34396425940312053"/>
    <n v="36"/>
    <x v="1"/>
    <n v="5.7146170497886821"/>
  </r>
  <r>
    <x v="470"/>
    <d v="2025-12-19T00:00:00"/>
    <n v="245032170"/>
    <n v="4495285"/>
    <n v="15625"/>
    <x v="4"/>
    <x v="7"/>
    <x v="1"/>
    <n v="1.8409460276175165"/>
    <n v="18.345693138986608"/>
    <n v="6.3767137188557727E-2"/>
    <n v="0.88245390401260115"/>
    <n v="0.34342397795709562"/>
    <n v="36"/>
    <x v="1"/>
    <n v="2.2060400669211959"/>
  </r>
  <r>
    <x v="471"/>
    <d v="2021-04-24T00:00:00"/>
    <n v="240172906"/>
    <n v="4378440"/>
    <n v="119834"/>
    <x v="12"/>
    <x v="1"/>
    <x v="6"/>
    <n v="1.8729314954452021"/>
    <n v="18.230366084674017"/>
    <n v="0.49894886977800901"/>
    <n v="0.882553578845369"/>
    <n v="0.34446335325798522"/>
    <n v="36"/>
    <x v="0"/>
    <m/>
  </r>
  <r>
    <x v="472"/>
    <d v="2025-09-19T00:00:00"/>
    <n v="199258935"/>
    <n v="3703043"/>
    <n v="11170"/>
    <x v="4"/>
    <x v="9"/>
    <x v="1"/>
    <n v="1.8640132749881455"/>
    <n v="18.584075037839582"/>
    <n v="5.6057712041871544E-2"/>
    <n v="0.88265686326253245"/>
    <n v="0.34403970350832241"/>
    <n v="36"/>
    <x v="0"/>
    <m/>
  </r>
  <r>
    <x v="473"/>
    <d v="2019-08-02T00:00:00"/>
    <n v="199179185"/>
    <n v="4037852"/>
    <n v="100250"/>
    <x v="11"/>
    <x v="0"/>
    <x v="1"/>
    <n v="2.0775775340179248"/>
    <n v="20.272459695022853"/>
    <n v="0.50331564515639526"/>
    <n v="0.88274240285826466"/>
    <n v="0.34487253793798817"/>
    <n v="36"/>
    <x v="0"/>
    <m/>
  </r>
  <r>
    <x v="474"/>
    <d v="2024-10-12T00:00:00"/>
    <n v="182385748"/>
    <n v="3789208"/>
    <n v="35386"/>
    <x v="9"/>
    <x v="10"/>
    <x v="6"/>
    <n v="2.096980735578089"/>
    <n v="20.775790003065371"/>
    <n v="0.19401735271552031"/>
    <n v="0.88279117450234545"/>
    <n v="0.34479220569632718"/>
    <n v="36"/>
    <x v="2"/>
    <n v="2.9549734252955528"/>
  </r>
  <r>
    <x v="475"/>
    <d v="2025-08-30T00:00:00"/>
    <n v="177553714"/>
    <n v="3001984"/>
    <n v="38785"/>
    <x v="4"/>
    <x v="0"/>
    <x v="6"/>
    <n v="1.7125910416044579"/>
    <n v="16.907469477095816"/>
    <n v="0.21844093894876226"/>
    <n v="0.88283609446998113"/>
    <n v="0.34526939821659486"/>
    <n v="36"/>
    <x v="1"/>
    <n v="2.6157057510976753"/>
  </r>
  <r>
    <x v="476"/>
    <d v="2019-12-05T00:00:00"/>
    <n v="165200624"/>
    <n v="4444432"/>
    <n v="105591"/>
    <x v="11"/>
    <x v="7"/>
    <x v="2"/>
    <n v="2.7542408072260067"/>
    <n v="26.90323978437273"/>
    <n v="0.6391682878873387"/>
    <n v="0.88294951484822948"/>
    <n v="0.34569645636984564"/>
    <n v="36"/>
    <x v="0"/>
    <m/>
  </r>
  <r>
    <x v="477"/>
    <d v="2019-10-19T00:00:00"/>
    <n v="137745520"/>
    <n v="2158861"/>
    <n v="57046"/>
    <x v="11"/>
    <x v="10"/>
    <x v="6"/>
    <n v="1.6086962392678907"/>
    <n v="15.672821881974819"/>
    <n v="0.41414051070408681"/>
    <n v="0.88296175625247575"/>
    <n v="0.3457283789517081"/>
    <n v="36"/>
    <x v="0"/>
    <m/>
  </r>
  <r>
    <x v="478"/>
    <d v="2026-01-07T00:00:00"/>
    <n v="128893992"/>
    <n v="2660932"/>
    <n v="119334"/>
    <x v="5"/>
    <x v="8"/>
    <x v="3"/>
    <n v="2.1570175280163562"/>
    <n v="20.644344695290375"/>
    <n v="0.92583058487318781"/>
    <n v="0.88305522153924199"/>
    <n v="0.34589257516684196"/>
    <n v="36"/>
    <x v="1"/>
    <n v="3.7543239295872088"/>
  </r>
  <r>
    <x v="479"/>
    <d v="2021-02-13T00:00:00"/>
    <n v="57590296"/>
    <n v="3026180"/>
    <n v="142875"/>
    <x v="12"/>
    <x v="5"/>
    <x v="6"/>
    <n v="5.5027586592018904"/>
    <n v="52.546699881521704"/>
    <n v="2.4808867104971992"/>
    <n v="0.88309377827743862"/>
    <n v="0.3459340700212501"/>
    <n v="36"/>
    <x v="1"/>
    <n v="3.2718830240317347"/>
  </r>
  <r>
    <x v="480"/>
    <d v="2018-03-17T00:00:00"/>
    <n v="54429329"/>
    <n v="1400787"/>
    <n v="74133"/>
    <x v="13"/>
    <x v="2"/>
    <x v="6"/>
    <n v="2.7097890550882964"/>
    <n v="25.73588588608175"/>
    <n v="1.3620046648012141"/>
    <n v="0.88324865824274401"/>
    <n v="0.34694494133012388"/>
    <n v="36"/>
    <x v="0"/>
    <m/>
  </r>
  <r>
    <x v="481"/>
    <d v="2018-12-23T00:00:00"/>
    <n v="31598205"/>
    <n v="1021295"/>
    <n v="69750"/>
    <x v="13"/>
    <x v="7"/>
    <x v="4"/>
    <n v="3.4528701867716851"/>
    <n v="32.321297997781834"/>
    <n v="2.2074038699350171"/>
    <n v="0.88324291596071824"/>
    <n v="0.34712375623359748"/>
    <n v="36"/>
    <x v="1"/>
    <n v="2.6525495970602511"/>
  </r>
  <r>
    <x v="482"/>
    <d v="2017-03-24T00:00:00"/>
    <n v="26316374"/>
    <n v="518973"/>
    <n v="17863"/>
    <x v="8"/>
    <x v="2"/>
    <x v="1"/>
    <n v="2.0399314890417655"/>
    <n v="19.720535967455092"/>
    <n v="0.67877892296256315"/>
    <n v="0.88323406867711152"/>
    <n v="0.34736149904157859"/>
    <n v="36"/>
    <x v="0"/>
    <m/>
  </r>
  <r>
    <x v="483"/>
    <d v="2018-11-04T00:00:00"/>
    <n v="18672838"/>
    <n v="511578"/>
    <n v="24959"/>
    <x v="13"/>
    <x v="11"/>
    <x v="4"/>
    <n v="2.8733554053218908"/>
    <n v="27.396906672676106"/>
    <n v="1.336647380542797"/>
    <n v="0.88320647979974798"/>
    <n v="0.34723444492186584"/>
    <n v="36"/>
    <x v="1"/>
    <n v="2.1758093468834647"/>
  </r>
  <r>
    <x v="484"/>
    <d v="2017-06-15T00:00:00"/>
    <n v="11419949"/>
    <n v="565448"/>
    <n v="33666"/>
    <x v="8"/>
    <x v="4"/>
    <x v="2"/>
    <n v="5.2462055653663606"/>
    <n v="49.514056498851268"/>
    <n v="2.9479991548123374"/>
    <n v="0.88317977063010467"/>
    <n v="0.34714388677828778"/>
    <n v="36"/>
    <x v="1"/>
    <n v="1.4668372279936812"/>
  </r>
  <r>
    <x v="485"/>
    <d v="2013-01-13T00:00:00"/>
    <n v="1377198"/>
    <n v="46596"/>
    <n v="4053"/>
    <x v="3"/>
    <x v="8"/>
    <x v="4"/>
    <n v="3.6776846902188352"/>
    <n v="33.833914949048719"/>
    <n v="2.9429319531396354"/>
    <n v="0.88316022923514392"/>
    <n v="0.34711978407284133"/>
    <n v="36"/>
    <x v="0"/>
    <m/>
  </r>
  <r>
    <x v="486"/>
    <d v="2017-03-07T00:00:00"/>
    <n v="580420"/>
    <n v="19886"/>
    <n v="3561"/>
    <x v="8"/>
    <x v="2"/>
    <x v="0"/>
    <n v="4.039660935184866"/>
    <n v="34.261396919472112"/>
    <n v="6.1352124323765551"/>
    <n v="0.8831162540990023"/>
    <n v="0.34685118638039758"/>
    <n v="36"/>
    <x v="0"/>
    <m/>
  </r>
  <r>
    <x v="487"/>
    <d v="2015-06-11T00:00:00"/>
    <n v="298238"/>
    <n v="8317"/>
    <n v="571"/>
    <x v="0"/>
    <x v="4"/>
    <x v="2"/>
    <n v="2.9801701996392143"/>
    <n v="27.88712370656992"/>
    <n v="1.9145782898222226"/>
    <n v="0.88307091321226361"/>
    <n v="0.34657559593107562"/>
    <n v="36"/>
    <x v="0"/>
    <m/>
  </r>
  <r>
    <x v="488"/>
    <d v="2016-01-24T00:00:00"/>
    <n v="235239"/>
    <n v="4739"/>
    <n v="293"/>
    <x v="2"/>
    <x v="8"/>
    <x v="4"/>
    <n v="2.1391010844290275"/>
    <n v="20.145469076131082"/>
    <n v="1.2455417681591914"/>
    <n v="0.88302483075077509"/>
    <n v="0.34627564822357437"/>
    <n v="36"/>
    <x v="0"/>
    <m/>
  </r>
  <r>
    <x v="489"/>
    <d v="2016-06-14T00:00:00"/>
    <n v="193433"/>
    <n v="6166"/>
    <n v="1364"/>
    <x v="2"/>
    <x v="4"/>
    <x v="0"/>
    <n v="3.8928207699823711"/>
    <n v="31.876670475048204"/>
    <n v="7.0515372247755037"/>
    <n v="0.88297835512576939"/>
    <n v="0.34597196790035506"/>
    <n v="36"/>
    <x v="0"/>
    <m/>
  </r>
  <r>
    <x v="490"/>
    <d v="2016-05-24T00:00:00"/>
    <n v="171289"/>
    <n v="6608"/>
    <n v="526"/>
    <x v="2"/>
    <x v="6"/>
    <x v="0"/>
    <n v="4.1648909153535838"/>
    <n v="38.578075649924976"/>
    <n v="3.0708335036108565"/>
    <n v="0.88293173844281003"/>
    <n v="0.34567458452022942"/>
    <n v="36"/>
    <x v="0"/>
    <m/>
  </r>
  <r>
    <x v="491"/>
    <d v="2015-07-06T00:00:00"/>
    <n v="165815"/>
    <n v="3394"/>
    <n v="657"/>
    <x v="0"/>
    <x v="3"/>
    <x v="5"/>
    <n v="2.4430841600578961"/>
    <n v="20.468594517986915"/>
    <n v="3.9622470825920457"/>
    <n v="0.88288492288205689"/>
    <n v="0.34536939904852876"/>
    <n v="36"/>
    <x v="0"/>
    <m/>
  </r>
  <r>
    <x v="492"/>
    <d v="2014-03-29T00:00:00"/>
    <n v="100267"/>
    <n v="2083"/>
    <n v="313"/>
    <x v="1"/>
    <x v="2"/>
    <x v="6"/>
    <n v="2.3896197153599887"/>
    <n v="20.774531999561173"/>
    <n v="3.1216651540387166"/>
    <n v="0.88283771011087431"/>
    <n v="0.34506363029728648"/>
    <n v="36"/>
    <x v="0"/>
    <m/>
  </r>
  <r>
    <x v="493"/>
    <d v="2015-06-22T00:00:00"/>
    <n v="78519"/>
    <n v="1756"/>
    <n v="171"/>
    <x v="0"/>
    <x v="4"/>
    <x v="5"/>
    <n v="2.4541830639717777"/>
    <n v="22.36401380557572"/>
    <n v="2.177816834142055"/>
    <n v="0.88279021413332237"/>
    <n v="0.34475355306164546"/>
    <n v="36"/>
    <x v="0"/>
    <m/>
  </r>
  <r>
    <x v="494"/>
    <d v="2014-05-24T00:00:00"/>
    <n v="66455"/>
    <n v="1911"/>
    <n v="393"/>
    <x v="1"/>
    <x v="6"/>
    <x v="6"/>
    <n v="3.467007749604996"/>
    <n v="28.756301256489351"/>
    <n v="5.9137762395606046"/>
    <n v="0.88274247247162241"/>
    <n v="0.34444077243257781"/>
    <n v="36"/>
    <x v="0"/>
    <m/>
  </r>
  <r>
    <x v="495"/>
    <d v="2015-05-03T00:00:00"/>
    <n v="65223"/>
    <n v="1668"/>
    <n v="340"/>
    <x v="0"/>
    <x v="6"/>
    <x v="4"/>
    <n v="3.0786685678364996"/>
    <n v="25.573800653143827"/>
    <n v="5.2128850252211638"/>
    <n v="0.88269450611514466"/>
    <n v="0.34412802600418974"/>
    <n v="36"/>
    <x v="0"/>
    <m/>
  </r>
  <r>
    <x v="496"/>
    <d v="2015-07-29T00:00:00"/>
    <n v="65067"/>
    <n v="1746"/>
    <n v="428"/>
    <x v="0"/>
    <x v="3"/>
    <x v="3"/>
    <n v="3.341171407933361"/>
    <n v="26.83387892480059"/>
    <n v="6.5778351545330196"/>
    <n v="0.88264628917768373"/>
    <n v="0.34381327755390068"/>
    <n v="36"/>
    <x v="0"/>
    <m/>
  </r>
  <r>
    <x v="497"/>
    <d v="2015-06-23T00:00:00"/>
    <n v="65052"/>
    <n v="1622"/>
    <n v="264"/>
    <x v="0"/>
    <x v="4"/>
    <x v="0"/>
    <n v="2.8992190862694458"/>
    <n v="24.933899034618459"/>
    <n v="4.0582918280760003"/>
    <n v="0.88259783658821678"/>
    <n v="0.34349757992296764"/>
    <n v="36"/>
    <x v="3"/>
    <n v="6.7921507662371763"/>
  </r>
  <r>
    <x v="498"/>
    <d v="2014-06-21T00:00:00"/>
    <n v="65046"/>
    <n v="1900"/>
    <n v="406"/>
    <x v="1"/>
    <x v="4"/>
    <x v="6"/>
    <n v="3.545183408664637"/>
    <n v="29.210097469483134"/>
    <n v="6.2417366171632382"/>
    <n v="0.88254913574444693"/>
    <n v="0.34317901720826749"/>
    <n v="36"/>
    <x v="0"/>
    <m/>
  </r>
  <r>
    <x v="499"/>
    <d v="2023-08-17T00:00:00"/>
    <n v="600816252"/>
    <n v="21408214"/>
    <n v="40536"/>
    <x v="6"/>
    <x v="0"/>
    <x v="2"/>
    <n v="3.569935055618302"/>
    <n v="35.631882341291927"/>
    <n v="6.7468214891097847E-2"/>
    <n v="0.8825002063420857"/>
    <n v="0.3428598913588109"/>
    <n v="37"/>
    <x v="0"/>
    <m/>
  </r>
  <r>
    <x v="500"/>
    <d v="2024-04-20T00:00:00"/>
    <n v="326556913"/>
    <n v="6326021"/>
    <n v="218939"/>
    <x v="9"/>
    <x v="1"/>
    <x v="6"/>
    <n v="2.0042325669583971"/>
    <n v="19.371878983924617"/>
    <n v="0.67044668565935395"/>
    <n v="0.8808977022693727"/>
    <n v="0.34570273160384457"/>
    <n v="37"/>
    <x v="1"/>
    <n v="5.4131430320563219"/>
  </r>
  <r>
    <x v="501"/>
    <d v="2022-01-29T00:00:00"/>
    <n v="291313835"/>
    <n v="5566363"/>
    <n v="129469"/>
    <x v="10"/>
    <x v="8"/>
    <x v="6"/>
    <n v="1.955221934447432"/>
    <n v="19.107787997779095"/>
    <n v="0.44443134669522305"/>
    <n v="0.88086817250260563"/>
    <n v="0.34294818248697423"/>
    <n v="37"/>
    <x v="0"/>
    <m/>
  </r>
  <r>
    <x v="502"/>
    <d v="2022-08-04T00:00:00"/>
    <n v="262186052"/>
    <n v="7174090"/>
    <n v="224596"/>
    <x v="10"/>
    <x v="0"/>
    <x v="2"/>
    <n v="2.8219220448843707"/>
    <n v="27.362592118363338"/>
    <n v="0.85662833048037201"/>
    <n v="0.88087413432756212"/>
    <n v="0.3417886116149168"/>
    <n v="37"/>
    <x v="0"/>
    <m/>
  </r>
  <r>
    <x v="503"/>
    <d v="2020-04-11T00:00:00"/>
    <n v="230048313"/>
    <n v="3427791"/>
    <n v="79111"/>
    <x v="7"/>
    <x v="1"/>
    <x v="6"/>
    <n v="1.5244197856821493"/>
    <n v="14.900309223306497"/>
    <n v="0.3438886335149956"/>
    <n v="0.88067455574533049"/>
    <n v="0.33992367335847734"/>
    <n v="37"/>
    <x v="0"/>
    <m/>
  </r>
  <r>
    <x v="504"/>
    <d v="2025-04-26T00:00:00"/>
    <n v="212879003"/>
    <n v="3278766"/>
    <n v="43698"/>
    <x v="4"/>
    <x v="1"/>
    <x v="6"/>
    <n v="1.5607288427595651"/>
    <n v="15.402016891257237"/>
    <n v="0.20527153633841475"/>
    <n v="0.88086472197291243"/>
    <n v="0.33964230344434465"/>
    <n v="37"/>
    <x v="1"/>
    <n v="3.0071508197612768"/>
  </r>
  <r>
    <x v="505"/>
    <d v="2025-01-25T00:00:00"/>
    <n v="173301150"/>
    <n v="3229296"/>
    <n v="77921"/>
    <x v="4"/>
    <x v="8"/>
    <x v="6"/>
    <n v="1.9083641395339845"/>
    <n v="18.634013680809389"/>
    <n v="0.44962771453045752"/>
    <n v="0.88101044296472486"/>
    <n v="0.33979576358462227"/>
    <n v="37"/>
    <x v="0"/>
    <m/>
  </r>
  <r>
    <x v="506"/>
    <d v="2019-11-14T00:00:00"/>
    <n v="170316042"/>
    <n v="3170562"/>
    <n v="56574"/>
    <x v="11"/>
    <x v="11"/>
    <x v="2"/>
    <n v="1.8947927406626794"/>
    <n v="18.615756700123409"/>
    <n v="0.33217070650338387"/>
    <n v="0.88104281883778035"/>
    <n v="0.33961335292534106"/>
    <n v="37"/>
    <x v="1"/>
    <n v="1.975344542877024"/>
  </r>
  <r>
    <x v="507"/>
    <d v="2024-04-27T00:00:00"/>
    <n v="168988724"/>
    <n v="4174832"/>
    <n v="76733"/>
    <x v="9"/>
    <x v="1"/>
    <x v="6"/>
    <n v="2.515886799642324"/>
    <n v="24.704796279780183"/>
    <n v="0.4540717166430584"/>
    <n v="0.8810750500536102"/>
    <n v="0.33957814641002948"/>
    <n v="37"/>
    <x v="0"/>
    <m/>
  </r>
  <r>
    <x v="508"/>
    <d v="2026-01-24T00:00:00"/>
    <n v="153266977"/>
    <n v="3150143"/>
    <n v="90178"/>
    <x v="5"/>
    <x v="8"/>
    <x v="6"/>
    <n v="2.1141677505650809"/>
    <n v="20.553305491240948"/>
    <n v="0.58837201440986209"/>
    <n v="0.88104172888426768"/>
    <n v="0.33941045374138401"/>
    <n v="37"/>
    <x v="1"/>
    <n v="2.5630312291089674"/>
  </r>
  <r>
    <x v="509"/>
    <d v="2025-09-27T00:00:00"/>
    <n v="140950343"/>
    <n v="2326252"/>
    <n v="32428"/>
    <x v="4"/>
    <x v="9"/>
    <x v="6"/>
    <n v="1.6734120327752591"/>
    <n v="16.504053487830106"/>
    <n v="0.2300668399224825"/>
    <n v="0.88104810656945864"/>
    <n v="0.33922764817064061"/>
    <n v="37"/>
    <x v="1"/>
    <n v="3.6117271464431071"/>
  </r>
  <r>
    <x v="510"/>
    <d v="2025-11-08T00:00:00"/>
    <n v="122228146"/>
    <n v="2001300"/>
    <n v="85073"/>
    <x v="4"/>
    <x v="11"/>
    <x v="6"/>
    <n v="1.7069497233476814"/>
    <n v="16.373479149393301"/>
    <n v="0.69601808408351373"/>
    <n v="0.88109729570251116"/>
    <n v="0.33931495679627266"/>
    <n v="37"/>
    <x v="0"/>
    <m/>
  </r>
  <r>
    <x v="511"/>
    <d v="2025-08-08T00:00:00"/>
    <n v="108871368"/>
    <n v="2930453"/>
    <n v="12784"/>
    <x v="4"/>
    <x v="0"/>
    <x v="1"/>
    <n v="2.7034077499604856"/>
    <n v="26.916654523896494"/>
    <n v="0.11742297570836072"/>
    <n v="0.88113372752635777"/>
    <n v="0.33926057026184508"/>
    <n v="37"/>
    <x v="0"/>
    <m/>
  </r>
  <r>
    <x v="512"/>
    <d v="2019-01-08T00:00:00"/>
    <n v="103355756"/>
    <n v="1688404"/>
    <n v="44314"/>
    <x v="11"/>
    <x v="8"/>
    <x v="0"/>
    <n v="1.6764600899440958"/>
    <n v="16.335848774595583"/>
    <n v="0.42875212484537384"/>
    <n v="0.88113408492067335"/>
    <n v="0.33934417038393794"/>
    <n v="37"/>
    <x v="0"/>
    <m/>
  </r>
  <r>
    <x v="513"/>
    <d v="2019-06-15T00:00:00"/>
    <n v="98863805"/>
    <n v="2398356"/>
    <n v="76093"/>
    <x v="11"/>
    <x v="4"/>
    <x v="6"/>
    <n v="2.502886673236985"/>
    <n v="24.259191723401702"/>
    <n v="0.76967500896814556"/>
    <n v="0.88115649173837429"/>
    <n v="0.33934512973540415"/>
    <n v="37"/>
    <x v="0"/>
    <m/>
  </r>
  <r>
    <x v="514"/>
    <d v="2018-07-14T00:00:00"/>
    <n v="98810884"/>
    <n v="2141601"/>
    <n v="59212"/>
    <x v="13"/>
    <x v="3"/>
    <x v="6"/>
    <n v="2.2272981587736833"/>
    <n v="21.673735860919937"/>
    <n v="0.59924572681689603"/>
    <n v="0.88115642377484726"/>
    <n v="0.33936850303950966"/>
    <n v="37"/>
    <x v="1"/>
    <n v="1.8391784542143925"/>
  </r>
  <r>
    <x v="515"/>
    <d v="2019-09-28T00:00:00"/>
    <n v="67724015"/>
    <n v="1919649"/>
    <n v="42438"/>
    <x v="11"/>
    <x v="9"/>
    <x v="6"/>
    <n v="2.8971805643832544"/>
    <n v="28.345174160155743"/>
    <n v="0.6266314836768021"/>
    <n v="0.88115821558092156"/>
    <n v="0.33937094515970873"/>
    <n v="37"/>
    <x v="1"/>
    <n v="2.0309315945106556"/>
  </r>
  <r>
    <x v="516"/>
    <d v="2026-04-29T00:00:00"/>
    <n v="63292424"/>
    <n v="1337947"/>
    <n v="11721"/>
    <x v="5"/>
    <x v="1"/>
    <x v="3"/>
    <n v="2.1324321533332329"/>
    <n v="21.139133492501408"/>
    <n v="0.18518804083092158"/>
    <n v="0.88116184268157038"/>
    <n v="0.33937221935360062"/>
    <n v="37"/>
    <x v="1"/>
    <n v="2.3244329163350184"/>
  </r>
  <r>
    <x v="517"/>
    <d v="2019-01-26T00:00:00"/>
    <n v="41793126"/>
    <n v="1141807"/>
    <n v="82116"/>
    <x v="11"/>
    <x v="8"/>
    <x v="6"/>
    <n v="2.9285270501182419"/>
    <n v="27.320449779229243"/>
    <n v="1.9648207219531746"/>
    <n v="0.88115420228271257"/>
    <n v="0.33930221860062143"/>
    <n v="37"/>
    <x v="0"/>
    <m/>
  </r>
  <r>
    <x v="518"/>
    <d v="2018-07-27T00:00:00"/>
    <n v="37483476"/>
    <n v="620884"/>
    <n v="17382"/>
    <x v="13"/>
    <x v="3"/>
    <x v="1"/>
    <n v="1.702792985367739"/>
    <n v="16.564205518186199"/>
    <n v="0.4637243354911908"/>
    <n v="0.88114386781690845"/>
    <n v="0.33960476853683152"/>
    <n v="37"/>
    <x v="0"/>
    <m/>
  </r>
  <r>
    <x v="519"/>
    <d v="2017-06-13T00:00:00"/>
    <n v="19795208"/>
    <n v="496278"/>
    <n v="15019"/>
    <x v="8"/>
    <x v="4"/>
    <x v="0"/>
    <n v="2.5829332028236331"/>
    <n v="25.070613049380437"/>
    <n v="0.7587189788558929"/>
    <n v="0.88111952661412485"/>
    <n v="0.33948868155607331"/>
    <n v="37"/>
    <x v="0"/>
    <m/>
  </r>
  <r>
    <x v="520"/>
    <d v="2018-03-01T00:00:00"/>
    <n v="18466743"/>
    <n v="427489"/>
    <n v="28286"/>
    <x v="13"/>
    <x v="2"/>
    <x v="2"/>
    <n v="2.4680854658561069"/>
    <n v="23.149128138080442"/>
    <n v="1.5317265204806283"/>
    <n v="0.88108991600851305"/>
    <n v="0.33932736091244192"/>
    <n v="37"/>
    <x v="0"/>
    <m/>
  </r>
  <r>
    <x v="521"/>
    <d v="2016-11-28T00:00:00"/>
    <n v="2538665"/>
    <n v="183051"/>
    <n v="12276"/>
    <x v="2"/>
    <x v="11"/>
    <x v="5"/>
    <n v="7.6940833075651973"/>
    <n v="72.105220657313978"/>
    <n v="4.8356124183379841"/>
    <n v="0.88105749248942522"/>
    <n v="0.33925607608085823"/>
    <n v="37"/>
    <x v="0"/>
    <m/>
  </r>
  <r>
    <x v="522"/>
    <d v="2015-09-13T00:00:00"/>
    <n v="1767687"/>
    <n v="33698"/>
    <n v="2766"/>
    <x v="0"/>
    <x v="9"/>
    <x v="4"/>
    <n v="2.062808630713469"/>
    <n v="19.063329650554653"/>
    <n v="1.5647566565800393"/>
    <n v="0.8810178399147216"/>
    <n v="0.33904358794946066"/>
    <n v="37"/>
    <x v="0"/>
    <m/>
  </r>
  <r>
    <x v="523"/>
    <d v="2015-09-25T00:00:00"/>
    <n v="1382226"/>
    <n v="72034"/>
    <n v="3992"/>
    <x v="0"/>
    <x v="9"/>
    <x v="1"/>
    <n v="5.5002582790368582"/>
    <n v="52.114487789985141"/>
    <n v="2.8880950003834398"/>
    <n v="0.88096992051314982"/>
    <n v="0.33875327591891835"/>
    <n v="37"/>
    <x v="0"/>
    <m/>
  </r>
  <r>
    <x v="524"/>
    <d v="2015-07-14T00:00:00"/>
    <n v="278006"/>
    <n v="7475"/>
    <n v="574"/>
    <x v="0"/>
    <x v="3"/>
    <x v="0"/>
    <n v="2.8952612533542443"/>
    <n v="26.887908894052647"/>
    <n v="2.0647036394897951"/>
    <n v="0.88092391677558068"/>
    <n v="0.33846981489052036"/>
    <n v="37"/>
    <x v="0"/>
    <m/>
  </r>
  <r>
    <x v="525"/>
    <d v="2014-05-31T00:00:00"/>
    <n v="257602"/>
    <n v="6079"/>
    <n v="946"/>
    <x v="1"/>
    <x v="6"/>
    <x v="6"/>
    <n v="2.7270751003485998"/>
    <n v="23.598419266931156"/>
    <n v="3.6723317365548405"/>
    <n v="0.88087447732101432"/>
    <n v="0.33815538061100014"/>
    <n v="37"/>
    <x v="0"/>
    <m/>
  </r>
  <r>
    <x v="526"/>
    <d v="2015-07-30T00:00:00"/>
    <n v="122657"/>
    <n v="3356"/>
    <n v="436"/>
    <x v="0"/>
    <x v="3"/>
    <x v="2"/>
    <n v="3.0915479752480493"/>
    <n v="27.36085180625647"/>
    <n v="3.5546279462240231"/>
    <n v="0.88082470844646987"/>
    <n v="0.33784205616193125"/>
    <n v="37"/>
    <x v="0"/>
    <m/>
  </r>
  <r>
    <x v="527"/>
    <d v="2015-03-04T00:00:00"/>
    <n v="103659"/>
    <n v="1872"/>
    <n v="327"/>
    <x v="0"/>
    <x v="2"/>
    <x v="3"/>
    <n v="2.1213787514832285"/>
    <n v="18.059213382340175"/>
    <n v="3.1545741324921135"/>
    <n v="0.88077456501514784"/>
    <n v="0.33752269912117266"/>
    <n v="37"/>
    <x v="0"/>
    <m/>
  </r>
  <r>
    <x v="528"/>
    <d v="2015-07-07T00:00:00"/>
    <n v="65882"/>
    <n v="1477"/>
    <n v="265"/>
    <x v="0"/>
    <x v="3"/>
    <x v="0"/>
    <n v="2.6441213077927204"/>
    <n v="22.418870101089826"/>
    <n v="4.0223429768373755"/>
    <n v="0.88072408127826185"/>
    <n v="0.33720071078496966"/>
    <n v="37"/>
    <x v="0"/>
    <m/>
  </r>
  <r>
    <x v="529"/>
    <d v="2015-07-01T00:00:00"/>
    <n v="65058"/>
    <n v="1572"/>
    <n v="357"/>
    <x v="0"/>
    <x v="3"/>
    <x v="3"/>
    <n v="2.9650465738264318"/>
    <n v="24.163054505210734"/>
    <n v="5.4874112330535825"/>
    <n v="0.88067331835102713"/>
    <n v="0.33687637606206478"/>
    <n v="37"/>
    <x v="3"/>
    <n v="2.0399314890417655"/>
  </r>
  <r>
    <x v="530"/>
    <d v="2015-08-07T00:00:00"/>
    <n v="65053"/>
    <n v="2240"/>
    <n v="564"/>
    <x v="0"/>
    <x v="0"/>
    <x v="1"/>
    <n v="4.3103315757920466"/>
    <n v="34.433461946412926"/>
    <n v="8.6698538115075401"/>
    <n v="0.88062229121482449"/>
    <n v="0.3365509868280287"/>
    <n v="37"/>
    <x v="0"/>
    <m/>
  </r>
  <r>
    <x v="531"/>
    <d v="2015-06-05T00:00:00"/>
    <n v="65040"/>
    <n v="2053"/>
    <n v="581"/>
    <x v="0"/>
    <x v="4"/>
    <x v="1"/>
    <n v="4.0498154981549819"/>
    <n v="31.565190651906523"/>
    <n v="8.9329643296432977"/>
    <n v="0.88057102889838312"/>
    <n v="0.33622543824471446"/>
    <n v="37"/>
    <x v="0"/>
    <m/>
  </r>
  <r>
    <x v="532"/>
    <d v="2022-12-08T00:00:00"/>
    <n v="1763457596"/>
    <n v="58284896"/>
    <n v="129089"/>
    <x v="10"/>
    <x v="7"/>
    <x v="2"/>
    <n v="3.3124689321988097"/>
    <n v="33.051487108170875"/>
    <n v="7.320221381722411E-2"/>
    <n v="0.88051948265858715"/>
    <n v="0.33589824045716682"/>
    <n v="38"/>
    <x v="0"/>
    <m/>
  </r>
  <r>
    <x v="533"/>
    <d v="2024-12-10T00:00:00"/>
    <n v="770102891"/>
    <n v="19342713"/>
    <n v="17491"/>
    <x v="9"/>
    <x v="7"/>
    <x v="0"/>
    <n v="2.5139762785282156"/>
    <n v="25.117050235823619"/>
    <n v="2.2712549458537224E-2"/>
    <n v="0.85478200667680915"/>
    <n v="0.35134935852846799"/>
    <n v="38"/>
    <x v="0"/>
    <m/>
  </r>
  <r>
    <x v="534"/>
    <d v="2023-10-12T00:00:00"/>
    <n v="724271269"/>
    <n v="27136649"/>
    <n v="36788"/>
    <x v="6"/>
    <x v="10"/>
    <x v="2"/>
    <n v="3.7518314149777492"/>
    <n v="37.467521026296573"/>
    <n v="5.0793123480920514E-2"/>
    <n v="0.85027722719742593"/>
    <n v="0.35968638458126012"/>
    <n v="38"/>
    <x v="0"/>
    <m/>
  </r>
  <r>
    <x v="535"/>
    <d v="2023-04-15T00:00:00"/>
    <n v="596738610"/>
    <n v="24373873"/>
    <n v="29871"/>
    <x v="6"/>
    <x v="1"/>
    <x v="6"/>
    <n v="4.0895198653226075"/>
    <n v="40.845141560389393"/>
    <n v="5.005709283667769E-2"/>
    <n v="0.84626468652941345"/>
    <n v="0.36587892177376463"/>
    <n v="38"/>
    <x v="0"/>
    <m/>
  </r>
  <r>
    <x v="536"/>
    <d v="2024-11-18T00:00:00"/>
    <n v="582483781"/>
    <n v="11215697"/>
    <n v="15353"/>
    <x v="9"/>
    <x v="11"/>
    <x v="5"/>
    <n v="1.9281309396664559"/>
    <n v="19.254951581218361"/>
    <n v="2.635781544619523E-2"/>
    <n v="0.84475167009298768"/>
    <n v="0.37055819147741209"/>
    <n v="38"/>
    <x v="0"/>
    <m/>
  </r>
  <r>
    <x v="537"/>
    <d v="2024-07-10T00:00:00"/>
    <n v="548557553"/>
    <n v="20410996"/>
    <n v="51434"/>
    <x v="9"/>
    <x v="3"/>
    <x v="3"/>
    <n v="3.7302248210954811"/>
    <n v="37.208485943497713"/>
    <n v="9.3762267457103088E-2"/>
    <n v="0.84338602699643317"/>
    <n v="0.3760941902763853"/>
    <n v="38"/>
    <x v="0"/>
    <m/>
  </r>
  <r>
    <x v="538"/>
    <d v="2023-12-16T00:00:00"/>
    <n v="458998051"/>
    <n v="6944270"/>
    <n v="98894"/>
    <x v="6"/>
    <x v="7"/>
    <x v="6"/>
    <n v="1.5344649034250475"/>
    <n v="15.129192781692225"/>
    <n v="0.21545625255824888"/>
    <n v="0.84120377124689039"/>
    <n v="0.37897692815059025"/>
    <n v="38"/>
    <x v="1"/>
    <n v="2.4430841600578961"/>
  </r>
  <r>
    <x v="539"/>
    <d v="2024-10-11T00:00:00"/>
    <n v="421092888"/>
    <n v="10440135"/>
    <n v="8114"/>
    <x v="9"/>
    <x v="10"/>
    <x v="1"/>
    <n v="2.4812219103543729"/>
    <n v="24.79295019582473"/>
    <n v="1.9268907719001895E-2"/>
    <n v="0.84146666583169039"/>
    <n v="0.37865694215425794"/>
    <n v="38"/>
    <x v="0"/>
    <m/>
  </r>
  <r>
    <x v="540"/>
    <d v="2024-02-10T00:00:00"/>
    <n v="390692211"/>
    <n v="6831068"/>
    <n v="229660"/>
    <x v="9"/>
    <x v="5"/>
    <x v="6"/>
    <n v="1.8072354147853742"/>
    <n v="17.484525689712306"/>
    <n v="0.58782845814143958"/>
    <n v="0.84007155664188582"/>
    <n v="0.38210354266677665"/>
    <n v="38"/>
    <x v="1"/>
    <n v="2.4541830639717777"/>
  </r>
  <r>
    <x v="541"/>
    <d v="2024-03-02T00:00:00"/>
    <n v="355486399"/>
    <n v="6796150"/>
    <n v="201734"/>
    <x v="9"/>
    <x v="2"/>
    <x v="6"/>
    <n v="1.9685377611310524"/>
    <n v="19.117890358443784"/>
    <n v="0.5674872528667404"/>
    <n v="0.83984008439508628"/>
    <n v="0.37754434900037315"/>
    <n v="38"/>
    <x v="4"/>
    <n v="3.467007749604996"/>
  </r>
  <r>
    <x v="542"/>
    <d v="2020-08-15T00:00:00"/>
    <n v="298054352"/>
    <n v="5911114"/>
    <n v="224082"/>
    <x v="7"/>
    <x v="0"/>
    <x v="6"/>
    <n v="2.0584151712034053"/>
    <n v="19.832335815046246"/>
    <n v="0.75181589698780849"/>
    <n v="0.83945082731178833"/>
    <n v="0.37406913227909627"/>
    <n v="38"/>
    <x v="1"/>
    <n v="3.0786685678364996"/>
  </r>
  <r>
    <x v="543"/>
    <d v="2023-12-30T00:00:00"/>
    <n v="294054003"/>
    <n v="5560199"/>
    <n v="86214"/>
    <x v="6"/>
    <x v="7"/>
    <x v="6"/>
    <n v="1.9201959308134298"/>
    <n v="18.908768264583017"/>
    <n v="0.29319104355127584"/>
    <n v="0.83916693592369307"/>
    <n v="0.37096654376825261"/>
    <n v="38"/>
    <x v="2"/>
    <n v="3.341171407933361"/>
  </r>
  <r>
    <x v="544"/>
    <d v="2024-06-29T00:00:00"/>
    <n v="265101789"/>
    <n v="8002892"/>
    <n v="293043"/>
    <x v="9"/>
    <x v="4"/>
    <x v="6"/>
    <n v="3.1293395006097078"/>
    <n v="30.187996958406039"/>
    <n v="1.1053980476910323"/>
    <n v="0.8389718311525749"/>
    <n v="0.37055725351918867"/>
    <n v="38"/>
    <x v="0"/>
    <m/>
  </r>
  <r>
    <x v="545"/>
    <d v="2025-02-08T00:00:00"/>
    <n v="239704746"/>
    <n v="5401960"/>
    <n v="101127"/>
    <x v="4"/>
    <x v="5"/>
    <x v="6"/>
    <n v="2.2957772392207874"/>
    <n v="22.535890883028241"/>
    <n v="0.42188150917963052"/>
    <n v="0.83848877480786377"/>
    <n v="0.36746417799097114"/>
    <n v="38"/>
    <x v="0"/>
    <m/>
  </r>
  <r>
    <x v="546"/>
    <d v="2019-06-13T00:00:00"/>
    <n v="234932962"/>
    <n v="4108930"/>
    <n v="116554"/>
    <x v="11"/>
    <x v="4"/>
    <x v="2"/>
    <n v="1.7985913785907996"/>
    <n v="17.489797791763255"/>
    <n v="0.49611599414474666"/>
    <n v="0.83823173730398504"/>
    <n v="0.36677031567027918"/>
    <n v="38"/>
    <x v="0"/>
    <m/>
  </r>
  <r>
    <x v="547"/>
    <d v="2020-06-06T00:00:00"/>
    <n v="222444880"/>
    <n v="3660176"/>
    <n v="77062"/>
    <x v="7"/>
    <x v="4"/>
    <x v="6"/>
    <n v="1.6800737333221607"/>
    <n v="16.45430544411721"/>
    <n v="0.34643188910439293"/>
    <n v="0.83823059171682401"/>
    <n v="0.36584913611310321"/>
    <n v="38"/>
    <x v="0"/>
    <m/>
  </r>
  <r>
    <x v="548"/>
    <d v="2024-09-28T00:00:00"/>
    <n v="203770574"/>
    <n v="3449182"/>
    <n v="29883"/>
    <x v="9"/>
    <x v="9"/>
    <x v="6"/>
    <n v="1.7073441624598851"/>
    <n v="16.926791402177628"/>
    <n v="0.14665022242122161"/>
    <n v="0.83829885706181728"/>
    <n v="0.36556607072863889"/>
    <n v="38"/>
    <x v="1"/>
    <n v="1.955221934447432"/>
  </r>
  <r>
    <x v="549"/>
    <d v="2020-02-01T00:00:00"/>
    <n v="203332081"/>
    <n v="4139349"/>
    <n v="97481"/>
    <x v="7"/>
    <x v="5"/>
    <x v="6"/>
    <n v="2.0836997187866286"/>
    <n v="20.357579481026409"/>
    <n v="0.47941770683987639"/>
    <n v="0.83834522114997201"/>
    <n v="0.36602394055044873"/>
    <n v="38"/>
    <x v="0"/>
    <m/>
  </r>
  <r>
    <x v="550"/>
    <d v="2019-08-24T00:00:00"/>
    <n v="188398376"/>
    <n v="3361888"/>
    <n v="81573"/>
    <x v="11"/>
    <x v="0"/>
    <x v="6"/>
    <n v="1.8277551394604377"/>
    <n v="17.844569955316388"/>
    <n v="0.43298143928799043"/>
    <n v="0.83825443314168602"/>
    <n v="0.36548571307983885"/>
    <n v="38"/>
    <x v="1"/>
    <n v="1.5244197856821493"/>
  </r>
  <r>
    <x v="551"/>
    <d v="2023-08-25T00:00:00"/>
    <n v="140725409"/>
    <n v="5192169"/>
    <n v="9158"/>
    <x v="6"/>
    <x v="0"/>
    <x v="1"/>
    <n v="3.6960823471474153"/>
    <n v="36.895746382232936"/>
    <n v="6.5077089241218689E-2"/>
    <n v="0.83826851489784737"/>
    <n v="0.36517135214357527"/>
    <n v="38"/>
    <x v="3"/>
    <n v="1.5607288427595651"/>
  </r>
  <r>
    <x v="552"/>
    <d v="2020-01-25T00:00:00"/>
    <n v="131582778"/>
    <n v="2314228"/>
    <n v="45743"/>
    <x v="7"/>
    <x v="8"/>
    <x v="6"/>
    <n v="1.7935257454436779"/>
    <n v="17.587620775113898"/>
    <n v="0.34763667932288222"/>
    <n v="0.83832223559976504"/>
    <n v="0.36554046125679901"/>
    <n v="38"/>
    <x v="1"/>
    <n v="1.9083641395339845"/>
  </r>
  <r>
    <x v="553"/>
    <d v="2025-10-31T00:00:00"/>
    <n v="119577779"/>
    <n v="1706186"/>
    <n v="12739"/>
    <x v="4"/>
    <x v="10"/>
    <x v="1"/>
    <n v="1.4374953393305623"/>
    <n v="14.268420222121703"/>
    <n v="0.10653317118392039"/>
    <n v="0.83835215007925523"/>
    <n v="0.36556333460292084"/>
    <n v="38"/>
    <x v="0"/>
    <m/>
  </r>
  <r>
    <x v="554"/>
    <d v="2026-03-06T00:00:00"/>
    <n v="90026599"/>
    <n v="2300242"/>
    <n v="11347"/>
    <x v="5"/>
    <x v="2"/>
    <x v="1"/>
    <n v="2.5676733606253417"/>
    <n v="25.550693079053225"/>
    <n v="0.12604052720018891"/>
    <n v="0.8384270792965679"/>
    <n v="0.36577739220144334"/>
    <n v="38"/>
    <x v="0"/>
    <m/>
  </r>
  <r>
    <x v="555"/>
    <d v="2019-01-01T00:00:00"/>
    <n v="83929801"/>
    <n v="1650532"/>
    <n v="68135"/>
    <x v="11"/>
    <x v="8"/>
    <x v="0"/>
    <n v="2.0477434469313232"/>
    <n v="19.665625085897677"/>
    <n v="0.81180938341555231"/>
    <n v="0.83842741236549534"/>
    <n v="0.36585272257706597"/>
    <n v="38"/>
    <x v="1"/>
    <n v="2.1141677505650809"/>
  </r>
  <r>
    <x v="556"/>
    <d v="2018-06-23T00:00:00"/>
    <n v="75402322"/>
    <n v="1642686"/>
    <n v="98521"/>
    <x v="13"/>
    <x v="4"/>
    <x v="6"/>
    <n v="2.3092219892114199"/>
    <n v="21.785615567647902"/>
    <n v="1.3066043244662944"/>
    <n v="0.8384319366558477"/>
    <n v="0.36587100024133029"/>
    <n v="38"/>
    <x v="0"/>
    <m/>
  </r>
  <r>
    <x v="557"/>
    <d v="2019-06-21T00:00:00"/>
    <n v="71000075"/>
    <n v="1821146"/>
    <n v="83423"/>
    <x v="11"/>
    <x v="4"/>
    <x v="1"/>
    <n v="2.6824887156809343"/>
    <n v="25.649916566989539"/>
    <n v="1.1749705898197995"/>
    <n v="0.83843127971396991"/>
    <n v="0.36604221792846592"/>
    <n v="38"/>
    <x v="0"/>
    <m/>
  </r>
  <r>
    <x v="558"/>
    <d v="2018-12-02T00:00:00"/>
    <n v="65382269"/>
    <n v="1033097"/>
    <n v="48534"/>
    <x v="13"/>
    <x v="7"/>
    <x v="4"/>
    <n v="1.654318543151202"/>
    <n v="15.800874087132092"/>
    <n v="0.74231134437992663"/>
    <n v="0.83843334409551462"/>
    <n v="0.36616886792028286"/>
    <n v="38"/>
    <x v="0"/>
    <m/>
  </r>
  <r>
    <x v="559"/>
    <d v="2018-11-17T00:00:00"/>
    <n v="45024398"/>
    <n v="929929"/>
    <n v="54317"/>
    <x v="13"/>
    <x v="11"/>
    <x v="6"/>
    <n v="2.1860281174664453"/>
    <n v="20.653890808267999"/>
    <n v="1.206390366396459"/>
    <n v="0.83843441378945782"/>
    <n v="0.3661865090927614"/>
    <n v="38"/>
    <x v="1"/>
    <n v="1.6764600899440958"/>
  </r>
  <r>
    <x v="560"/>
    <d v="2015-11-19T00:00:00"/>
    <n v="14247886"/>
    <n v="532307"/>
    <n v="34725"/>
    <x v="0"/>
    <x v="11"/>
    <x v="2"/>
    <n v="3.9797623310573931"/>
    <n v="37.360419644008942"/>
    <n v="2.437203666564991"/>
    <n v="0.83841546752985452"/>
    <n v="0.36626927626896921"/>
    <n v="38"/>
    <x v="0"/>
    <m/>
  </r>
  <r>
    <x v="561"/>
    <d v="2015-11-29T00:00:00"/>
    <n v="7620693"/>
    <n v="347607"/>
    <n v="24365"/>
    <x v="0"/>
    <x v="11"/>
    <x v="4"/>
    <n v="4.8810784006126475"/>
    <n v="45.6135682148592"/>
    <n v="3.1972157912672774"/>
    <n v="0.83837666555369406"/>
    <n v="0.3662661188860275"/>
    <n v="38"/>
    <x v="1"/>
    <n v="2.2272981587736833"/>
  </r>
  <r>
    <x v="562"/>
    <d v="2016-11-11T00:00:00"/>
    <n v="3891564"/>
    <n v="225088"/>
    <n v="4878"/>
    <x v="2"/>
    <x v="11"/>
    <x v="1"/>
    <n v="5.9093464735515076"/>
    <n v="57.839984129774045"/>
    <n v="1.2534806057410337"/>
    <n v="0.83832527909224641"/>
    <n v="0.36617560801036891"/>
    <n v="38"/>
    <x v="1"/>
    <n v="2.8971805643832544"/>
  </r>
  <r>
    <x v="563"/>
    <d v="2013-01-27T00:00:00"/>
    <n v="757478"/>
    <n v="25964"/>
    <n v="2759"/>
    <x v="3"/>
    <x v="8"/>
    <x v="4"/>
    <n v="3.7919253100420076"/>
    <n v="34.276903091574937"/>
    <n v="3.6423500088451415"/>
    <n v="0.83826448744972104"/>
    <n v="0.36591859342262095"/>
    <n v="38"/>
    <x v="0"/>
    <m/>
  </r>
  <r>
    <x v="564"/>
    <d v="2015-11-30T00:00:00"/>
    <n v="502624"/>
    <n v="13444"/>
    <n v="1612"/>
    <x v="0"/>
    <x v="11"/>
    <x v="5"/>
    <n v="2.9954797224167566"/>
    <n v="26.747628445915833"/>
    <n v="3.2071687782517349"/>
    <n v="0.83818775128569589"/>
    <n v="0.36563448015311023"/>
    <n v="38"/>
    <x v="0"/>
    <m/>
  </r>
  <r>
    <x v="565"/>
    <d v="2014-05-24T00:00:00"/>
    <n v="470661"/>
    <n v="6226"/>
    <n v="480"/>
    <x v="1"/>
    <x v="6"/>
    <x v="6"/>
    <n v="1.4248046895748745"/>
    <n v="13.228204588865447"/>
    <n v="1.0198423068832982"/>
    <n v="0.83810959847239641"/>
    <n v="0.36533877090052774"/>
    <n v="38"/>
    <x v="0"/>
    <m/>
  </r>
  <r>
    <x v="566"/>
    <d v="2016-09-30T00:00:00"/>
    <n v="429658"/>
    <n v="15269"/>
    <n v="923"/>
    <x v="2"/>
    <x v="9"/>
    <x v="1"/>
    <n v="3.7685787300597218"/>
    <n v="35.537567088242277"/>
    <n v="2.1482202123549428"/>
    <n v="0.83803045218680583"/>
    <n v="0.36503222649104899"/>
    <n v="38"/>
    <x v="0"/>
    <m/>
  </r>
  <r>
    <x v="567"/>
    <d v="2015-08-04T00:00:00"/>
    <n v="135720"/>
    <n v="2084"/>
    <n v="267"/>
    <x v="0"/>
    <x v="0"/>
    <x v="0"/>
    <n v="1.732242852932508"/>
    <n v="15.355142941349838"/>
    <n v="1.9672855879752431"/>
    <n v="0.83795150562989373"/>
    <n v="0.36472728676739363"/>
    <n v="38"/>
    <x v="0"/>
    <m/>
  </r>
  <r>
    <x v="568"/>
    <d v="2015-12-15T00:00:00"/>
    <n v="111409"/>
    <n v="4269"/>
    <n v="450"/>
    <x v="0"/>
    <x v="7"/>
    <x v="0"/>
    <n v="4.2357439704153164"/>
    <n v="38.318268721557502"/>
    <n v="4.0391709825956612"/>
    <n v="0.83787105483297131"/>
    <n v="0.36441434442596743"/>
    <n v="38"/>
    <x v="0"/>
    <m/>
  </r>
  <r>
    <x v="569"/>
    <d v="2015-08-19T00:00:00"/>
    <n v="90731"/>
    <n v="1968"/>
    <n v="184"/>
    <x v="0"/>
    <x v="0"/>
    <x v="3"/>
    <n v="2.3718464471900456"/>
    <n v="21.690491673187775"/>
    <n v="2.0279727987126783"/>
    <n v="0.83779028941421529"/>
    <n v="0.36410094969707341"/>
    <n v="38"/>
    <x v="0"/>
    <m/>
  </r>
  <r>
    <x v="570"/>
    <d v="2014-05-14T00:00:00"/>
    <n v="83391"/>
    <n v="1582"/>
    <n v="244"/>
    <x v="1"/>
    <x v="6"/>
    <x v="3"/>
    <n v="2.1896847381611924"/>
    <n v="18.970872156467724"/>
    <n v="2.9259752251441999"/>
    <n v="0.83770887002726291"/>
    <n v="0.36378348991070247"/>
    <n v="38"/>
    <x v="0"/>
    <m/>
  </r>
  <r>
    <x v="571"/>
    <d v="2015-09-07T00:00:00"/>
    <n v="65071"/>
    <n v="2292"/>
    <n v="445"/>
    <x v="0"/>
    <x v="9"/>
    <x v="5"/>
    <n v="4.2061747936868965"/>
    <n v="35.223064037743391"/>
    <n v="6.838683899125571"/>
    <n v="0.83762693792098553"/>
    <n v="0.36346460909564793"/>
    <n v="38"/>
    <x v="0"/>
    <m/>
  </r>
  <r>
    <x v="572"/>
    <d v="2015-08-28T00:00:00"/>
    <n v="65060"/>
    <n v="1717"/>
    <n v="282"/>
    <x v="0"/>
    <x v="0"/>
    <x v="1"/>
    <n v="3.0725484168459882"/>
    <n v="26.39102367045804"/>
    <n v="4.3344604980018451"/>
    <n v="0.83754456929231391"/>
    <n v="0.36314540528246808"/>
    <n v="38"/>
    <x v="0"/>
    <m/>
  </r>
  <r>
    <x v="573"/>
    <d v="2015-06-22T00:00:00"/>
    <n v="65040"/>
    <n v="2231"/>
    <n v="893"/>
    <x v="0"/>
    <x v="4"/>
    <x v="5"/>
    <n v="4.8031980319803198"/>
    <n v="34.301968019680196"/>
    <n v="13.730012300123001"/>
    <n v="0.83746166630209018"/>
    <n v="0.36282296993388247"/>
    <n v="38"/>
    <x v="0"/>
    <m/>
  </r>
  <r>
    <x v="574"/>
    <d v="2015-06-18T00:00:00"/>
    <n v="65038"/>
    <n v="2063"/>
    <n v="707"/>
    <x v="0"/>
    <x v="4"/>
    <x v="2"/>
    <n v="4.2590485562286666"/>
    <n v="31.71991758664166"/>
    <n v="10.870567975645006"/>
    <n v="0.8373783072160822"/>
    <n v="0.36250361931621827"/>
    <n v="38"/>
    <x v="0"/>
    <m/>
  </r>
  <r>
    <x v="575"/>
    <d v="2023-08-08T00:00:00"/>
    <n v="559313193"/>
    <n v="22296213"/>
    <n v="41505"/>
    <x v="6"/>
    <x v="0"/>
    <x v="0"/>
    <n v="3.99377634562609"/>
    <n v="39.863556374219122"/>
    <n v="7.4207082041778338E-2"/>
    <n v="0.83729443575541618"/>
    <n v="0.36218082359597858"/>
    <n v="39"/>
    <x v="0"/>
    <m/>
  </r>
  <r>
    <x v="576"/>
    <d v="2024-09-20T00:00:00"/>
    <n v="385309922"/>
    <n v="8513082"/>
    <n v="11669"/>
    <x v="9"/>
    <x v="9"/>
    <x v="1"/>
    <n v="2.212440041967048"/>
    <n v="22.094115707718526"/>
    <n v="3.0284711951954355E-2"/>
    <n v="0.83523921291849301"/>
    <n v="0.36597799708268119"/>
    <n v="39"/>
    <x v="0"/>
    <m/>
  </r>
  <r>
    <x v="577"/>
    <d v="2024-04-06T00:00:00"/>
    <n v="350715704"/>
    <n v="10809803"/>
    <n v="60602"/>
    <x v="9"/>
    <x v="1"/>
    <x v="6"/>
    <n v="3.0994919463315505"/>
    <n v="30.822124235417757"/>
    <n v="0.17279522789775048"/>
    <n v="0.83422146333547531"/>
    <n v="0.36888313363370728"/>
    <n v="39"/>
    <x v="1"/>
    <n v="4.3103315757920466"/>
  </r>
  <r>
    <x v="578"/>
    <d v="2024-02-29T00:00:00"/>
    <n v="253878389"/>
    <n v="14694240"/>
    <n v="56088"/>
    <x v="9"/>
    <x v="5"/>
    <x v="2"/>
    <n v="5.8099974787534991"/>
    <n v="57.879050114816984"/>
    <n v="0.22092467271800753"/>
    <n v="0.83306364270589828"/>
    <n v="0.36948649219612867"/>
    <n v="39"/>
    <x v="0"/>
    <m/>
  </r>
  <r>
    <x v="579"/>
    <d v="2019-08-22T00:00:00"/>
    <n v="217437479"/>
    <n v="3690221"/>
    <n v="80607"/>
    <x v="11"/>
    <x v="0"/>
    <x v="2"/>
    <n v="1.7342125273628655"/>
    <n v="16.971411814427814"/>
    <n v="0.37071345920083998"/>
    <n v="0.83565103167885169"/>
    <n v="0.369707934298664"/>
    <n v="39"/>
    <x v="0"/>
    <m/>
  </r>
  <r>
    <x v="580"/>
    <d v="2019-03-16T00:00:00"/>
    <n v="191435982"/>
    <n v="3449341"/>
    <n v="96705"/>
    <x v="11"/>
    <x v="2"/>
    <x v="6"/>
    <n v="1.8523403818619637"/>
    <n v="18.018248001047159"/>
    <n v="0.50515581757247707"/>
    <n v="0.83566495144372666"/>
    <n v="0.36938660875961038"/>
    <n v="39"/>
    <x v="0"/>
    <m/>
  </r>
  <r>
    <x v="581"/>
    <d v="2025-10-17T00:00:00"/>
    <n v="158411940"/>
    <n v="2642671"/>
    <n v="11269"/>
    <x v="4"/>
    <x v="10"/>
    <x v="1"/>
    <n v="1.6753408865518595"/>
    <n v="16.682271550995463"/>
    <n v="7.1137314523135056E-2"/>
    <n v="0.83565074941532758"/>
    <n v="0.36889825827543971"/>
    <n v="39"/>
    <x v="1"/>
    <n v="3.7518314149777492"/>
  </r>
  <r>
    <x v="582"/>
    <d v="2018-09-21T00:00:00"/>
    <n v="153054766"/>
    <n v="2296885"/>
    <n v="55697"/>
    <x v="13"/>
    <x v="9"/>
    <x v="1"/>
    <n v="1.5370850980230175"/>
    <n v="15.006948558531004"/>
    <n v="0.36390242169917142"/>
    <n v="0.83569505380949793"/>
    <n v="0.36939652532458139"/>
    <n v="39"/>
    <x v="0"/>
    <m/>
  </r>
  <r>
    <x v="583"/>
    <d v="2019-07-20T00:00:00"/>
    <n v="136389391"/>
    <n v="2219149"/>
    <n v="46223"/>
    <x v="11"/>
    <x v="3"/>
    <x v="6"/>
    <n v="1.66095909908418"/>
    <n v="16.27068633219427"/>
    <n v="0.33890465864753366"/>
    <n v="0.83578615329753347"/>
    <n v="0.36937571327850999"/>
    <n v="39"/>
    <x v="0"/>
    <m/>
  </r>
  <r>
    <x v="584"/>
    <d v="2018-06-22T00:00:00"/>
    <n v="132824269"/>
    <n v="2001172"/>
    <n v="63712"/>
    <x v="13"/>
    <x v="4"/>
    <x v="1"/>
    <n v="1.5545984295987354"/>
    <n v="15.066312919064512"/>
    <n v="0.47967137692284229"/>
    <n v="0.83583576122862469"/>
    <n v="0.36941353417656525"/>
    <n v="39"/>
    <x v="0"/>
    <m/>
  </r>
  <r>
    <x v="585"/>
    <d v="2019-09-06T00:00:00"/>
    <n v="93344743"/>
    <n v="1762098"/>
    <n v="34741"/>
    <x v="11"/>
    <x v="9"/>
    <x v="1"/>
    <n v="1.9249493246770202"/>
    <n v="18.877313744385155"/>
    <n v="0.37217950238504593"/>
    <n v="0.83590842949747513"/>
    <n v="0.36933446496961747"/>
    <n v="39"/>
    <x v="0"/>
    <m/>
  </r>
  <r>
    <x v="586"/>
    <d v="2026-06-13T00:00:00"/>
    <n v="62264600"/>
    <n v="1965717"/>
    <n v="131250"/>
    <x v="5"/>
    <x v="4"/>
    <x v="6"/>
    <n v="3.3678318016979154"/>
    <n v="31.570378674238654"/>
    <n v="2.1079393427404978"/>
    <n v="0.83591754228359427"/>
    <n v="0.36935738489964437"/>
    <n v="39"/>
    <x v="1"/>
    <n v="2.4812219103543729"/>
  </r>
  <r>
    <x v="587"/>
    <d v="2026-03-26T00:00:00"/>
    <n v="41717130"/>
    <n v="1119219"/>
    <n v="15004"/>
    <x v="5"/>
    <x v="2"/>
    <x v="2"/>
    <n v="2.7188423556462298"/>
    <n v="26.828763148375742"/>
    <n v="0.35966040808655825"/>
    <n v="0.83594036502693825"/>
    <n v="0.36989414696240869"/>
    <n v="39"/>
    <x v="1"/>
    <n v="1.8072354147853742"/>
  </r>
  <r>
    <x v="588"/>
    <d v="2018-07-17T00:00:00"/>
    <n v="28836019"/>
    <n v="619004"/>
    <n v="36432"/>
    <x v="13"/>
    <x v="3"/>
    <x v="0"/>
    <n v="2.2729767240061811"/>
    <n v="21.466347348432528"/>
    <n v="1.2634198916292849"/>
    <n v="0.83592951512946545"/>
    <n v="0.36979245262034183"/>
    <n v="39"/>
    <x v="0"/>
    <m/>
  </r>
  <r>
    <x v="589"/>
    <d v="2017-10-04T00:00:00"/>
    <n v="13823911"/>
    <n v="599284"/>
    <n v="38120"/>
    <x v="8"/>
    <x v="10"/>
    <x v="3"/>
    <n v="4.6108803796552218"/>
    <n v="43.351262895138724"/>
    <n v="2.7575409014134999"/>
    <n v="0.83589411718438278"/>
    <n v="0.36978254485800049"/>
    <n v="39"/>
    <x v="0"/>
    <m/>
  </r>
  <r>
    <x v="590"/>
    <d v="2016-08-26T00:00:00"/>
    <n v="3107818"/>
    <n v="59732"/>
    <n v="3400"/>
    <x v="2"/>
    <x v="0"/>
    <x v="1"/>
    <n v="2.0313930867251555"/>
    <n v="19.219915709349774"/>
    <n v="1.0940151579017821"/>
    <n v="0.83586100884430237"/>
    <n v="0.36980107218852076"/>
    <n v="39"/>
    <x v="0"/>
    <m/>
  </r>
  <r>
    <x v="591"/>
    <d v="2013-11-12T00:00:00"/>
    <n v="938967"/>
    <n v="16121"/>
    <n v="1527"/>
    <x v="3"/>
    <x v="11"/>
    <x v="0"/>
    <n v="1.8795122725292797"/>
    <n v="17.168867489485788"/>
    <n v="1.6262552358070093"/>
    <n v="0.83578453994706614"/>
    <n v="0.36952002367823344"/>
    <n v="39"/>
    <x v="0"/>
    <m/>
  </r>
  <r>
    <x v="592"/>
    <d v="2015-07-01T00:00:00"/>
    <n v="644185"/>
    <n v="14248"/>
    <n v="728"/>
    <x v="0"/>
    <x v="3"/>
    <x v="3"/>
    <n v="2.3247980005743694"/>
    <n v="22.117869866575596"/>
    <n v="1.1301101391680961"/>
    <n v="0.83570374105546696"/>
    <n v="0.36921559131800652"/>
    <n v="39"/>
    <x v="0"/>
    <m/>
  </r>
  <r>
    <x v="593"/>
    <d v="2016-04-10T00:00:00"/>
    <n v="297167"/>
    <n v="10286"/>
    <n v="551"/>
    <x v="2"/>
    <x v="1"/>
    <x v="4"/>
    <n v="3.6467710075479443"/>
    <n v="34.613533804224566"/>
    <n v="1.8541762712548837"/>
    <n v="0.83562222341478154"/>
    <n v="0.36890194991709008"/>
    <n v="39"/>
    <x v="0"/>
    <m/>
  </r>
  <r>
    <x v="594"/>
    <d v="2013-03-27T00:00:00"/>
    <n v="230732"/>
    <n v="0"/>
    <n v="1500"/>
    <x v="3"/>
    <x v="2"/>
    <x v="3"/>
    <n v="0.65010488358788554"/>
    <n v="0"/>
    <n v="6.5010488358788558"/>
    <n v="0.83553980630640634"/>
    <n v="0.36858375007396471"/>
    <n v="39"/>
    <x v="0"/>
    <m/>
  </r>
  <r>
    <x v="595"/>
    <d v="2015-07-31T00:00:00"/>
    <n v="189304"/>
    <n v="3243"/>
    <n v="278"/>
    <x v="0"/>
    <x v="3"/>
    <x v="1"/>
    <n v="1.8599712631534464"/>
    <n v="17.131175252503908"/>
    <n v="1.468537379030554"/>
    <n v="0.83545605032183035"/>
    <n v="0.36827097176328871"/>
    <n v="39"/>
    <x v="1"/>
    <n v="1.7073441624598851"/>
  </r>
  <r>
    <x v="596"/>
    <d v="2015-08-28T00:00:00"/>
    <n v="163578"/>
    <n v="2882"/>
    <n v="235"/>
    <x v="0"/>
    <x v="0"/>
    <x v="1"/>
    <n v="1.9055129662913106"/>
    <n v="17.618506156084557"/>
    <n v="1.4366235068285467"/>
    <n v="0.8353720149664976"/>
    <n v="0.36794623693118889"/>
    <n v="39"/>
    <x v="0"/>
    <m/>
  </r>
  <r>
    <x v="597"/>
    <d v="2015-12-26T00:00:00"/>
    <n v="141616"/>
    <n v="8489"/>
    <n v="579"/>
    <x v="0"/>
    <x v="7"/>
    <x v="6"/>
    <n v="6.4032312733024508"/>
    <n v="59.943791661959104"/>
    <n v="4.0885210710654158"/>
    <n v="0.83528741733539136"/>
    <n v="0.36761902253916851"/>
    <n v="39"/>
    <x v="0"/>
    <m/>
  </r>
  <r>
    <x v="598"/>
    <d v="2015-07-07T00:00:00"/>
    <n v="141296"/>
    <n v="4543"/>
    <n v="999"/>
    <x v="0"/>
    <x v="3"/>
    <x v="0"/>
    <n v="3.9222624844298495"/>
    <n v="32.152361001019138"/>
    <n v="7.0702638432793572"/>
    <n v="0.83520273038927029"/>
    <n v="0.36729245138897293"/>
    <n v="39"/>
    <x v="0"/>
    <m/>
  </r>
  <r>
    <x v="599"/>
    <d v="2013-12-29T00:00:00"/>
    <n v="84474"/>
    <n v="2082"/>
    <n v="335"/>
    <x v="3"/>
    <x v="7"/>
    <x v="4"/>
    <n v="2.8612354097118637"/>
    <n v="24.646636835002486"/>
    <n v="3.9657172621161538"/>
    <n v="0.83511719191462874"/>
    <n v="0.36696724107289663"/>
    <n v="39"/>
    <x v="0"/>
    <m/>
  </r>
  <r>
    <x v="600"/>
    <d v="2014-06-18T00:00:00"/>
    <n v="77096"/>
    <n v="1529"/>
    <n v="180"/>
    <x v="1"/>
    <x v="4"/>
    <x v="3"/>
    <n v="2.2167168205873198"/>
    <n v="19.832416727197259"/>
    <n v="2.3347514786759365"/>
    <n v="0.83503089974525713"/>
    <n v="0.36663433769776466"/>
    <n v="39"/>
    <x v="0"/>
    <m/>
  </r>
  <r>
    <x v="601"/>
    <d v="2015-09-16T00:00:00"/>
    <n v="65089"/>
    <n v="1830"/>
    <n v="337"/>
    <x v="0"/>
    <x v="9"/>
    <x v="3"/>
    <n v="3.3292875908371613"/>
    <n v="28.115349751878195"/>
    <n v="5.1775261564934167"/>
    <n v="0.83494401276135888"/>
    <n v="0.36629801906951726"/>
    <n v="39"/>
    <x v="1"/>
    <n v="2.5676733606253417"/>
  </r>
  <r>
    <x v="602"/>
    <d v="2015-06-17T00:00:00"/>
    <n v="65060"/>
    <n v="1597"/>
    <n v="388"/>
    <x v="0"/>
    <x v="4"/>
    <x v="3"/>
    <n v="3.0510298186289577"/>
    <n v="24.546572394712573"/>
    <n v="5.9637257915770059"/>
    <n v="0.83485659318603611"/>
    <n v="0.36596079692547989"/>
    <n v="39"/>
    <x v="0"/>
    <m/>
  </r>
  <r>
    <x v="603"/>
    <d v="2015-05-15T00:00:00"/>
    <n v="65046"/>
    <n v="1954"/>
    <n v="366"/>
    <x v="0"/>
    <x v="6"/>
    <x v="1"/>
    <n v="3.5667066383789936"/>
    <n v="30.040279187036866"/>
    <n v="5.6267871967530674"/>
    <n v="0.83476859557133054"/>
    <n v="0.3656218340868771"/>
    <n v="39"/>
    <x v="0"/>
    <m/>
  </r>
  <r>
    <x v="604"/>
    <d v="2026-05-07T00:00:00"/>
    <n v="679847266"/>
    <n v="5785615"/>
    <n v="1054577"/>
    <x v="5"/>
    <x v="6"/>
    <x v="2"/>
    <n v="1.0061365753878018"/>
    <n v="8.5101688119460643"/>
    <n v="1.5511969419319545"/>
    <n v="0.83468006248575355"/>
    <n v="0.3652805095608937"/>
    <n v="40"/>
    <x v="0"/>
    <m/>
  </r>
  <r>
    <x v="605"/>
    <d v="2022-09-24T00:00:00"/>
    <n v="419236868"/>
    <n v="6359856"/>
    <n v="101545"/>
    <x v="10"/>
    <x v="9"/>
    <x v="6"/>
    <n v="1.5412291936118558"/>
    <n v="15.170078028538272"/>
    <n v="0.24221390758028466"/>
    <n v="0.84116715317583035"/>
    <n v="0.32326628332101354"/>
    <n v="40"/>
    <x v="1"/>
    <n v="1.654318543151202"/>
  </r>
  <r>
    <x v="606"/>
    <d v="2022-06-04T00:00:00"/>
    <n v="378733676"/>
    <n v="6950863"/>
    <n v="155666"/>
    <x v="10"/>
    <x v="4"/>
    <x v="6"/>
    <n v="1.8763921590114949"/>
    <n v="18.352904535481549"/>
    <n v="0.41101705463339888"/>
    <n v="0.84144576265519799"/>
    <n v="0.3219571280005547"/>
    <n v="40"/>
    <x v="0"/>
    <m/>
  </r>
  <r>
    <x v="607"/>
    <d v="2025-11-28T00:00:00"/>
    <n v="347377311"/>
    <n v="6004315"/>
    <n v="29830"/>
    <x v="4"/>
    <x v="11"/>
    <x v="1"/>
    <n v="1.7370578932255021"/>
    <n v="17.284706887491566"/>
    <n v="8.5872044763453198E-2"/>
    <n v="0.84104424969621938"/>
    <n v="0.3183980144614465"/>
    <n v="40"/>
    <x v="0"/>
    <m/>
  </r>
  <r>
    <x v="608"/>
    <d v="2020-05-30T00:00:00"/>
    <n v="343662042"/>
    <n v="5106214"/>
    <n v="116709"/>
    <x v="7"/>
    <x v="6"/>
    <x v="6"/>
    <n v="1.519784661001345"/>
    <n v="14.858242621976855"/>
    <n v="0.33960398803659558"/>
    <n v="0.84091538877479888"/>
    <n v="0.32007161268563716"/>
    <n v="40"/>
    <x v="0"/>
    <m/>
  </r>
  <r>
    <x v="609"/>
    <d v="2023-03-18T00:00:00"/>
    <n v="337551519"/>
    <n v="6493231"/>
    <n v="104917"/>
    <x v="6"/>
    <x v="2"/>
    <x v="6"/>
    <n v="1.9547084307447598"/>
    <n v="19.23626656824495"/>
    <n v="0.31081773920264893"/>
    <n v="0.84124645058502634"/>
    <n v="0.31817585083617095"/>
    <n v="40"/>
    <x v="0"/>
    <m/>
  </r>
  <r>
    <x v="610"/>
    <d v="2021-07-24T00:00:00"/>
    <n v="270522146"/>
    <n v="3942637"/>
    <n v="78951"/>
    <x v="12"/>
    <x v="3"/>
    <x v="6"/>
    <n v="1.4866021357083277"/>
    <n v="14.574174640770446"/>
    <n v="0.2918467163128301"/>
    <n v="0.84084782932156543"/>
    <n v="0.31671648718320417"/>
    <n v="40"/>
    <x v="1"/>
    <n v="3.7919253100420076"/>
  </r>
  <r>
    <x v="611"/>
    <d v="2020-11-28T00:00:00"/>
    <n v="232578487"/>
    <n v="3695173"/>
    <n v="92221"/>
    <x v="7"/>
    <x v="11"/>
    <x v="6"/>
    <n v="1.6284369413754076"/>
    <n v="15.887853806530266"/>
    <n v="0.39651560722380996"/>
    <n v="0.84114421422930841"/>
    <n v="0.31618472270470099"/>
    <n v="40"/>
    <x v="1"/>
    <n v="2.9954797224167566"/>
  </r>
  <r>
    <x v="612"/>
    <d v="2025-03-01T00:00:00"/>
    <n v="207750259"/>
    <n v="3205495"/>
    <n v="86306"/>
    <x v="4"/>
    <x v="2"/>
    <x v="6"/>
    <n v="1.5844991076521355"/>
    <n v="15.42955958480899"/>
    <n v="0.41543149171236415"/>
    <n v="0.84127667912777937"/>
    <n v="0.31538508486667982"/>
    <n v="40"/>
    <x v="1"/>
    <n v="1.4248046895748745"/>
  </r>
  <r>
    <x v="613"/>
    <d v="2022-03-19T00:00:00"/>
    <n v="207180299"/>
    <n v="4173324"/>
    <n v="86056"/>
    <x v="10"/>
    <x v="2"/>
    <x v="6"/>
    <n v="2.0558808055393336"/>
    <n v="20.143440376056219"/>
    <n v="0.41536767933711688"/>
    <n v="0.84142973389166142"/>
    <n v="0.3147799707495017"/>
    <n v="40"/>
    <x v="1"/>
    <n v="3.7685787300597218"/>
  </r>
  <r>
    <x v="614"/>
    <d v="2019-05-07T00:00:00"/>
    <n v="192874173"/>
    <n v="3040800"/>
    <n v="67408"/>
    <x v="11"/>
    <x v="6"/>
    <x v="0"/>
    <n v="1.6115211029317025"/>
    <n v="15.765718928059901"/>
    <n v="0.34949210125712377"/>
    <n v="0.84132723069298498"/>
    <n v="0.31417664082925717"/>
    <n v="40"/>
    <x v="0"/>
    <m/>
  </r>
  <r>
    <x v="615"/>
    <d v="2019-01-11T00:00:00"/>
    <n v="165526718"/>
    <n v="2454337"/>
    <n v="89158"/>
    <x v="11"/>
    <x v="8"/>
    <x v="1"/>
    <n v="1.5366069180444937"/>
    <n v="14.827437102933438"/>
    <n v="0.53863207751149877"/>
    <n v="0.84145070871759298"/>
    <n v="0.31392297068891439"/>
    <n v="40"/>
    <x v="1"/>
    <n v="4.2357439704153164"/>
  </r>
  <r>
    <x v="616"/>
    <d v="2025-08-16T00:00:00"/>
    <n v="161865836"/>
    <n v="3177522"/>
    <n v="43701"/>
    <x v="4"/>
    <x v="0"/>
    <x v="6"/>
    <n v="1.9900573707227511"/>
    <n v="19.630590855503321"/>
    <n v="0.26998285172418968"/>
    <n v="0.84159351588197806"/>
    <n v="0.31344506203761385"/>
    <n v="40"/>
    <x v="1"/>
    <n v="2.3718464471900456"/>
  </r>
  <r>
    <x v="617"/>
    <d v="2019-01-18T00:00:00"/>
    <n v="120043336"/>
    <n v="1737386"/>
    <n v="62262"/>
    <x v="11"/>
    <x v="8"/>
    <x v="1"/>
    <n v="1.4991652681161742"/>
    <n v="14.472989987549163"/>
    <n v="0.51866269361258011"/>
    <n v="0.84157587342535212"/>
    <n v="0.31353170318538498"/>
    <n v="40"/>
    <x v="0"/>
    <m/>
  </r>
  <r>
    <x v="618"/>
    <d v="2018-02-17T00:00:00"/>
    <n v="47745553"/>
    <n v="1301916"/>
    <n v="72163"/>
    <x v="13"/>
    <x v="5"/>
    <x v="6"/>
    <n v="2.8779203793073673"/>
    <n v="27.267796018615599"/>
    <n v="1.5114077744580736"/>
    <n v="0.84166716759792137"/>
    <n v="0.31343135213996198"/>
    <n v="40"/>
    <x v="1"/>
    <n v="4.2061747936868965"/>
  </r>
  <r>
    <x v="619"/>
    <d v="2019-02-04T00:00:00"/>
    <n v="45316440"/>
    <n v="1242843"/>
    <n v="63921"/>
    <x v="11"/>
    <x v="5"/>
    <x v="5"/>
    <n v="2.8836422278537324"/>
    <n v="27.425874583263823"/>
    <n v="1.4105476952735034"/>
    <n v="0.84166250719173408"/>
    <n v="0.31363267976992942"/>
    <n v="40"/>
    <x v="0"/>
    <m/>
  </r>
  <r>
    <x v="620"/>
    <d v="2019-04-04T00:00:00"/>
    <n v="32399160"/>
    <n v="872674"/>
    <n v="19818"/>
    <x v="11"/>
    <x v="1"/>
    <x v="2"/>
    <n v="2.7546763558067555"/>
    <n v="26.935081032965055"/>
    <n v="0.61168252510250265"/>
    <n v="0.84165619971701655"/>
    <n v="0.31378707820761881"/>
    <n v="40"/>
    <x v="1"/>
    <n v="4.8031980319803198"/>
  </r>
  <r>
    <x v="621"/>
    <d v="2018-05-13T00:00:00"/>
    <n v="24808605"/>
    <n v="541400"/>
    <n v="18400"/>
    <x v="13"/>
    <x v="6"/>
    <x v="4"/>
    <n v="2.2564751222408517"/>
    <n v="21.823073082908127"/>
    <n v="0.74167813950038708"/>
    <n v="0.8416352107015781"/>
    <n v="0.31367586316933738"/>
    <n v="40"/>
    <x v="0"/>
    <m/>
  </r>
  <r>
    <x v="622"/>
    <d v="2018-02-02T00:00:00"/>
    <n v="9228477"/>
    <n v="227700"/>
    <n v="10840"/>
    <x v="13"/>
    <x v="5"/>
    <x v="1"/>
    <n v="2.5848252100536198"/>
    <n v="24.673627078444255"/>
    <n v="1.1746250220919443"/>
    <n v="0.84159701865986558"/>
    <n v="0.3135378912212165"/>
    <n v="40"/>
    <x v="0"/>
    <m/>
  </r>
  <r>
    <x v="623"/>
    <d v="2017-02-09T00:00:00"/>
    <n v="3362826"/>
    <n v="96551"/>
    <n v="5631"/>
    <x v="8"/>
    <x v="5"/>
    <x v="2"/>
    <n v="3.038575293518011"/>
    <n v="28.71126843910449"/>
    <n v="1.6744844960756222"/>
    <n v="0.84153658938556031"/>
    <n v="0.31329896399471585"/>
    <n v="40"/>
    <x v="0"/>
    <m/>
  </r>
  <r>
    <x v="624"/>
    <d v="2016-03-18T00:00:00"/>
    <n v="2067973"/>
    <n v="72887"/>
    <n v="3751"/>
    <x v="2"/>
    <x v="2"/>
    <x v="1"/>
    <n v="3.7059478049278205"/>
    <n v="35.245624580204868"/>
    <n v="1.813853469073339"/>
    <n v="0.8414653422519961"/>
    <n v="0.3129916555215676"/>
    <n v="40"/>
    <x v="0"/>
    <m/>
  </r>
  <r>
    <x v="625"/>
    <d v="2015-10-13T00:00:00"/>
    <n v="871578"/>
    <n v="24015"/>
    <n v="1175"/>
    <x v="0"/>
    <x v="10"/>
    <x v="0"/>
    <n v="2.8901601463093378"/>
    <n v="27.553471978411569"/>
    <n v="1.348129484681807"/>
    <n v="0.84139160368855481"/>
    <n v="0.31265977915372078"/>
    <n v="40"/>
    <x v="0"/>
    <m/>
  </r>
  <r>
    <x v="626"/>
    <d v="2014-02-26T00:00:00"/>
    <n v="557797"/>
    <n v="9496"/>
    <n v="1901"/>
    <x v="1"/>
    <x v="5"/>
    <x v="3"/>
    <n v="2.0432164389553904"/>
    <n v="17.024114507607607"/>
    <n v="3.4080498819462997"/>
    <n v="0.84131342263452591"/>
    <n v="0.31229653528339724"/>
    <n v="40"/>
    <x v="0"/>
    <m/>
  </r>
  <r>
    <x v="627"/>
    <d v="2016-06-06T00:00:00"/>
    <n v="441891"/>
    <n v="13087"/>
    <n v="1748"/>
    <x v="2"/>
    <x v="4"/>
    <x v="5"/>
    <n v="3.3571627392275469"/>
    <n v="29.615900753805803"/>
    <n v="3.9557266384696677"/>
    <n v="0.84123354487224944"/>
    <n v="0.31193626841192118"/>
    <n v="40"/>
    <x v="0"/>
    <m/>
  </r>
  <r>
    <x v="628"/>
    <d v="2013-04-11T00:00:00"/>
    <n v="419980"/>
    <n v="12054"/>
    <n v="1164"/>
    <x v="3"/>
    <x v="1"/>
    <x v="2"/>
    <n v="3.1472927282251533"/>
    <n v="28.701366731749133"/>
    <n v="2.7715605505024046"/>
    <n v="0.84115336669989282"/>
    <n v="0.31157159939498075"/>
    <n v="40"/>
    <x v="0"/>
    <m/>
  </r>
  <r>
    <x v="629"/>
    <d v="2015-07-25T00:00:00"/>
    <n v="98427"/>
    <n v="2812"/>
    <n v="370"/>
    <x v="0"/>
    <x v="3"/>
    <x v="6"/>
    <n v="3.2328527741371778"/>
    <n v="28.569396608654131"/>
    <n v="3.7591311327176489"/>
    <n v="0.84107256363587934"/>
    <n v="0.31119879669468814"/>
    <n v="40"/>
    <x v="0"/>
    <m/>
  </r>
  <r>
    <x v="630"/>
    <d v="2015-03-03T00:00:00"/>
    <n v="88277"/>
    <n v="1480"/>
    <n v="227"/>
    <x v="0"/>
    <x v="2"/>
    <x v="0"/>
    <n v="1.9336860110787633"/>
    <n v="16.765408883401111"/>
    <n v="2.5714512273865222"/>
    <n v="0.84099041816956033"/>
    <n v="0.31081440073157585"/>
    <n v="40"/>
    <x v="0"/>
    <m/>
  </r>
  <r>
    <x v="631"/>
    <d v="2013-12-24T00:00:00"/>
    <n v="84890"/>
    <n v="2116"/>
    <n v="383"/>
    <x v="3"/>
    <x v="7"/>
    <x v="0"/>
    <n v="2.9438096359995289"/>
    <n v="24.926375309223701"/>
    <n v="4.5117210507715866"/>
    <n v="0.840907609503172"/>
    <n v="0.31042594747417407"/>
    <n v="40"/>
    <x v="0"/>
    <m/>
  </r>
  <r>
    <x v="632"/>
    <d v="2013-12-18T00:00:00"/>
    <n v="84746"/>
    <n v="2154"/>
    <n v="379"/>
    <x v="3"/>
    <x v="7"/>
    <x v="3"/>
    <n v="2.9889316309914333"/>
    <n v="25.417128832039271"/>
    <n v="4.4721874778750621"/>
    <n v="0.84082428378111862"/>
    <n v="0.31003629087754364"/>
    <n v="40"/>
    <x v="0"/>
    <m/>
  </r>
  <r>
    <x v="633"/>
    <d v="2015-02-08T00:00:00"/>
    <n v="83270"/>
    <n v="1745"/>
    <n v="183"/>
    <x v="0"/>
    <x v="5"/>
    <x v="4"/>
    <n v="2.3153596733517476"/>
    <n v="20.955926504143147"/>
    <n v="2.1976702293743244"/>
    <n v="0.84074039063474082"/>
    <n v="0.30964389613114368"/>
    <n v="40"/>
    <x v="0"/>
    <m/>
  </r>
  <r>
    <x v="634"/>
    <d v="2015-07-03T00:00:00"/>
    <n v="70919"/>
    <n v="1231"/>
    <n v="181"/>
    <x v="0"/>
    <x v="3"/>
    <x v="1"/>
    <n v="1.9910038212608752"/>
    <n v="17.357830764675192"/>
    <n v="2.5522074479335584"/>
    <n v="0.84065588922631618"/>
    <n v="0.30924687324099787"/>
    <n v="40"/>
    <x v="0"/>
    <m/>
  </r>
  <r>
    <x v="635"/>
    <d v="2015-02-26T00:00:00"/>
    <n v="66547"/>
    <n v="1576"/>
    <n v="238"/>
    <x v="0"/>
    <x v="5"/>
    <x v="2"/>
    <n v="2.725892977895322"/>
    <n v="23.682510105639622"/>
    <n v="3.5764196733135978"/>
    <n v="0.84057076182908863"/>
    <n v="0.30884700034145518"/>
    <n v="40"/>
    <x v="0"/>
    <m/>
  </r>
  <r>
    <x v="636"/>
    <d v="2015-02-21T00:00:00"/>
    <n v="65066"/>
    <n v="1559"/>
    <n v="375"/>
    <x v="0"/>
    <x v="5"/>
    <x v="6"/>
    <n v="2.9723665201487717"/>
    <n v="23.960286478345065"/>
    <n v="5.7633787231426554"/>
    <n v="0.84048507127300842"/>
    <n v="0.30844486031799628"/>
    <n v="40"/>
    <x v="0"/>
    <m/>
  </r>
  <r>
    <x v="637"/>
    <d v="2014-06-22T00:00:00"/>
    <n v="65046"/>
    <n v="1842"/>
    <n v="428"/>
    <x v="1"/>
    <x v="4"/>
    <x v="4"/>
    <n v="3.4898379608277219"/>
    <n v="28.318420809888387"/>
    <n v="6.5799587983888328"/>
    <n v="0.84039878424726888"/>
    <n v="0.30804122741831808"/>
    <n v="40"/>
    <x v="0"/>
    <m/>
  </r>
  <r>
    <x v="638"/>
    <d v="2023-07-06T00:00:00"/>
    <n v="539238972"/>
    <n v="26241912"/>
    <n v="39406"/>
    <x v="6"/>
    <x v="3"/>
    <x v="2"/>
    <n v="4.873779412219486"/>
    <n v="48.664717059804794"/>
    <n v="7.3077062390067754E-2"/>
    <n v="0.84031191856295262"/>
    <n v="0.30763527029341864"/>
    <n v="41"/>
    <x v="0"/>
    <m/>
  </r>
  <r>
    <x v="639"/>
    <d v="2024-02-27T00:00:00"/>
    <n v="494324020"/>
    <n v="15192554"/>
    <n v="30585"/>
    <x v="9"/>
    <x v="5"/>
    <x v="0"/>
    <n v="3.0795871501449597"/>
    <n v="30.733999128749598"/>
    <n v="6.1872372699995438E-2"/>
    <n v="0.84249170474565505"/>
    <n v="0.31127788240810361"/>
    <n v="41"/>
    <x v="0"/>
    <m/>
  </r>
  <r>
    <x v="640"/>
    <d v="2024-08-15T00:00:00"/>
    <n v="464460790"/>
    <n v="12466964"/>
    <n v="33605"/>
    <x v="9"/>
    <x v="0"/>
    <x v="2"/>
    <n v="2.6914153506908516"/>
    <n v="26.84180079011621"/>
    <n v="7.235271679230447E-2"/>
    <n v="0.83939948310372481"/>
    <n v="0.31501782848634674"/>
    <n v="41"/>
    <x v="0"/>
    <m/>
  </r>
  <r>
    <x v="641"/>
    <d v="2025-04-29T00:00:00"/>
    <n v="460500616"/>
    <n v="10233050"/>
    <n v="31574"/>
    <x v="4"/>
    <x v="1"/>
    <x v="0"/>
    <n v="2.2290141735662736"/>
    <n v="22.221577223688229"/>
    <n v="6.8564511974507317E-2"/>
    <n v="0.83671897461863454"/>
    <n v="0.31819325115807373"/>
    <n v="41"/>
    <x v="0"/>
    <m/>
  </r>
  <r>
    <x v="642"/>
    <d v="2023-05-06T00:00:00"/>
    <n v="220057069"/>
    <n v="5541847"/>
    <n v="153718"/>
    <x v="6"/>
    <x v="6"/>
    <x v="6"/>
    <n v="2.5882217853224248"/>
    <n v="25.183680875073364"/>
    <n v="0.69853697815088145"/>
    <n v="0.83467434671134833"/>
    <n v="0.32153800062448906"/>
    <n v="41"/>
    <x v="0"/>
    <m/>
  </r>
  <r>
    <x v="643"/>
    <d v="2023-01-28T00:00:00"/>
    <n v="217481323"/>
    <n v="10381263"/>
    <n v="378164"/>
    <x v="6"/>
    <x v="8"/>
    <x v="6"/>
    <n v="4.9472878183659015"/>
    <n v="47.734043810281584"/>
    <n v="1.7388343733774325"/>
    <n v="0.83429818074868334"/>
    <n v="0.31966406477360243"/>
    <n v="41"/>
    <x v="0"/>
    <m/>
  </r>
  <r>
    <x v="644"/>
    <d v="2020-09-19T00:00:00"/>
    <n v="215454832"/>
    <n v="4905072"/>
    <n v="184999"/>
    <x v="7"/>
    <x v="9"/>
    <x v="6"/>
    <n v="2.3624770689756449"/>
    <n v="22.76612668403742"/>
    <n v="0.85864400571902699"/>
    <n v="0.8350981157995746"/>
    <n v="0.31675902228813019"/>
    <n v="41"/>
    <x v="0"/>
    <m/>
  </r>
  <r>
    <x v="645"/>
    <d v="2020-01-17T00:00:00"/>
    <n v="180415422"/>
    <n v="2995934"/>
    <n v="50755"/>
    <x v="7"/>
    <x v="8"/>
    <x v="1"/>
    <n v="1.688707631656899"/>
    <n v="16.605753359599159"/>
    <n v="0.28132295696983151"/>
    <n v="0.83480060723199645"/>
    <n v="0.3144533577107706"/>
    <n v="41"/>
    <x v="1"/>
    <n v="3.9222624844298495"/>
  </r>
  <r>
    <x v="646"/>
    <d v="2019-07-02T00:00:00"/>
    <n v="171642124"/>
    <n v="3710639"/>
    <n v="179748"/>
    <x v="11"/>
    <x v="3"/>
    <x v="0"/>
    <n v="2.2665688989026962"/>
    <n v="21.618463542201329"/>
    <n v="1.047225446825629"/>
    <n v="0.83484616428303338"/>
    <n v="0.31448265751717708"/>
    <n v="41"/>
    <x v="1"/>
    <n v="2.8612354097118637"/>
  </r>
  <r>
    <x v="647"/>
    <d v="2020-03-13T00:00:00"/>
    <n v="162824843"/>
    <n v="2812929"/>
    <n v="66943"/>
    <x v="7"/>
    <x v="2"/>
    <x v="1"/>
    <n v="1.768693245415873"/>
    <n v="17.275797403962493"/>
    <n v="0.41113505019624064"/>
    <n v="0.83472724611306304"/>
    <n v="0.31311437757027655"/>
    <n v="41"/>
    <x v="1"/>
    <n v="2.2167168205873198"/>
  </r>
  <r>
    <x v="648"/>
    <d v="2019-12-19T00:00:00"/>
    <n v="152936009"/>
    <n v="3454222"/>
    <n v="295240"/>
    <x v="11"/>
    <x v="7"/>
    <x v="2"/>
    <n v="2.4516541424851752"/>
    <n v="22.586060814493987"/>
    <n v="1.930480610357761"/>
    <n v="0.83475160105177815"/>
    <n v="0.31287219653104464"/>
    <n v="41"/>
    <x v="1"/>
    <n v="3.3292875908371613"/>
  </r>
  <r>
    <x v="649"/>
    <d v="2026-03-21T00:00:00"/>
    <n v="140045451"/>
    <n v="2900664"/>
    <n v="118253"/>
    <x v="5"/>
    <x v="2"/>
    <x v="6"/>
    <n v="2.1556694476281133"/>
    <n v="20.712304321830491"/>
    <n v="0.84439015445064336"/>
    <n v="0.83465955774131717"/>
    <n v="0.31237301438360776"/>
    <n v="41"/>
    <x v="0"/>
    <m/>
  </r>
  <r>
    <x v="650"/>
    <d v="2025-05-10T00:00:00"/>
    <n v="138442638"/>
    <n v="3083779"/>
    <n v="78603"/>
    <x v="4"/>
    <x v="6"/>
    <x v="6"/>
    <n v="2.2842543638904078"/>
    <n v="22.27477780364168"/>
    <n v="0.56776583526239943"/>
    <n v="0.83462014744440383"/>
    <n v="0.31179205465742399"/>
    <n v="41"/>
    <x v="4"/>
    <n v="3.5667066383789936"/>
  </r>
  <r>
    <x v="651"/>
    <d v="2019-04-27T00:00:00"/>
    <n v="101097608"/>
    <n v="1856966"/>
    <n v="41059"/>
    <x v="11"/>
    <x v="1"/>
    <x v="6"/>
    <n v="1.8774183064746695"/>
    <n v="18.368050804921118"/>
    <n v="0.40613225982557372"/>
    <n v="0.83456155047626246"/>
    <n v="0.31147948167770056"/>
    <n v="41"/>
    <x v="0"/>
    <m/>
  </r>
  <r>
    <x v="652"/>
    <d v="2019-06-01T00:00:00"/>
    <n v="41000146"/>
    <n v="1114797"/>
    <n v="34503"/>
    <x v="11"/>
    <x v="4"/>
    <x v="6"/>
    <n v="2.8031607497202571"/>
    <n v="27.190073908517302"/>
    <n v="0.84153358868526962"/>
    <n v="0.83457764245279131"/>
    <n v="0.31148961401497649"/>
    <n v="41"/>
    <x v="1"/>
    <n v="1.5412291936118558"/>
  </r>
  <r>
    <x v="653"/>
    <d v="2018-10-28T00:00:00"/>
    <n v="36328287"/>
    <n v="972061"/>
    <n v="35213"/>
    <x v="13"/>
    <x v="10"/>
    <x v="4"/>
    <n v="2.7726988613583679"/>
    <n v="26.757688850013764"/>
    <n v="0.96929976356991454"/>
    <n v="0.8345704631251406"/>
    <n v="0.31147405685533974"/>
    <n v="41"/>
    <x v="1"/>
    <n v="1.8763921590114949"/>
  </r>
  <r>
    <x v="654"/>
    <d v="2018-09-22T00:00:00"/>
    <n v="29049488"/>
    <n v="793621"/>
    <n v="133125"/>
    <x v="13"/>
    <x v="9"/>
    <x v="6"/>
    <n v="3.1902317865292495"/>
    <n v="27.319620917243018"/>
    <n v="4.5826969480494801"/>
    <n v="0.83455701424860806"/>
    <n v="0.31146318468212097"/>
    <n v="41"/>
    <x v="0"/>
    <m/>
  </r>
  <r>
    <x v="655"/>
    <d v="2018-04-30T00:00:00"/>
    <n v="27017959"/>
    <n v="544680"/>
    <n v="24270"/>
    <x v="13"/>
    <x v="1"/>
    <x v="5"/>
    <n v="2.1058215389252757"/>
    <n v="20.159923997219774"/>
    <n v="0.8982913920329807"/>
    <n v="0.83453482216621899"/>
    <n v="0.31265653559108808"/>
    <n v="41"/>
    <x v="0"/>
    <m/>
  </r>
  <r>
    <x v="656"/>
    <d v="2013-09-07T00:00:00"/>
    <n v="13394140"/>
    <n v="1169635"/>
    <n v="71504"/>
    <x v="3"/>
    <x v="9"/>
    <x v="6"/>
    <n v="9.2662836135802671"/>
    <n v="87.324382155181297"/>
    <n v="5.3384539806213764"/>
    <n v="0.83449873175935385"/>
    <n v="0.31257041188077761"/>
    <n v="41"/>
    <x v="0"/>
    <m/>
  </r>
  <r>
    <x v="657"/>
    <d v="2016-06-04T00:00:00"/>
    <n v="3790080"/>
    <n v="166052"/>
    <n v="6903"/>
    <x v="2"/>
    <x v="4"/>
    <x v="6"/>
    <n v="4.5633601401553525"/>
    <n v="43.812267814927388"/>
    <n v="1.82133358662614"/>
    <n v="0.83455200234718707"/>
    <n v="0.31302355360273659"/>
    <n v="41"/>
    <x v="0"/>
    <m/>
  </r>
  <r>
    <x v="658"/>
    <d v="2016-08-23T00:00:00"/>
    <n v="3378245"/>
    <n v="139231"/>
    <n v="6764"/>
    <x v="2"/>
    <x v="0"/>
    <x v="0"/>
    <n v="4.3216226176609451"/>
    <n v="41.214003128843522"/>
    <n v="2.0022230477659257"/>
    <n v="0.83448437361990457"/>
    <n v="0.31273462497293175"/>
    <n v="41"/>
    <x v="0"/>
    <m/>
  </r>
  <r>
    <x v="659"/>
    <d v="2017-12-17T00:00:00"/>
    <n v="2457405"/>
    <n v="84917"/>
    <n v="9760"/>
    <x v="8"/>
    <x v="7"/>
    <x v="4"/>
    <n v="3.8527226891782189"/>
    <n v="34.555557590222207"/>
    <n v="3.9716693015599791"/>
    <n v="0.83441387307213311"/>
    <n v="0.31244075822240586"/>
    <n v="41"/>
    <x v="0"/>
    <m/>
  </r>
  <r>
    <x v="660"/>
    <d v="2016-12-05T00:00:00"/>
    <n v="1849382"/>
    <n v="92644"/>
    <n v="7558"/>
    <x v="2"/>
    <x v="7"/>
    <x v="5"/>
    <n v="5.418134274043978"/>
    <n v="50.094572132744879"/>
    <n v="4.0867706076948949"/>
    <n v="0.83433804508325615"/>
    <n v="0.31217150789743098"/>
    <n v="41"/>
    <x v="0"/>
    <m/>
  </r>
  <r>
    <x v="661"/>
    <d v="2016-09-05T00:00:00"/>
    <n v="859670"/>
    <n v="35522"/>
    <n v="4548"/>
    <x v="2"/>
    <x v="9"/>
    <x v="5"/>
    <n v="4.6610908837111911"/>
    <n v="41.320506706061629"/>
    <n v="5.2904021310502864"/>
    <n v="0.83426222827075636"/>
    <n v="0.31187583192188445"/>
    <n v="41"/>
    <x v="3"/>
    <n v="1.6115211029317025"/>
  </r>
  <r>
    <x v="662"/>
    <d v="2016-05-07T00:00:00"/>
    <n v="414189"/>
    <n v="15852"/>
    <n v="866"/>
    <x v="2"/>
    <x v="6"/>
    <x v="6"/>
    <n v="4.0363215826591237"/>
    <n v="38.272382897662659"/>
    <n v="2.090832928928581"/>
    <n v="0.83418067941707363"/>
    <n v="0.3115437166524801"/>
    <n v="41"/>
    <x v="0"/>
    <m/>
  </r>
  <r>
    <x v="663"/>
    <d v="2015-04-09T00:00:00"/>
    <n v="252448"/>
    <n v="3740"/>
    <n v="676"/>
    <x v="0"/>
    <x v="1"/>
    <x v="2"/>
    <n v="1.749271137026239"/>
    <n v="14.814932184053745"/>
    <n v="2.6777791862086446"/>
    <n v="0.83409671789572393"/>
    <n v="0.31117041076720697"/>
    <n v="41"/>
    <x v="0"/>
    <m/>
  </r>
  <r>
    <x v="664"/>
    <d v="2015-08-31T00:00:00"/>
    <n v="245946"/>
    <n v="6875"/>
    <n v="733"/>
    <x v="0"/>
    <x v="0"/>
    <x v="5"/>
    <n v="3.0933619575028666"/>
    <n v="27.953290559716361"/>
    <n v="2.9803290153123041"/>
    <n v="0.83401105402523379"/>
    <n v="0.31079166376168249"/>
    <n v="41"/>
    <x v="4"/>
    <n v="1.4991652681161742"/>
  </r>
  <r>
    <x v="665"/>
    <d v="2015-06-09T00:00:00"/>
    <n v="245853"/>
    <n v="2394"/>
    <n v="168"/>
    <x v="0"/>
    <x v="4"/>
    <x v="0"/>
    <n v="1.0420861246354529"/>
    <n v="9.7375260826591497"/>
    <n v="0.68333516369537894"/>
    <n v="0.83392501802596364"/>
    <n v="0.31041061702405742"/>
    <n v="41"/>
    <x v="0"/>
    <m/>
  </r>
  <r>
    <x v="666"/>
    <d v="2015-04-02T00:00:00"/>
    <n v="217764"/>
    <n v="9220"/>
    <n v="782"/>
    <x v="0"/>
    <x v="1"/>
    <x v="2"/>
    <n v="4.5930456824819528"/>
    <n v="42.339413309821637"/>
    <n v="3.5910435149978874"/>
    <n v="0.83383796032617052"/>
    <n v="0.31002107359349251"/>
    <n v="41"/>
    <x v="0"/>
    <m/>
  </r>
  <r>
    <x v="667"/>
    <d v="2014-12-01T00:00:00"/>
    <n v="117193"/>
    <n v="2275"/>
    <n v="259"/>
    <x v="1"/>
    <x v="7"/>
    <x v="5"/>
    <n v="2.1622451852926368"/>
    <n v="19.412422243649363"/>
    <n v="2.2100296092770049"/>
    <n v="0.83375082617861063"/>
    <n v="0.30963459928303672"/>
    <n v="41"/>
    <x v="0"/>
    <m/>
  </r>
  <r>
    <x v="668"/>
    <d v="2015-04-06T00:00:00"/>
    <n v="115445"/>
    <n v="2059"/>
    <n v="213"/>
    <x v="0"/>
    <x v="1"/>
    <x v="5"/>
    <n v="1.9680367274459698"/>
    <n v="17.835332842479104"/>
    <n v="1.8450344319805969"/>
    <n v="0.8336624032020058"/>
    <n v="0.3092394322789333"/>
    <n v="41"/>
    <x v="0"/>
    <m/>
  </r>
  <r>
    <x v="669"/>
    <d v="2016-01-05T00:00:00"/>
    <n v="82632"/>
    <n v="2270"/>
    <n v="439"/>
    <x v="2"/>
    <x v="8"/>
    <x v="0"/>
    <n v="3.2783909381353471"/>
    <n v="27.471197598993125"/>
    <n v="5.3127117823603447"/>
    <n v="0.83357329478660969"/>
    <n v="0.30884078306127427"/>
    <n v="41"/>
    <x v="0"/>
    <m/>
  </r>
  <r>
    <x v="670"/>
    <d v="2015-07-21T00:00:00"/>
    <n v="77700"/>
    <n v="1307"/>
    <n v="171"/>
    <x v="0"/>
    <x v="3"/>
    <x v="0"/>
    <n v="1.9021879021879022"/>
    <n v="16.82110682110682"/>
    <n v="2.2007722007722008"/>
    <n v="0.8334835186019206"/>
    <n v="0.30844121788648177"/>
    <n v="41"/>
    <x v="3"/>
    <n v="3.038575293518011"/>
  </r>
  <r>
    <x v="671"/>
    <d v="2016-02-20T00:00:00"/>
    <n v="75336"/>
    <n v="2081"/>
    <n v="160"/>
    <x v="2"/>
    <x v="5"/>
    <x v="6"/>
    <n v="2.9746734628862694"/>
    <n v="27.622916002973344"/>
    <n v="2.1238186258893492"/>
    <n v="0.83339297508908738"/>
    <n v="0.30803582904975518"/>
    <n v="41"/>
    <x v="0"/>
    <m/>
  </r>
  <r>
    <x v="672"/>
    <d v="2016-04-03T00:00:00"/>
    <n v="75113"/>
    <n v="1937"/>
    <n v="248"/>
    <x v="2"/>
    <x v="1"/>
    <x v="4"/>
    <n v="2.9089505145580659"/>
    <n v="25.787813028370586"/>
    <n v="3.3016921172100702"/>
    <n v="0.83330180848739499"/>
    <n v="0.30762719215345607"/>
    <n v="41"/>
    <x v="1"/>
    <n v="2.8901601463093378"/>
  </r>
  <r>
    <x v="673"/>
    <d v="2014-03-26T00:00:00"/>
    <n v="70675"/>
    <n v="1868"/>
    <n v="255"/>
    <x v="1"/>
    <x v="2"/>
    <x v="3"/>
    <n v="3.0038910505836576"/>
    <n v="26.430845419172268"/>
    <n v="3.6080650866643085"/>
    <n v="0.83320993177530478"/>
    <n v="0.30721629856444715"/>
    <n v="41"/>
    <x v="0"/>
    <m/>
  </r>
  <r>
    <x v="674"/>
    <d v="2014-07-05T00:00:00"/>
    <n v="66224"/>
    <n v="1815"/>
    <n v="216"/>
    <x v="1"/>
    <x v="3"/>
    <x v="6"/>
    <n v="3.0668639768059918"/>
    <n v="27.406982362889586"/>
    <n v="3.2616574051703311"/>
    <n v="0.83311734178946784"/>
    <n v="0.30680226503668573"/>
    <n v="41"/>
    <x v="0"/>
    <m/>
  </r>
  <r>
    <x v="675"/>
    <d v="2014-11-17T00:00:00"/>
    <n v="65288"/>
    <n v="1416"/>
    <n v="236"/>
    <x v="1"/>
    <x v="11"/>
    <x v="5"/>
    <n v="2.5303271657885062"/>
    <n v="21.688518563901482"/>
    <n v="3.6147530939835804"/>
    <n v="0.83302403168423422"/>
    <n v="0.30638457727234553"/>
    <n v="41"/>
    <x v="0"/>
    <m/>
  </r>
  <r>
    <x v="676"/>
    <d v="2014-08-20T00:00:00"/>
    <n v="65276"/>
    <n v="1701"/>
    <n v="391"/>
    <x v="1"/>
    <x v="0"/>
    <x v="3"/>
    <n v="3.2048532385562845"/>
    <n v="26.058582020957168"/>
    <n v="5.9899503646056749"/>
    <n v="0.83292996356862914"/>
    <n v="0.30596382511792242"/>
    <n v="41"/>
    <x v="0"/>
    <m/>
  </r>
  <r>
    <x v="677"/>
    <d v="2015-07-18T00:00:00"/>
    <n v="65051"/>
    <n v="11498"/>
    <n v="3347"/>
    <x v="0"/>
    <x v="3"/>
    <x v="6"/>
    <n v="22.820556178998018"/>
    <n v="176.75362407956834"/>
    <n v="51.451937710411826"/>
    <n v="0.83283519018338481"/>
    <n v="0.3055413930171606"/>
    <n v="41"/>
    <x v="0"/>
    <m/>
  </r>
  <r>
    <x v="678"/>
    <d v="2015-07-23T00:00:00"/>
    <n v="65036"/>
    <n v="1997"/>
    <n v="338"/>
    <x v="0"/>
    <x v="3"/>
    <x v="2"/>
    <n v="3.5903192078233594"/>
    <n v="30.706070484039611"/>
    <n v="5.1971215941939848"/>
    <n v="0.83274056592058177"/>
    <n v="0.30514719388352479"/>
    <n v="41"/>
    <x v="0"/>
    <m/>
  </r>
  <r>
    <x v="679"/>
    <d v="2024-02-24T00:00:00"/>
    <n v="784124610"/>
    <n v="13512035"/>
    <n v="13536"/>
    <x v="9"/>
    <x v="5"/>
    <x v="6"/>
    <n v="1.7249262205913929"/>
    <n v="17.231999643526045"/>
    <n v="1.7262562387883731E-2"/>
    <n v="0.83264433623307021"/>
    <n v="0.30471764197829176"/>
    <n v="42"/>
    <x v="0"/>
    <m/>
  </r>
  <r>
    <x v="680"/>
    <d v="2024-05-14T00:00:00"/>
    <n v="553404359"/>
    <n v="12961525"/>
    <n v="52785"/>
    <x v="9"/>
    <x v="6"/>
    <x v="0"/>
    <n v="2.3516818739044303"/>
    <n v="23.4214364039731"/>
    <n v="9.5382335071198823E-2"/>
    <n v="0.82975329033300271"/>
    <n v="0.31747780598042458"/>
    <n v="42"/>
    <x v="0"/>
    <m/>
  </r>
  <r>
    <x v="681"/>
    <d v="2020-08-01T00:00:00"/>
    <n v="337597152"/>
    <n v="4969932"/>
    <n v="138338"/>
    <x v="7"/>
    <x v="0"/>
    <x v="6"/>
    <n v="1.5131259164176836"/>
    <n v="14.721486749983008"/>
    <n v="0.40977241419382593"/>
    <n v="0.82576856329059212"/>
    <n v="0.32089974533231752"/>
    <n v="42"/>
    <x v="0"/>
    <m/>
  </r>
  <r>
    <x v="682"/>
    <d v="2026-02-28T00:00:00"/>
    <n v="325367332"/>
    <n v="2951349"/>
    <n v="25039"/>
    <x v="5"/>
    <x v="5"/>
    <x v="6"/>
    <n v="0.91477776263045374"/>
    <n v="9.0708215291878158"/>
    <n v="7.695609711671976E-2"/>
    <n v="0.82607868421339348"/>
    <n v="0.31782220982582043"/>
    <n v="42"/>
    <x v="0"/>
    <m/>
  </r>
  <r>
    <x v="683"/>
    <d v="2025-03-22T00:00:00"/>
    <n v="186541093"/>
    <n v="3333829"/>
    <n v="55550"/>
    <x v="4"/>
    <x v="2"/>
    <x v="6"/>
    <n v="1.816961048898754"/>
    <n v="17.871820875414297"/>
    <n v="0.29778961357324096"/>
    <n v="0.82794898003805573"/>
    <n v="0.31992896762396111"/>
    <n v="42"/>
    <x v="4"/>
    <n v="2.9723665201487717"/>
  </r>
  <r>
    <x v="684"/>
    <d v="2019-05-18T00:00:00"/>
    <n v="171655392"/>
    <n v="4343883"/>
    <n v="180067"/>
    <x v="11"/>
    <x v="6"/>
    <x v="6"/>
    <n v="2.6354837720448656"/>
    <n v="25.30583484380147"/>
    <n v="1.0490028766471839"/>
    <n v="0.82794349186351734"/>
    <n v="0.31990438304417207"/>
    <n v="42"/>
    <x v="3"/>
    <n v="3.4898379608277219"/>
  </r>
  <r>
    <x v="685"/>
    <d v="2021-03-13T00:00:00"/>
    <n v="170443698"/>
    <n v="3547637"/>
    <n v="111230"/>
    <x v="12"/>
    <x v="2"/>
    <x v="6"/>
    <n v="2.1466719174328168"/>
    <n v="20.814128311156448"/>
    <n v="0.65259086317172021"/>
    <n v="0.8277373747516884"/>
    <n v="0.31837867999058983"/>
    <n v="42"/>
    <x v="1"/>
    <n v="4.873779412219486"/>
  </r>
  <r>
    <x v="686"/>
    <d v="2026-04-18T00:00:00"/>
    <n v="158846200"/>
    <n v="3208380"/>
    <n v="168813"/>
    <x v="5"/>
    <x v="1"/>
    <x v="6"/>
    <n v="2.1260772999291135"/>
    <n v="20.198028029628659"/>
    <n v="1.0627449696624787"/>
    <n v="0.82763527150287985"/>
    <n v="0.31747624499821536"/>
    <n v="42"/>
    <x v="1"/>
    <n v="3.0795871501449597"/>
  </r>
  <r>
    <x v="687"/>
    <d v="2019-02-10T00:00:00"/>
    <n v="124194580"/>
    <n v="2355769"/>
    <n v="132982"/>
    <x v="11"/>
    <x v="5"/>
    <x v="4"/>
    <n v="2.003912731135288"/>
    <n v="18.968372049730348"/>
    <n v="1.0707552616225282"/>
    <n v="0.82757603803581448"/>
    <n v="0.31626243105477997"/>
    <n v="42"/>
    <x v="0"/>
    <m/>
  </r>
  <r>
    <x v="688"/>
    <d v="2017-12-06T00:00:00"/>
    <n v="26037772"/>
    <n v="480408"/>
    <n v="55895"/>
    <x v="8"/>
    <x v="7"/>
    <x v="3"/>
    <n v="2.0597115605743839"/>
    <n v="18.45042655723385"/>
    <n v="2.1466890485099879"/>
    <n v="0.82758564409605839"/>
    <n v="0.31579041805224739"/>
    <n v="42"/>
    <x v="0"/>
    <m/>
  </r>
  <r>
    <x v="689"/>
    <d v="2013-11-17T00:00:00"/>
    <n v="509101"/>
    <n v="7940"/>
    <n v="821"/>
    <x v="3"/>
    <x v="11"/>
    <x v="4"/>
    <n v="1.7208766040530268"/>
    <n v="15.596119434061217"/>
    <n v="1.6126466064690503"/>
    <n v="0.82754209868069051"/>
    <n v="0.31597435041621624"/>
    <n v="42"/>
    <x v="0"/>
    <m/>
  </r>
  <r>
    <x v="690"/>
    <d v="2014-07-11T00:00:00"/>
    <n v="363851"/>
    <n v="3128"/>
    <n v="242"/>
    <x v="1"/>
    <x v="3"/>
    <x v="1"/>
    <n v="0.92620330849715948"/>
    <n v="8.596925664626454"/>
    <n v="0.66510742034514125"/>
    <n v="0.8274507844134642"/>
    <n v="0.315585730960461"/>
    <n v="42"/>
    <x v="0"/>
    <m/>
  </r>
  <r>
    <x v="691"/>
    <d v="2013-07-25T00:00:00"/>
    <n v="226693"/>
    <n v="7699"/>
    <n v="694"/>
    <x v="3"/>
    <x v="3"/>
    <x v="2"/>
    <n v="3.70236399006586"/>
    <n v="33.962230858473795"/>
    <n v="3.0614090421848048"/>
    <n v="0.82735823732144165"/>
    <n v="0.31518734551654365"/>
    <n v="42"/>
    <x v="0"/>
    <m/>
  </r>
  <r>
    <x v="692"/>
    <d v="2016-01-26T00:00:00"/>
    <n v="188031"/>
    <n v="6238"/>
    <n v="437"/>
    <x v="2"/>
    <x v="8"/>
    <x v="0"/>
    <n v="3.54994655136653"/>
    <n v="33.175380655317468"/>
    <n v="2.3240848583478257"/>
    <n v="0.82726530109732443"/>
    <n v="0.31478958434355958"/>
    <n v="42"/>
    <x v="0"/>
    <m/>
  </r>
  <r>
    <x v="693"/>
    <d v="2013-08-01T00:00:00"/>
    <n v="182413"/>
    <n v="6428"/>
    <n v="1082"/>
    <x v="3"/>
    <x v="0"/>
    <x v="2"/>
    <n v="4.1170311326495375"/>
    <n v="35.238716538843178"/>
    <n v="5.9315947876521964"/>
    <n v="0.82717146160052313"/>
    <n v="0.31438573255219504"/>
    <n v="42"/>
    <x v="0"/>
    <m/>
  </r>
  <r>
    <x v="694"/>
    <d v="2013-07-27T00:00:00"/>
    <n v="179322"/>
    <n v="5490"/>
    <n v="614"/>
    <x v="3"/>
    <x v="3"/>
    <x v="6"/>
    <n v="3.4039325905354612"/>
    <n v="30.61531769665741"/>
    <n v="3.4240082086972037"/>
    <n v="0.82707687497184124"/>
    <n v="0.31398519067711061"/>
    <n v="42"/>
    <x v="0"/>
    <m/>
  </r>
  <r>
    <x v="695"/>
    <d v="2015-05-09T00:00:00"/>
    <n v="167190"/>
    <n v="2941"/>
    <n v="253"/>
    <x v="0"/>
    <x v="6"/>
    <x v="6"/>
    <n v="1.9104013397930497"/>
    <n v="17.590764997906572"/>
    <n v="1.5132484000239248"/>
    <n v="0.82698142804513319"/>
    <n v="0.31357647822402407"/>
    <n v="42"/>
    <x v="1"/>
    <n v="2.4516541424851752"/>
  </r>
  <r>
    <x v="696"/>
    <d v="2016-04-06T00:00:00"/>
    <n v="152841"/>
    <n v="5342"/>
    <n v="489"/>
    <x v="2"/>
    <x v="1"/>
    <x v="3"/>
    <n v="3.8150757977244329"/>
    <n v="34.951354675774169"/>
    <n v="3.1994033014701553"/>
    <n v="0.82688495578555365"/>
    <n v="0.31316056680304188"/>
    <n v="42"/>
    <x v="0"/>
    <m/>
  </r>
  <r>
    <x v="697"/>
    <d v="2015-08-01T00:00:00"/>
    <n v="126436"/>
    <n v="2363"/>
    <n v="227"/>
    <x v="0"/>
    <x v="0"/>
    <x v="6"/>
    <n v="2.0484672087063811"/>
    <n v="18.689297352019995"/>
    <n v="1.7953747350438165"/>
    <n v="0.82678790885586106"/>
    <n v="0.31274357795247526"/>
    <n v="42"/>
    <x v="0"/>
    <m/>
  </r>
  <r>
    <x v="698"/>
    <d v="2015-08-14T00:00:00"/>
    <n v="99391"/>
    <n v="3840"/>
    <n v="412"/>
    <x v="0"/>
    <x v="0"/>
    <x v="1"/>
    <n v="4.2780533448702602"/>
    <n v="38.635288909458602"/>
    <n v="4.1452445392439961"/>
    <n v="0.82668976741528433"/>
    <n v="0.31232021493615769"/>
    <n v="42"/>
    <x v="0"/>
    <m/>
  </r>
  <r>
    <x v="699"/>
    <d v="2013-12-29T00:00:00"/>
    <n v="67793"/>
    <n v="2116"/>
    <n v="568"/>
    <x v="3"/>
    <x v="7"/>
    <x v="4"/>
    <n v="3.9591108226513065"/>
    <n v="31.212662074255455"/>
    <n v="8.3784461522576077"/>
    <n v="0.82659093967068797"/>
    <n v="0.31189509850231562"/>
    <n v="42"/>
    <x v="0"/>
    <m/>
  </r>
  <r>
    <x v="700"/>
    <d v="2014-07-10T00:00:00"/>
    <n v="65100"/>
    <n v="1681"/>
    <n v="267"/>
    <x v="1"/>
    <x v="3"/>
    <x v="2"/>
    <n v="2.9923195084485408"/>
    <n v="25.821812596006144"/>
    <n v="4.1013824884792625"/>
    <n v="0.82649111001128261"/>
    <n v="0.3114678819226992"/>
    <n v="42"/>
    <x v="0"/>
    <m/>
  </r>
  <r>
    <x v="701"/>
    <d v="2015-07-19T00:00:00"/>
    <n v="65063"/>
    <n v="2000"/>
    <n v="516"/>
    <x v="0"/>
    <x v="3"/>
    <x v="4"/>
    <n v="3.867021194841922"/>
    <n v="30.739437160905585"/>
    <n v="7.9307747875136405"/>
    <n v="0.82639040217837312"/>
    <n v="0.31103382985427597"/>
    <n v="42"/>
    <x v="0"/>
    <m/>
  </r>
  <r>
    <x v="702"/>
    <d v="2015-08-30T00:00:00"/>
    <n v="65062"/>
    <n v="1950"/>
    <n v="539"/>
    <x v="0"/>
    <x v="0"/>
    <x v="4"/>
    <n v="3.8255817527896467"/>
    <n v="29.971411884049061"/>
    <n v="8.284405643847407"/>
    <n v="0.82628887881514634"/>
    <n v="0.31059875368340384"/>
    <n v="42"/>
    <x v="0"/>
    <m/>
  </r>
  <r>
    <x v="703"/>
    <d v="2015-12-02T00:00:00"/>
    <n v="65054"/>
    <n v="1495"/>
    <n v="291"/>
    <x v="0"/>
    <x v="7"/>
    <x v="3"/>
    <n v="2.7454115042887448"/>
    <n v="22.980908168598393"/>
    <n v="4.4732068742890521"/>
    <n v="0.82618649397834809"/>
    <n v="0.31016021404949773"/>
    <n v="42"/>
    <x v="0"/>
    <m/>
  </r>
  <r>
    <x v="704"/>
    <d v="2015-09-18T00:00:00"/>
    <n v="65053"/>
    <n v="2387"/>
    <n v="340"/>
    <x v="0"/>
    <x v="9"/>
    <x v="1"/>
    <n v="4.1919665503512515"/>
    <n v="36.693157886646276"/>
    <n v="5.2265076168662477"/>
    <n v="0.82608319735651503"/>
    <n v="0.30971523617455216"/>
    <n v="42"/>
    <x v="0"/>
    <m/>
  </r>
  <r>
    <x v="705"/>
    <d v="2023-09-26T00:00:00"/>
    <n v="538569877"/>
    <n v="25215900"/>
    <n v="63720"/>
    <x v="6"/>
    <x v="9"/>
    <x v="0"/>
    <n v="4.6938421697134762"/>
    <n v="46.820108358938164"/>
    <n v="0.1183133381965958"/>
    <n v="0.82597910877306246"/>
    <n v="0.30926695901896883"/>
    <n v="43"/>
    <x v="0"/>
    <m/>
  </r>
  <r>
    <x v="706"/>
    <d v="2023-08-19T00:00:00"/>
    <n v="271012467"/>
    <n v="6554255"/>
    <n v="381323"/>
    <x v="6"/>
    <x v="0"/>
    <x v="6"/>
    <n v="2.5591361448327765"/>
    <n v="24.184330235996118"/>
    <n v="1.4070312123316453"/>
    <n v="0.8265141399085113"/>
    <n v="0.31160227234274118"/>
    <n v="43"/>
    <x v="1"/>
    <n v="3.8527226891782189"/>
  </r>
  <r>
    <x v="707"/>
    <d v="2021-10-23T00:00:00"/>
    <n v="202095557"/>
    <n v="4819480"/>
    <n v="126427"/>
    <x v="12"/>
    <x v="10"/>
    <x v="6"/>
    <n v="2.4473111004612536"/>
    <n v="23.847530700538854"/>
    <n v="0.62558030407368126"/>
    <n v="0.8256933261871896"/>
    <n v="0.30451681703749117"/>
    <n v="43"/>
    <x v="0"/>
    <m/>
  </r>
  <r>
    <x v="708"/>
    <d v="2019-05-30T00:00:00"/>
    <n v="157123998"/>
    <n v="3167508"/>
    <n v="139633"/>
    <x v="11"/>
    <x v="6"/>
    <x v="2"/>
    <n v="2.1047968751406136"/>
    <n v="20.159288462097305"/>
    <n v="0.88868028930882981"/>
    <n v="0.8253452477380715"/>
    <n v="0.3029609139733313"/>
    <n v="43"/>
    <x v="0"/>
    <m/>
  </r>
  <r>
    <x v="709"/>
    <d v="2020-10-24T00:00:00"/>
    <n v="155242746"/>
    <n v="4242563"/>
    <n v="85866"/>
    <x v="7"/>
    <x v="10"/>
    <x v="6"/>
    <n v="2.7881682793732598"/>
    <n v="27.328574824359265"/>
    <n v="0.55310796937333229"/>
    <n v="0.8252711747138437"/>
    <n v="0.3018798804513696"/>
    <n v="43"/>
    <x v="0"/>
    <m/>
  </r>
  <r>
    <x v="710"/>
    <d v="2019-03-29T00:00:00"/>
    <n v="122714114"/>
    <n v="2094099"/>
    <n v="44675"/>
    <x v="11"/>
    <x v="2"/>
    <x v="1"/>
    <n v="1.7428916122883795"/>
    <n v="17.064858570384168"/>
    <n v="0.36405755249962524"/>
    <n v="0.8251020534533744"/>
    <n v="0.30135339706708097"/>
    <n v="43"/>
    <x v="3"/>
    <n v="1.749271137026239"/>
  </r>
  <r>
    <x v="711"/>
    <d v="2020-03-27T00:00:00"/>
    <n v="69979526"/>
    <n v="1953039"/>
    <n v="64548"/>
    <x v="7"/>
    <x v="2"/>
    <x v="1"/>
    <n v="2.8831104114652049"/>
    <n v="27.908720044774238"/>
    <n v="0.92238406987780963"/>
    <n v="0.82514091086742147"/>
    <n v="0.30136862875945702"/>
    <n v="43"/>
    <x v="1"/>
    <n v="3.0933619575028666"/>
  </r>
  <r>
    <x v="712"/>
    <d v="2017-10-28T00:00:00"/>
    <n v="43966781"/>
    <n v="1112043"/>
    <n v="42324"/>
    <x v="8"/>
    <x v="10"/>
    <x v="6"/>
    <n v="2.6255435893748964"/>
    <n v="25.292800034644337"/>
    <n v="0.96263585910462712"/>
    <n v="0.82515213689035061"/>
    <n v="0.30140742823330824"/>
    <n v="43"/>
    <x v="0"/>
    <m/>
  </r>
  <r>
    <x v="713"/>
    <d v="2018-04-23T00:00:00"/>
    <n v="32857901"/>
    <n v="650873"/>
    <n v="44265"/>
    <x v="13"/>
    <x v="1"/>
    <x v="5"/>
    <n v="2.1155885763975002"/>
    <n v="19.808721196159183"/>
    <n v="1.3471645678158199"/>
    <n v="0.82514183347770198"/>
    <n v="0.30142932479398959"/>
    <n v="43"/>
    <x v="0"/>
    <m/>
  </r>
  <r>
    <x v="714"/>
    <d v="2017-08-15T00:00:00"/>
    <n v="10887002"/>
    <n v="226309"/>
    <n v="17577"/>
    <x v="8"/>
    <x v="0"/>
    <x v="0"/>
    <n v="2.2401575750606093"/>
    <n v="20.787081696136365"/>
    <n v="1.6144940544697244"/>
    <n v="0.82510714709331856"/>
    <n v="0.30148491434041225"/>
    <n v="43"/>
    <x v="1"/>
    <n v="2.1622451852926368"/>
  </r>
  <r>
    <x v="715"/>
    <d v="2013-07-08T00:00:00"/>
    <n v="747081"/>
    <n v="25855"/>
    <n v="2698"/>
    <x v="3"/>
    <x v="3"/>
    <x v="5"/>
    <n v="3.8219416636214816"/>
    <n v="34.608027777443141"/>
    <n v="3.6113888587716727"/>
    <n v="0.8250320644791671"/>
    <n v="0.30128329967126954"/>
    <n v="43"/>
    <x v="0"/>
    <m/>
  </r>
  <r>
    <x v="716"/>
    <d v="2014-11-02T00:00:00"/>
    <n v="386888"/>
    <n v="5011"/>
    <n v="302"/>
    <x v="1"/>
    <x v="11"/>
    <x v="4"/>
    <n v="1.3732656479394554"/>
    <n v="12.952068815781312"/>
    <n v="0.78058766361324206"/>
    <n v="0.82493286354463713"/>
    <n v="0.30087989736514115"/>
    <n v="43"/>
    <x v="0"/>
    <m/>
  </r>
  <r>
    <x v="717"/>
    <d v="2013-08-14T00:00:00"/>
    <n v="374868"/>
    <n v="18243"/>
    <n v="1500"/>
    <x v="3"/>
    <x v="0"/>
    <x v="3"/>
    <n v="5.2666538621594805"/>
    <n v="48.665130125804282"/>
    <n v="4.0014084957905185"/>
    <n v="0.82483052823393999"/>
    <n v="0.30044439800272149"/>
    <n v="43"/>
    <x v="0"/>
    <m/>
  </r>
  <r>
    <x v="718"/>
    <d v="2015-06-29T00:00:00"/>
    <n v="332155"/>
    <n v="16973"/>
    <n v="2042"/>
    <x v="0"/>
    <x v="4"/>
    <x v="5"/>
    <n v="5.7247369451009318"/>
    <n v="51.099637217564087"/>
    <n v="6.1477322334452289"/>
    <n v="0.82472860733115405"/>
    <n v="0.30001826252166391"/>
    <n v="43"/>
    <x v="0"/>
    <m/>
  </r>
  <r>
    <x v="719"/>
    <d v="2013-03-28T00:00:00"/>
    <n v="280160"/>
    <n v="0"/>
    <n v="1159"/>
    <x v="3"/>
    <x v="2"/>
    <x v="2"/>
    <n v="0.41369217589948598"/>
    <n v="0"/>
    <n v="4.1369217589948599"/>
    <n v="0.82462563089660057"/>
    <n v="0.29959419205111848"/>
    <n v="43"/>
    <x v="0"/>
    <m/>
  </r>
  <r>
    <x v="720"/>
    <d v="2013-12-05T00:00:00"/>
    <n v="126884"/>
    <n v="2671"/>
    <n v="369"/>
    <x v="3"/>
    <x v="7"/>
    <x v="2"/>
    <n v="2.3958891586015572"/>
    <n v="21.050723495476181"/>
    <n v="2.9081680905393901"/>
    <n v="0.82451999077581484"/>
    <n v="0.29915603958905074"/>
    <n v="43"/>
    <x v="0"/>
    <m/>
  </r>
  <r>
    <x v="721"/>
    <d v="2015-12-11T00:00:00"/>
    <n v="110854"/>
    <n v="4561"/>
    <n v="311"/>
    <x v="0"/>
    <x v="7"/>
    <x v="1"/>
    <n v="4.3949699604885701"/>
    <n v="41.144207696609953"/>
    <n v="2.8054919082757501"/>
    <n v="0.82441358477298354"/>
    <n v="0.29870411250830403"/>
    <n v="43"/>
    <x v="0"/>
    <m/>
  </r>
  <r>
    <x v="722"/>
    <d v="2014-03-27T00:00:00"/>
    <n v="68293"/>
    <n v="2043"/>
    <n v="501"/>
    <x v="1"/>
    <x v="2"/>
    <x v="2"/>
    <n v="3.7251255619170336"/>
    <n v="29.915218250772405"/>
    <n v="7.3360373683979319"/>
    <n v="0.8243064038180794"/>
    <n v="0.29824732329202291"/>
    <n v="43"/>
    <x v="0"/>
    <m/>
  </r>
  <r>
    <x v="723"/>
    <d v="2014-07-13T00:00:00"/>
    <n v="65729"/>
    <n v="1194"/>
    <n v="184"/>
    <x v="1"/>
    <x v="3"/>
    <x v="4"/>
    <n v="2.0964870909339863"/>
    <n v="18.165497725509287"/>
    <n v="2.7993731838305771"/>
    <n v="0.82419796935433465"/>
    <n v="0.29778827865752588"/>
    <n v="43"/>
    <x v="0"/>
    <m/>
  </r>
  <r>
    <x v="724"/>
    <d v="2015-09-26T00:00:00"/>
    <n v="65447"/>
    <n v="2298"/>
    <n v="325"/>
    <x v="0"/>
    <x v="9"/>
    <x v="6"/>
    <n v="4.0078231240545783"/>
    <n v="35.11238101058872"/>
    <n v="4.9658502299570646"/>
    <n v="0.82408845883761661"/>
    <n v="0.29732136955493171"/>
    <n v="43"/>
    <x v="0"/>
    <m/>
  </r>
  <r>
    <x v="725"/>
    <d v="2015-09-05T00:00:00"/>
    <n v="65040"/>
    <n v="2097"/>
    <n v="436"/>
    <x v="0"/>
    <x v="9"/>
    <x v="6"/>
    <n v="3.8945264452644528"/>
    <n v="32.241697416974169"/>
    <n v="6.7035670356703569"/>
    <n v="0.82397806154140485"/>
    <n v="0.29685177593389556"/>
    <n v="43"/>
    <x v="0"/>
    <m/>
  </r>
  <r>
    <x v="726"/>
    <d v="2015-06-19T00:00:00"/>
    <n v="65033"/>
    <n v="1763"/>
    <n v="404"/>
    <x v="0"/>
    <x v="4"/>
    <x v="1"/>
    <n v="3.3321544446665539"/>
    <n v="27.109313733027847"/>
    <n v="6.2122307136376911"/>
    <n v="0.82386662906635466"/>
    <n v="0.29637911651292531"/>
    <n v="43"/>
    <x v="0"/>
    <m/>
  </r>
  <r>
    <x v="727"/>
    <d v="2022-11-02T00:00:00"/>
    <n v="1816848204"/>
    <n v="42037409"/>
    <n v="154621"/>
    <x v="10"/>
    <x v="11"/>
    <x v="3"/>
    <n v="2.3222650030481029"/>
    <n v="23.137546057755301"/>
    <n v="8.5103972725725854E-2"/>
    <n v="0.82375413331130654"/>
    <n v="0.29590168565855002"/>
    <n v="44"/>
    <x v="0"/>
    <m/>
  </r>
  <r>
    <x v="728"/>
    <d v="2026-05-29T00:00:00"/>
    <n v="230044635"/>
    <n v="5129789"/>
    <n v="61502"/>
    <x v="5"/>
    <x v="6"/>
    <x v="1"/>
    <n v="2.256645107154966"/>
    <n v="22.299102954520109"/>
    <n v="0.26734811702954953"/>
    <n v="0.73113278952045779"/>
    <n v="0.32890837748592189"/>
    <n v="44"/>
    <x v="1"/>
    <n v="1.5131259164176836"/>
  </r>
  <r>
    <x v="729"/>
    <d v="2019-09-21T00:00:00"/>
    <n v="148012454"/>
    <n v="2739077"/>
    <n v="73263"/>
    <x v="11"/>
    <x v="9"/>
    <x v="6"/>
    <n v="1.9000698414202364"/>
    <n v="18.505719795713947"/>
    <n v="0.49497861848841451"/>
    <n v="0.73000384814637642"/>
    <n v="0.32903503257650263"/>
    <n v="44"/>
    <x v="0"/>
    <m/>
  </r>
  <r>
    <x v="730"/>
    <d v="2019-08-31T00:00:00"/>
    <n v="109684165"/>
    <n v="2595675"/>
    <n v="56541"/>
    <x v="11"/>
    <x v="0"/>
    <x v="6"/>
    <n v="2.4180482205430476"/>
    <n v="23.664993027936166"/>
    <n v="0.51548917749430834"/>
    <n v="0.72991186505409444"/>
    <n v="0.32865661226039139"/>
    <n v="44"/>
    <x v="1"/>
    <n v="1.816961048898754"/>
  </r>
  <r>
    <x v="731"/>
    <d v="2020-09-05T00:00:00"/>
    <n v="87901171"/>
    <n v="2644276"/>
    <n v="119447"/>
    <x v="7"/>
    <x v="9"/>
    <x v="6"/>
    <n v="3.1441253495928967"/>
    <n v="30.0823751255828"/>
    <n v="1.3588783703461698"/>
    <n v="0.72982206545794504"/>
    <n v="0.32857287591880996"/>
    <n v="44"/>
    <x v="0"/>
    <m/>
  </r>
  <r>
    <x v="732"/>
    <d v="2019-12-23T00:00:00"/>
    <n v="83212094"/>
    <n v="3159686"/>
    <n v="170244"/>
    <x v="11"/>
    <x v="7"/>
    <x v="5"/>
    <n v="4.0017380165916752"/>
    <n v="37.971475636702522"/>
    <n v="2.0459045292142268"/>
    <n v="0.72980808289050503"/>
    <n v="0.32850672576615408"/>
    <n v="44"/>
    <x v="0"/>
    <m/>
  </r>
  <r>
    <x v="733"/>
    <d v="2019-09-13T00:00:00"/>
    <n v="78851460"/>
    <n v="1605524"/>
    <n v="43600"/>
    <x v="11"/>
    <x v="9"/>
    <x v="1"/>
    <n v="2.0914311542233968"/>
    <n v="20.361373143883448"/>
    <n v="0.55293839835051883"/>
    <n v="0.72990618028413901"/>
    <n v="0.32890816326086908"/>
    <n v="44"/>
    <x v="1"/>
    <n v="2.1260772999291135"/>
  </r>
  <r>
    <x v="734"/>
    <d v="2018-10-04T00:00:00"/>
    <n v="75789505"/>
    <n v="1539111"/>
    <n v="47086"/>
    <x v="13"/>
    <x v="10"/>
    <x v="2"/>
    <n v="2.092897954670637"/>
    <n v="20.307706192301954"/>
    <n v="0.62127335440441256"/>
    <n v="0.72991056761695483"/>
    <n v="0.3289071046376178"/>
    <n v="44"/>
    <x v="1"/>
    <n v="2.003912731135288"/>
  </r>
  <r>
    <x v="735"/>
    <d v="2019-10-31T00:00:00"/>
    <n v="58609223"/>
    <n v="1436776"/>
    <n v="29812"/>
    <x v="11"/>
    <x v="10"/>
    <x v="2"/>
    <n v="2.5023160603920647"/>
    <n v="24.514503459634671"/>
    <n v="0.50865714428597697"/>
    <n v="0.72991562378391039"/>
    <n v="0.32889968559033972"/>
    <n v="44"/>
    <x v="1"/>
    <n v="2.0597115605743839"/>
  </r>
  <r>
    <x v="736"/>
    <d v="2017-03-21T00:00:00"/>
    <n v="55105204"/>
    <n v="2620976"/>
    <n v="0"/>
    <x v="8"/>
    <x v="2"/>
    <x v="0"/>
    <n v="4.7563130335203914"/>
    <n v="47.563130335203915"/>
    <n v="0"/>
    <n v="0.72991584137208987"/>
    <n v="0.32888011786263333"/>
    <n v="44"/>
    <x v="0"/>
    <m/>
  </r>
  <r>
    <x v="737"/>
    <d v="2018-01-13T00:00:00"/>
    <n v="45146491"/>
    <n v="1116789"/>
    <n v="69193"/>
    <x v="13"/>
    <x v="8"/>
    <x v="6"/>
    <n v="2.6269638541786118"/>
    <n v="24.737005584775126"/>
    <n v="1.5326329570109891"/>
    <n v="0.7301607773914478"/>
    <n v="0.32883601902946497"/>
    <n v="44"/>
    <x v="0"/>
    <m/>
  </r>
  <r>
    <x v="738"/>
    <d v="2018-10-26T00:00:00"/>
    <n v="38878445"/>
    <n v="1310426"/>
    <n v="104839"/>
    <x v="13"/>
    <x v="10"/>
    <x v="1"/>
    <n v="3.6402304670364263"/>
    <n v="33.70572048341954"/>
    <n v="2.6965841869447198"/>
    <n v="0.73014449778038337"/>
    <n v="0.32906722927562271"/>
    <n v="44"/>
    <x v="0"/>
    <m/>
  </r>
  <r>
    <x v="739"/>
    <d v="2018-03-20T00:00:00"/>
    <n v="25946038"/>
    <n v="573331"/>
    <n v="23209"/>
    <x v="13"/>
    <x v="2"/>
    <x v="0"/>
    <n v="2.2991564261179298"/>
    <n v="22.097053893160872"/>
    <n v="0.89451036801842354"/>
    <n v="0.73016463253804442"/>
    <n v="0.32982529059577037"/>
    <n v="44"/>
    <x v="0"/>
    <m/>
  </r>
  <r>
    <x v="740"/>
    <d v="2018-03-16T00:00:00"/>
    <n v="18186789"/>
    <n v="452761"/>
    <n v="40763"/>
    <x v="13"/>
    <x v="2"/>
    <x v="1"/>
    <n v="2.7136401043636673"/>
    <n v="24.895048818128366"/>
    <n v="2.2413522255083071"/>
    <n v="0.73008084268829287"/>
    <n v="0.32969637624788573"/>
    <n v="44"/>
    <x v="0"/>
    <m/>
  </r>
  <r>
    <x v="741"/>
    <d v="2026-06-17T00:00:00"/>
    <n v="11011863"/>
    <n v="446914"/>
    <n v="17767"/>
    <x v="5"/>
    <x v="4"/>
    <x v="3"/>
    <n v="4.2198218412270476"/>
    <n v="40.584776617725808"/>
    <n v="1.6134417945446651"/>
    <n v="0.72997194782962704"/>
    <n v="0.32977505313713973"/>
    <n v="44"/>
    <x v="0"/>
    <m/>
  </r>
  <r>
    <x v="742"/>
    <d v="2013-07-03T00:00:00"/>
    <n v="393545"/>
    <n v="12624"/>
    <n v="947"/>
    <x v="3"/>
    <x v="3"/>
    <x v="3"/>
    <n v="3.4483985312988352"/>
    <n v="32.077653127342487"/>
    <n v="2.4063321856458599"/>
    <n v="0.72986004331209375"/>
    <n v="0.32955053846039267"/>
    <n v="44"/>
    <x v="0"/>
    <m/>
  </r>
  <r>
    <x v="743"/>
    <d v="2013-04-21T00:00:00"/>
    <n v="245371"/>
    <n v="8468"/>
    <n v="999"/>
    <x v="3"/>
    <x v="1"/>
    <x v="4"/>
    <n v="3.8582391562165053"/>
    <n v="34.511005783079504"/>
    <n v="4.0713857790855483"/>
    <n v="0.72964575901681894"/>
    <n v="0.32904901727145247"/>
    <n v="44"/>
    <x v="0"/>
    <m/>
  </r>
  <r>
    <x v="744"/>
    <d v="2015-08-18T00:00:00"/>
    <n v="116253"/>
    <n v="3262"/>
    <n v="184"/>
    <x v="0"/>
    <x v="0"/>
    <x v="0"/>
    <n v="2.9642245791506454"/>
    <n v="28.059490937868269"/>
    <n v="1.5827548536381857"/>
    <n v="0.72942818696192457"/>
    <n v="0.32854224930607828"/>
    <n v="44"/>
    <x v="0"/>
    <m/>
  </r>
  <r>
    <x v="745"/>
    <d v="2014-05-16T00:00:00"/>
    <n v="105343"/>
    <n v="3275"/>
    <n v="371"/>
    <x v="1"/>
    <x v="6"/>
    <x v="1"/>
    <n v="3.4610747747833273"/>
    <n v="31.088919054896859"/>
    <n v="3.5218286929364075"/>
    <n v="0.72920706429066118"/>
    <n v="0.32801784969297954"/>
    <n v="44"/>
    <x v="0"/>
    <m/>
  </r>
  <r>
    <x v="746"/>
    <d v="2014-08-21T00:00:00"/>
    <n v="85543"/>
    <n v="1391"/>
    <n v="195"/>
    <x v="1"/>
    <x v="0"/>
    <x v="2"/>
    <n v="1.8540383199092854"/>
    <n v="16.260827887728979"/>
    <n v="2.2795553113638758"/>
    <n v="0.72898365876367099"/>
    <n v="0.32749070382065482"/>
    <n v="44"/>
    <x v="0"/>
    <m/>
  </r>
  <r>
    <x v="747"/>
    <d v="2013-12-29T00:00:00"/>
    <n v="71314"/>
    <n v="2160"/>
    <n v="460"/>
    <x v="3"/>
    <x v="7"/>
    <x v="4"/>
    <n v="3.6738929242504978"/>
    <n v="30.288582886950671"/>
    <n v="6.4503463555543092"/>
    <n v="0.72875749691303793"/>
    <n v="0.32695546494077704"/>
    <n v="44"/>
    <x v="0"/>
    <m/>
  </r>
  <r>
    <x v="748"/>
    <d v="2015-10-14T00:00:00"/>
    <n v="69332"/>
    <n v="2178"/>
    <n v="242"/>
    <x v="0"/>
    <x v="10"/>
    <x v="3"/>
    <n v="3.4904517394565278"/>
    <n v="31.41406565510875"/>
    <n v="3.4904517394565282"/>
    <n v="0.7285291413656374"/>
    <n v="0.32641845917522666"/>
    <n v="44"/>
    <x v="0"/>
    <m/>
  </r>
  <r>
    <x v="749"/>
    <d v="2015-05-14T00:00:00"/>
    <n v="65108"/>
    <n v="1939"/>
    <n v="300"/>
    <x v="0"/>
    <x v="6"/>
    <x v="2"/>
    <n v="3.4389015174786506"/>
    <n v="29.781286477852184"/>
    <n v="4.6077286969343243"/>
    <n v="0.7282984047979949"/>
    <n v="0.32587267141811671"/>
    <n v="44"/>
    <x v="0"/>
    <m/>
  </r>
  <r>
    <x v="750"/>
    <d v="2015-08-19T00:00:00"/>
    <n v="65033"/>
    <n v="1823"/>
    <n v="442"/>
    <x v="0"/>
    <x v="0"/>
    <x v="3"/>
    <n v="3.4828471698983594"/>
    <n v="28.031922254855228"/>
    <n v="6.7965494441283658"/>
    <n v="0.7280651878120713"/>
    <n v="0.32532200998746419"/>
    <n v="44"/>
    <x v="0"/>
    <m/>
  </r>
  <r>
    <x v="751"/>
    <d v="2023-11-09T00:00:00"/>
    <n v="435071761"/>
    <n v="11053068"/>
    <n v="15357"/>
    <x v="6"/>
    <x v="11"/>
    <x v="2"/>
    <n v="2.5440458315565095"/>
    <n v="25.405160690261393"/>
    <n v="3.5297625303702486E-2"/>
    <n v="0.72782948519898116"/>
    <n v="0.32476767368509341"/>
    <n v="45"/>
    <x v="0"/>
    <m/>
  </r>
  <r>
    <x v="752"/>
    <d v="2019-10-05T00:00:00"/>
    <n v="319505425"/>
    <n v="5273775"/>
    <n v="132625"/>
    <x v="11"/>
    <x v="10"/>
    <x v="6"/>
    <n v="1.692115243426618"/>
    <n v="16.506057760991069"/>
    <n v="0.41509467327510952"/>
    <n v="0.72022112016368012"/>
    <n v="0.332466835712181"/>
    <n v="45"/>
    <x v="0"/>
    <m/>
  </r>
  <r>
    <x v="753"/>
    <d v="2019-10-12T00:00:00"/>
    <n v="237604154"/>
    <n v="3224390"/>
    <n v="57319"/>
    <x v="11"/>
    <x v="10"/>
    <x v="6"/>
    <n v="1.3811665094037033"/>
    <n v="13.570427729138101"/>
    <n v="0.24123736489893186"/>
    <n v="0.71919357652486027"/>
    <n v="0.32904009206252366"/>
    <n v="45"/>
    <x v="0"/>
    <m/>
  </r>
  <r>
    <x v="754"/>
    <d v="2020-03-21T00:00:00"/>
    <n v="189158865"/>
    <n v="3538885"/>
    <n v="70263"/>
    <x v="7"/>
    <x v="2"/>
    <x v="6"/>
    <n v="1.9079983377992886"/>
    <n v="18.708533697323674"/>
    <n v="0.37144968066920891"/>
    <n v="0.719519978335591"/>
    <n v="0.32945454533858803"/>
    <n v="45"/>
    <x v="0"/>
    <m/>
  </r>
  <r>
    <x v="755"/>
    <d v="2020-08-08T00:00:00"/>
    <n v="153466003"/>
    <n v="3420902"/>
    <n v="85425"/>
    <x v="7"/>
    <x v="0"/>
    <x v="6"/>
    <n v="2.2847581428181196"/>
    <n v="22.290943486682195"/>
    <n v="0.55663794149900425"/>
    <n v="0.71916468508550335"/>
    <n v="0.32912465283766829"/>
    <n v="45"/>
    <x v="1"/>
    <n v="2.1047968751406136"/>
  </r>
  <r>
    <x v="756"/>
    <d v="2019-03-24T00:00:00"/>
    <n v="114495087"/>
    <n v="3627724"/>
    <n v="77544"/>
    <x v="11"/>
    <x v="2"/>
    <x v="4"/>
    <n v="3.2361807804032674"/>
    <n v="31.68453856889073"/>
    <n v="0.67726923514194104"/>
    <n v="0.71881659419962585"/>
    <n v="0.32847729829900901"/>
    <n v="45"/>
    <x v="1"/>
    <n v="2.7881682793732598"/>
  </r>
  <r>
    <x v="757"/>
    <d v="2026-02-12T00:00:00"/>
    <n v="109837392"/>
    <n v="2445299"/>
    <n v="17851"/>
    <x v="5"/>
    <x v="5"/>
    <x v="2"/>
    <n v="2.2425423211068232"/>
    <n v="22.262901143901889"/>
    <n v="0.16252206716634349"/>
    <n v="0.71865071731391705"/>
    <n v="0.32816643666063861"/>
    <n v="45"/>
    <x v="0"/>
    <m/>
  </r>
  <r>
    <x v="758"/>
    <d v="2019-12-07T00:00:00"/>
    <n v="105207536"/>
    <n v="1963659"/>
    <n v="48631"/>
    <x v="11"/>
    <x v="7"/>
    <x v="6"/>
    <n v="1.9126861786783029"/>
    <n v="18.664623036129274"/>
    <n v="0.46223875065375541"/>
    <n v="0.71856659898037989"/>
    <n v="0.32856962998795453"/>
    <n v="45"/>
    <x v="1"/>
    <n v="2.8831104114652049"/>
  </r>
  <r>
    <x v="759"/>
    <d v="2018-10-12T00:00:00"/>
    <n v="99268434"/>
    <n v="1679378"/>
    <n v="58872"/>
    <x v="13"/>
    <x v="10"/>
    <x v="1"/>
    <n v="1.751060160775781"/>
    <n v="16.917542992569018"/>
    <n v="0.5930586151887921"/>
    <n v="0.71856897574104839"/>
    <n v="0.32856328778151911"/>
    <n v="45"/>
    <x v="1"/>
    <n v="2.6255435893748964"/>
  </r>
  <r>
    <x v="760"/>
    <d v="2019-12-28T00:00:00"/>
    <n v="39771772"/>
    <n v="2411991"/>
    <n v="124716"/>
    <x v="11"/>
    <x v="7"/>
    <x v="6"/>
    <n v="6.3781593638825047"/>
    <n v="60.645801751050968"/>
    <n v="3.1357918877740723"/>
    <n v="0.71861681292724811"/>
    <n v="0.32846945915936338"/>
    <n v="45"/>
    <x v="0"/>
    <m/>
  </r>
  <r>
    <x v="761"/>
    <d v="2018-02-13T00:00:00"/>
    <n v="37764441"/>
    <n v="1075025"/>
    <n v="35021"/>
    <x v="13"/>
    <x v="5"/>
    <x v="0"/>
    <n v="2.9393947602719712"/>
    <n v="28.466593746217505"/>
    <n v="0.92735385650220536"/>
    <n v="0.7189629096502943"/>
    <n v="0.32950606197177928"/>
    <n v="45"/>
    <x v="1"/>
    <n v="2.2401575750606093"/>
  </r>
  <r>
    <x v="762"/>
    <d v="2018-03-22T00:00:00"/>
    <n v="33872154"/>
    <n v="894472"/>
    <n v="44156"/>
    <x v="13"/>
    <x v="2"/>
    <x v="2"/>
    <n v="2.7710903770690227"/>
    <n v="26.407296093422342"/>
    <n v="1.303607677267882"/>
    <n v="0.71894742078935892"/>
    <n v="0.32948194889268401"/>
    <n v="45"/>
    <x v="0"/>
    <m/>
  </r>
  <r>
    <x v="763"/>
    <d v="2018-01-11T00:00:00"/>
    <n v="27807233"/>
    <n v="580141"/>
    <n v="35988"/>
    <x v="13"/>
    <x v="8"/>
    <x v="2"/>
    <n v="2.2157148825271467"/>
    <n v="20.862953174808872"/>
    <n v="1.2941956504625973"/>
    <n v="0.71890857057899671"/>
    <n v="0.32954173253202179"/>
    <n v="45"/>
    <x v="0"/>
    <m/>
  </r>
  <r>
    <x v="764"/>
    <d v="2016-12-21T00:00:00"/>
    <n v="23181784"/>
    <n v="579711"/>
    <n v="33174"/>
    <x v="2"/>
    <x v="7"/>
    <x v="3"/>
    <n v="2.6438215453996121"/>
    <n v="25.007178049799791"/>
    <n v="1.4310374041963294"/>
    <n v="0.71882438351490929"/>
    <n v="0.32953325889998725"/>
    <n v="45"/>
    <x v="0"/>
    <m/>
  </r>
  <r>
    <x v="765"/>
    <d v="2020-01-03T00:00:00"/>
    <n v="19798084"/>
    <n v="894780"/>
    <n v="39543"/>
    <x v="7"/>
    <x v="8"/>
    <x v="1"/>
    <n v="4.7192597021004659"/>
    <n v="45.195282533400707"/>
    <n v="1.9973144876039521"/>
    <n v="0.71873507496935374"/>
    <n v="0.32949853868880369"/>
    <n v="45"/>
    <x v="0"/>
    <m/>
  </r>
  <r>
    <x v="766"/>
    <d v="2026-04-28T00:00:00"/>
    <n v="18371605"/>
    <n v="566707"/>
    <n v="16318"/>
    <x v="5"/>
    <x v="1"/>
    <x v="0"/>
    <n v="3.1735115141001558"/>
    <n v="30.846896610285278"/>
    <n v="0.88821853071628742"/>
    <n v="0.71871572087001301"/>
    <n v="0.32954848443546458"/>
    <n v="45"/>
    <x v="0"/>
    <m/>
  </r>
  <r>
    <x v="767"/>
    <d v="2017-06-28T00:00:00"/>
    <n v="6684514"/>
    <n v="229215"/>
    <n v="18780"/>
    <x v="8"/>
    <x v="4"/>
    <x v="3"/>
    <n v="3.7099929777991343"/>
    <n v="34.290451033538119"/>
    <n v="2.8094787444532243"/>
    <n v="0.71862166263613481"/>
    <n v="0.32931603219657957"/>
    <n v="45"/>
    <x v="1"/>
    <n v="2.3958891586015572"/>
  </r>
  <r>
    <x v="768"/>
    <d v="2016-12-23T00:00:00"/>
    <n v="4989659"/>
    <n v="89510"/>
    <n v="14920"/>
    <x v="2"/>
    <x v="7"/>
    <x v="1"/>
    <n v="2.0929285949200134"/>
    <n v="17.939101650032597"/>
    <n v="2.9901842991675385"/>
    <n v="0.71845024036504523"/>
    <n v="0.32907989670858784"/>
    <n v="45"/>
    <x v="0"/>
    <m/>
  </r>
  <r>
    <x v="769"/>
    <d v="2016-07-02T00:00:00"/>
    <n v="1207797"/>
    <n v="45872"/>
    <n v="5025"/>
    <x v="2"/>
    <x v="3"/>
    <x v="6"/>
    <n v="4.2140359679648149"/>
    <n v="37.979892316341243"/>
    <n v="4.1604673633069131"/>
    <n v="0.71824379708826513"/>
    <n v="0.32877985751854977"/>
    <n v="45"/>
    <x v="0"/>
    <m/>
  </r>
  <r>
    <x v="770"/>
    <d v="2015-12-08T00:00:00"/>
    <n v="536207"/>
    <n v="14011"/>
    <n v="854"/>
    <x v="0"/>
    <x v="7"/>
    <x v="0"/>
    <n v="2.7722502690192408"/>
    <n v="26.129834187170253"/>
    <n v="1.5926685030221537"/>
    <n v="0.71801962174941003"/>
    <n v="0.328313038670553"/>
    <n v="45"/>
    <x v="0"/>
    <m/>
  </r>
  <r>
    <x v="771"/>
    <d v="2013-03-10T00:00:00"/>
    <n v="488623"/>
    <n v="18701"/>
    <n v="2001"/>
    <x v="3"/>
    <x v="2"/>
    <x v="4"/>
    <n v="4.2368042437625739"/>
    <n v="38.272860671724416"/>
    <n v="4.0951817659013185"/>
    <n v="0.71778432259779146"/>
    <n v="0.32777507729191008"/>
    <n v="45"/>
    <x v="0"/>
    <m/>
  </r>
  <r>
    <x v="772"/>
    <d v="2015-04-03T00:00:00"/>
    <n v="190663"/>
    <n v="4615"/>
    <n v="546"/>
    <x v="0"/>
    <x v="1"/>
    <x v="1"/>
    <n v="2.7068702370150475"/>
    <n v="24.205010935524982"/>
    <n v="2.8636914346254914"/>
    <n v="0.71754740874386491"/>
    <n v="0.32724771488436755"/>
    <n v="45"/>
    <x v="0"/>
    <m/>
  </r>
  <r>
    <x v="773"/>
    <d v="2015-01-04T00:00:00"/>
    <n v="164254"/>
    <n v="2399"/>
    <n v="255"/>
    <x v="0"/>
    <x v="8"/>
    <x v="4"/>
    <n v="1.6157901786257871"/>
    <n v="14.605428178309204"/>
    <n v="1.552473607948665"/>
    <n v="0.71730390319492998"/>
    <n v="0.32669057789490091"/>
    <n v="45"/>
    <x v="0"/>
    <m/>
  </r>
  <r>
    <x v="774"/>
    <d v="2014-11-26T00:00:00"/>
    <n v="118316"/>
    <n v="2130"/>
    <n v="256"/>
    <x v="1"/>
    <x v="11"/>
    <x v="3"/>
    <n v="2.0166334223604583"/>
    <n v="18.002637005983974"/>
    <n v="2.1636972176206091"/>
    <n v="0.71705700342124168"/>
    <n v="0.3261224768594787"/>
    <n v="45"/>
    <x v="0"/>
    <m/>
  </r>
  <r>
    <x v="775"/>
    <d v="2015-05-28T00:00:00"/>
    <n v="107964"/>
    <n v="1478"/>
    <n v="188"/>
    <x v="0"/>
    <x v="6"/>
    <x v="2"/>
    <n v="1.5431069615797859"/>
    <n v="13.689748434663406"/>
    <n v="1.7413211811344522"/>
    <n v="0.71680709893931971"/>
    <n v="0.32554748439399606"/>
    <n v="45"/>
    <x v="0"/>
    <m/>
  </r>
  <r>
    <x v="776"/>
    <d v="2015-08-18T00:00:00"/>
    <n v="65209"/>
    <n v="1812"/>
    <n v="309"/>
    <x v="0"/>
    <x v="0"/>
    <x v="0"/>
    <n v="3.252618503580794"/>
    <n v="27.787575334693063"/>
    <n v="4.7386097011148767"/>
    <n v="0.71655409704339135"/>
    <n v="0.32496468272657669"/>
    <n v="45"/>
    <x v="0"/>
    <m/>
  </r>
  <r>
    <x v="777"/>
    <d v="2015-05-30T00:00:00"/>
    <n v="65035"/>
    <n v="1695"/>
    <n v="420"/>
    <x v="0"/>
    <x v="6"/>
    <x v="6"/>
    <n v="3.2520950257553625"/>
    <n v="26.062889213500423"/>
    <n v="6.4580610440532018"/>
    <n v="0.71629813865756387"/>
    <n v="0.3243765938837001"/>
    <n v="45"/>
    <x v="0"/>
    <m/>
  </r>
  <r>
    <x v="778"/>
    <d v="2019-11-30T00:00:00"/>
    <n v="148719931"/>
    <n v="2385827"/>
    <n v="80579"/>
    <x v="11"/>
    <x v="11"/>
    <x v="6"/>
    <n v="1.6584233084400772"/>
    <n v="16.04241599601065"/>
    <n v="0.54181708839012299"/>
    <n v="0.71603912489820865"/>
    <n v="0.32378328206633356"/>
    <n v="46"/>
    <x v="1"/>
    <n v="3.1441253495928967"/>
  </r>
  <r>
    <x v="779"/>
    <d v="2021-12-16T00:00:00"/>
    <n v="107154592"/>
    <n v="3130083"/>
    <n v="83327"/>
    <x v="12"/>
    <x v="7"/>
    <x v="2"/>
    <n v="2.9988542161590237"/>
    <n v="29.210908665491445"/>
    <n v="0.77763349609879528"/>
    <n v="0.71610648892275552"/>
    <n v="0.32328661899390149"/>
    <n v="46"/>
    <x v="1"/>
    <n v="4.0017380165916752"/>
  </r>
  <r>
    <x v="780"/>
    <d v="2018-06-30T00:00:00"/>
    <n v="97908709"/>
    <n v="1790587"/>
    <n v="53824"/>
    <x v="13"/>
    <x v="4"/>
    <x v="6"/>
    <n v="1.8838068838186803"/>
    <n v="18.288332246317331"/>
    <n v="0.54973659186947299"/>
    <n v="0.71600355395200221"/>
    <n v="0.32301910913972026"/>
    <n v="46"/>
    <x v="0"/>
    <m/>
  </r>
  <r>
    <x v="781"/>
    <d v="2019-04-20T00:00:00"/>
    <n v="94898871"/>
    <n v="1796229"/>
    <n v="90261"/>
    <x v="11"/>
    <x v="1"/>
    <x v="6"/>
    <n v="1.987895093082825"/>
    <n v="18.92782265028211"/>
    <n v="0.95112828054614051"/>
    <n v="0.71602695105855418"/>
    <n v="0.32297754102881931"/>
    <n v="46"/>
    <x v="3"/>
    <n v="2.092897954670637"/>
  </r>
  <r>
    <x v="782"/>
    <d v="2017-12-22T00:00:00"/>
    <n v="31399159"/>
    <n v="1186648"/>
    <n v="23578"/>
    <x v="8"/>
    <x v="7"/>
    <x v="1"/>
    <n v="3.8543261620478435"/>
    <n v="37.792349788731606"/>
    <n v="0.75091183174683118"/>
    <n v="0.71604131837076745"/>
    <n v="0.32280072538242111"/>
    <n v="46"/>
    <x v="0"/>
    <m/>
  </r>
  <r>
    <x v="783"/>
    <d v="2016-12-25T00:00:00"/>
    <n v="1995502"/>
    <n v="56233"/>
    <n v="8185"/>
    <x v="2"/>
    <x v="7"/>
    <x v="4"/>
    <n v="3.2281601321371762"/>
    <n v="28.179876542343731"/>
    <n v="4.101724779028034"/>
    <n v="0.71605179084423243"/>
    <n v="0.32265328765541634"/>
    <n v="46"/>
    <x v="0"/>
    <m/>
  </r>
  <r>
    <x v="784"/>
    <d v="2016-06-19T00:00:00"/>
    <n v="1356860"/>
    <n v="35578"/>
    <n v="2740"/>
    <x v="2"/>
    <x v="4"/>
    <x v="4"/>
    <n v="2.8240201642026443"/>
    <n v="26.22083339474964"/>
    <n v="2.0193682472768009"/>
    <n v="0.71580973674733683"/>
    <n v="0.32219681776184023"/>
    <n v="46"/>
    <x v="0"/>
    <m/>
  </r>
  <r>
    <x v="785"/>
    <d v="2016-06-26T00:00:00"/>
    <n v="723173"/>
    <n v="17281"/>
    <n v="1394"/>
    <x v="2"/>
    <x v="4"/>
    <x v="4"/>
    <n v="2.5823696404594751"/>
    <n v="23.896080191046956"/>
    <n v="1.9276162135477957"/>
    <n v="0.71555864452522533"/>
    <n v="0.32164582328424701"/>
    <n v="46"/>
    <x v="0"/>
    <m/>
  </r>
  <r>
    <x v="786"/>
    <d v="2016-08-28T00:00:00"/>
    <n v="405685"/>
    <n v="12052"/>
    <n v="1059"/>
    <x v="2"/>
    <x v="0"/>
    <x v="4"/>
    <n v="3.2318177896643951"/>
    <n v="29.707778202299814"/>
    <n v="2.6103996943441339"/>
    <n v="0.71529887478390042"/>
    <n v="0.32106285299444487"/>
    <n v="46"/>
    <x v="0"/>
    <m/>
  </r>
  <r>
    <x v="787"/>
    <d v="2013-04-01T00:00:00"/>
    <n v="219335"/>
    <n v="8247"/>
    <n v="991"/>
    <x v="3"/>
    <x v="1"/>
    <x v="5"/>
    <n v="4.2118220986162722"/>
    <n v="37.600018236943491"/>
    <n v="4.5182027492192312"/>
    <n v="0.71503406120044011"/>
    <n v="0.32046522344558354"/>
    <n v="46"/>
    <x v="0"/>
    <m/>
  </r>
  <r>
    <x v="788"/>
    <d v="2013-08-12T00:00:00"/>
    <n v="161268"/>
    <n v="4798"/>
    <n v="480"/>
    <x v="3"/>
    <x v="0"/>
    <x v="5"/>
    <n v="3.2728129573132927"/>
    <n v="29.751717637721061"/>
    <n v="2.976411935411861"/>
    <n v="0.71476467946074951"/>
    <n v="0.31985779951195131"/>
    <n v="46"/>
    <x v="0"/>
    <m/>
  </r>
  <r>
    <x v="789"/>
    <d v="2013-07-28T00:00:00"/>
    <n v="141434"/>
    <n v="4922"/>
    <n v="847"/>
    <x v="3"/>
    <x v="3"/>
    <x v="4"/>
    <n v="4.0789343439342733"/>
    <n v="34.800684418173851"/>
    <n v="5.9886590211688846"/>
    <n v="0.71449093968657718"/>
    <n v="0.31923422019992953"/>
    <n v="46"/>
    <x v="0"/>
    <m/>
  </r>
  <r>
    <x v="790"/>
    <d v="2016-02-10T00:00:00"/>
    <n v="116585"/>
    <n v="3931"/>
    <n v="345"/>
    <x v="2"/>
    <x v="5"/>
    <x v="3"/>
    <n v="3.6677102543208813"/>
    <n v="33.717888236050953"/>
    <n v="2.9592143071578678"/>
    <n v="0.71421375822336186"/>
    <n v="0.31860860080111247"/>
    <n v="46"/>
    <x v="0"/>
    <m/>
  </r>
  <r>
    <x v="791"/>
    <d v="2013-12-14T00:00:00"/>
    <n v="83948"/>
    <n v="2201"/>
    <n v="335"/>
    <x v="3"/>
    <x v="7"/>
    <x v="6"/>
    <n v="3.0209177109639302"/>
    <n v="26.218611521418019"/>
    <n v="3.9905655882212794"/>
    <n v="0.71393276624980806"/>
    <n v="0.31796676537403445"/>
    <n v="46"/>
    <x v="0"/>
    <m/>
  </r>
  <r>
    <x v="792"/>
    <d v="2015-09-08T00:00:00"/>
    <n v="65059"/>
    <n v="4673"/>
    <n v="920"/>
    <x v="0"/>
    <x v="9"/>
    <x v="0"/>
    <n v="8.5968121243794098"/>
    <n v="71.827110776372223"/>
    <n v="14.141010467421879"/>
    <n v="0.71364767984793076"/>
    <n v="0.31731637194473178"/>
    <n v="46"/>
    <x v="0"/>
    <m/>
  </r>
  <r>
    <x v="793"/>
    <d v="2015-05-18T00:00:00"/>
    <n v="65037"/>
    <n v="1860"/>
    <n v="420"/>
    <x v="0"/>
    <x v="6"/>
    <x v="5"/>
    <n v="3.5056967572304996"/>
    <n v="28.599105124775129"/>
    <n v="6.4578624475298669"/>
    <n v="0.71335957118021642"/>
    <n v="0.31666717267698036"/>
    <n v="46"/>
    <x v="0"/>
    <m/>
  </r>
  <r>
    <x v="794"/>
    <d v="2024-06-01T00:00:00"/>
    <n v="387111248"/>
    <n v="9069627"/>
    <n v="343473"/>
    <x v="9"/>
    <x v="4"/>
    <x v="6"/>
    <n v="2.4316265798610943"/>
    <n v="23.428993724305318"/>
    <n v="0.88727207430562705"/>
    <n v="0.71306698441031735"/>
    <n v="0.31600133130961316"/>
    <n v="47"/>
    <x v="1"/>
    <n v="3.6738929242504978"/>
  </r>
  <r>
    <x v="795"/>
    <d v="2019-01-16T00:00:00"/>
    <n v="155989951"/>
    <n v="30217888"/>
    <n v="309730"/>
    <x v="11"/>
    <x v="8"/>
    <x v="3"/>
    <n v="19.570246547484331"/>
    <n v="193.71688885266718"/>
    <n v="1.9855766221761297"/>
    <n v="0.70751929239513145"/>
    <n v="0.29716454138135984"/>
    <n v="47"/>
    <x v="0"/>
    <m/>
  </r>
  <r>
    <x v="796"/>
    <d v="2018-12-19T00:00:00"/>
    <n v="120274022"/>
    <n v="2119787"/>
    <n v="73849"/>
    <x v="13"/>
    <x v="7"/>
    <x v="3"/>
    <n v="1.8238651734786089"/>
    <n v="17.624645494934892"/>
    <n v="0.61400623985119585"/>
    <n v="0.7956345386754522"/>
    <n v="0.29465165975640345"/>
    <n v="47"/>
    <x v="3"/>
    <n v="3.4389015174786506"/>
  </r>
  <r>
    <x v="797"/>
    <d v="2018-11-02T00:00:00"/>
    <n v="97944535"/>
    <n v="1720321"/>
    <n v="73488"/>
    <x v="13"/>
    <x v="11"/>
    <x v="1"/>
    <n v="1.8314538937777385"/>
    <n v="17.564236738680723"/>
    <n v="0.75030219909666218"/>
    <n v="0.79562244338222465"/>
    <n v="0.29434814577929708"/>
    <n v="47"/>
    <x v="3"/>
    <n v="3.4828471698983594"/>
  </r>
  <r>
    <x v="798"/>
    <d v="2018-08-05T00:00:00"/>
    <n v="53769886"/>
    <n v="1112912"/>
    <n v="50407"/>
    <x v="13"/>
    <x v="0"/>
    <x v="4"/>
    <n v="2.1635139788096258"/>
    <n v="20.697681970164489"/>
    <n v="0.93745781793176941"/>
    <n v="0.79563725066822688"/>
    <n v="0.29419034772558017"/>
    <n v="47"/>
    <x v="1"/>
    <n v="2.5440458315565095"/>
  </r>
  <r>
    <x v="799"/>
    <d v="2025-11-21T00:00:00"/>
    <n v="49910524"/>
    <n v="1097731"/>
    <n v="13677"/>
    <x v="4"/>
    <x v="11"/>
    <x v="1"/>
    <n v="2.2268009047550774"/>
    <n v="21.993978664700052"/>
    <n v="0.27403038285071907"/>
    <n v="0.79562286418961725"/>
    <n v="0.29424743157155292"/>
    <n v="47"/>
    <x v="0"/>
    <m/>
  </r>
  <r>
    <x v="800"/>
    <d v="2018-10-19T00:00:00"/>
    <n v="31443723"/>
    <n v="744774"/>
    <n v="33184"/>
    <x v="13"/>
    <x v="10"/>
    <x v="1"/>
    <n v="2.4741281431591289"/>
    <n v="23.685935663534501"/>
    <n v="1.0553457680567915"/>
    <n v="0.795607273495197"/>
    <n v="0.29411072855735781"/>
    <n v="47"/>
    <x v="1"/>
    <n v="1.3811665094037033"/>
  </r>
  <r>
    <x v="801"/>
    <d v="2018-02-08T00:00:00"/>
    <n v="27124390"/>
    <n v="758518"/>
    <n v="24658"/>
    <x v="13"/>
    <x v="5"/>
    <x v="2"/>
    <n v="2.8873497247311368"/>
    <n v="27.964426112439764"/>
    <n v="0.9090711348716044"/>
    <n v="0.79555188227075835"/>
    <n v="0.29405189292665429"/>
    <n v="47"/>
    <x v="1"/>
    <n v="1.9079983377992886"/>
  </r>
  <r>
    <x v="802"/>
    <d v="2018-07-25T00:00:00"/>
    <n v="17756305"/>
    <n v="393715"/>
    <n v="31965"/>
    <x v="13"/>
    <x v="3"/>
    <x v="3"/>
    <n v="2.3973456189224054"/>
    <n v="22.173250572120722"/>
    <n v="1.8002056171033332"/>
    <n v="0.7955022919245659"/>
    <n v="0.29388754587827581"/>
    <n v="47"/>
    <x v="0"/>
    <m/>
  </r>
  <r>
    <x v="803"/>
    <d v="2018-09-28T00:00:00"/>
    <n v="17391390"/>
    <n v="425541"/>
    <n v="21552"/>
    <x v="13"/>
    <x v="9"/>
    <x v="1"/>
    <n v="2.5707720889474617"/>
    <n v="24.46848699270156"/>
    <n v="1.2392338967730583"/>
    <n v="0.79538184720415694"/>
    <n v="0.29381344273664878"/>
    <n v="47"/>
    <x v="1"/>
    <n v="3.2361807804032674"/>
  </r>
  <r>
    <x v="804"/>
    <d v="2016-10-04T00:00:00"/>
    <n v="1845490"/>
    <n v="58002"/>
    <n v="4851"/>
    <x v="2"/>
    <x v="10"/>
    <x v="0"/>
    <n v="3.4057621553083464"/>
    <n v="31.429051363052629"/>
    <n v="2.6285701900308318"/>
    <n v="0.79526613928116374"/>
    <n v="0.29358005729470843"/>
    <n v="47"/>
    <x v="0"/>
    <m/>
  </r>
  <r>
    <x v="805"/>
    <d v="2015-08-30T00:00:00"/>
    <n v="471908"/>
    <n v="12701"/>
    <n v="793"/>
    <x v="0"/>
    <x v="0"/>
    <x v="4"/>
    <n v="2.8594556566110341"/>
    <n v="26.914144282360123"/>
    <n v="1.6804122837502227"/>
    <n v="0.79505915509080205"/>
    <n v="0.29300187796693422"/>
    <n v="47"/>
    <x v="0"/>
    <m/>
  </r>
  <r>
    <x v="806"/>
    <d v="2016-03-28T00:00:00"/>
    <n v="189165"/>
    <n v="5203"/>
    <n v="538"/>
    <x v="2"/>
    <x v="2"/>
    <x v="5"/>
    <n v="3.0349166071947771"/>
    <n v="27.505088150556393"/>
    <n v="2.8440779213913783"/>
    <n v="0.79483701846230481"/>
    <n v="0.29233394755243158"/>
    <n v="47"/>
    <x v="0"/>
    <m/>
  </r>
  <r>
    <x v="807"/>
    <d v="2014-03-30T00:00:00"/>
    <n v="87927"/>
    <n v="1762"/>
    <n v="399"/>
    <x v="1"/>
    <x v="2"/>
    <x v="4"/>
    <n v="2.4577206091416741"/>
    <n v="20.039350825116287"/>
    <n v="4.5378552663004532"/>
    <n v="0.79460967026777696"/>
    <n v="0.29165010250316581"/>
    <n v="47"/>
    <x v="0"/>
    <m/>
  </r>
  <r>
    <x v="808"/>
    <d v="2015-05-15T00:00:00"/>
    <n v="65064"/>
    <n v="1311"/>
    <n v="255"/>
    <x v="0"/>
    <x v="6"/>
    <x v="1"/>
    <n v="2.4068609369236444"/>
    <n v="20.149391368498708"/>
    <n v="3.9192180007377351"/>
    <n v="0.79437818320176001"/>
    <n v="0.2909535154683085"/>
    <n v="47"/>
    <x v="0"/>
    <m/>
  </r>
  <r>
    <x v="809"/>
    <d v="2023-12-02T00:00:00"/>
    <n v="527904203"/>
    <n v="7590609"/>
    <n v="89158"/>
    <x v="6"/>
    <x v="7"/>
    <x v="6"/>
    <n v="1.4547652692206354"/>
    <n v="14.378762201292798"/>
    <n v="0.1688904909135569"/>
    <n v="0.79414329849031307"/>
    <n v="0.29024444757405304"/>
    <n v="48"/>
    <x v="1"/>
    <n v="2.7710903770690227"/>
  </r>
  <r>
    <x v="810"/>
    <d v="2024-08-03T00:00:00"/>
    <n v="359777547"/>
    <n v="6281451"/>
    <n v="88575"/>
    <x v="9"/>
    <x v="0"/>
    <x v="6"/>
    <n v="1.7705457311375798"/>
    <n v="17.459263515407756"/>
    <n v="0.2461937959680402"/>
    <n v="0.79265133129124754"/>
    <n v="0.29174496909601172"/>
    <n v="48"/>
    <x v="1"/>
    <n v="2.2157148825271467"/>
  </r>
  <r>
    <x v="811"/>
    <d v="2021-06-26T00:00:00"/>
    <n v="301221038"/>
    <n v="4486683"/>
    <n v="99039"/>
    <x v="12"/>
    <x v="4"/>
    <x v="6"/>
    <n v="1.5223777298051804"/>
    <n v="14.894985522226373"/>
    <n v="0.32879177582543223"/>
    <n v="0.79059886838788151"/>
    <n v="0.29104717309605116"/>
    <n v="48"/>
    <x v="4"/>
    <n v="2.6438215453996121"/>
  </r>
  <r>
    <x v="812"/>
    <d v="2018-11-22T00:00:00"/>
    <n v="256791139"/>
    <n v="5512714"/>
    <n v="144450"/>
    <x v="13"/>
    <x v="11"/>
    <x v="2"/>
    <n v="2.2030214991180053"/>
    <n v="21.467695581193709"/>
    <n v="0.56251940998633909"/>
    <n v="0.79035825539374871"/>
    <n v="0.28927694139691745"/>
    <n v="48"/>
    <x v="0"/>
    <m/>
  </r>
  <r>
    <x v="813"/>
    <d v="2025-09-13T00:00:00"/>
    <n v="239048736"/>
    <n v="4201535"/>
    <n v="70156"/>
    <x v="4"/>
    <x v="9"/>
    <x v="6"/>
    <n v="1.786954020957467"/>
    <n v="17.576060305962045"/>
    <n v="0.29347990361262566"/>
    <n v="0.78871676006184666"/>
    <n v="0.28518283190947202"/>
    <n v="48"/>
    <x v="1"/>
    <n v="3.1735115141001558"/>
  </r>
  <r>
    <x v="814"/>
    <d v="2020-12-19T00:00:00"/>
    <n v="207174741"/>
    <n v="5197085"/>
    <n v="723459"/>
    <x v="7"/>
    <x v="7"/>
    <x v="6"/>
    <n v="2.8577537837974178"/>
    <n v="25.085514647753321"/>
    <n v="3.4920231902208583"/>
    <n v="0.7880461665330426"/>
    <n v="0.28488942910143311"/>
    <n v="48"/>
    <x v="0"/>
    <m/>
  </r>
  <r>
    <x v="815"/>
    <d v="2025-12-20T00:00:00"/>
    <n v="196769691"/>
    <n v="3041806"/>
    <n v="112972"/>
    <x v="4"/>
    <x v="7"/>
    <x v="6"/>
    <n v="1.6032845221066083"/>
    <n v="15.458712083864583"/>
    <n v="0.57413313720150128"/>
    <n v="0.7868376147727062"/>
    <n v="0.28069950649665998"/>
    <n v="48"/>
    <x v="1"/>
    <n v="2.0929285949200134"/>
  </r>
  <r>
    <x v="816"/>
    <d v="2018-12-08T00:00:00"/>
    <n v="190677455"/>
    <n v="2854575"/>
    <n v="64214"/>
    <x v="13"/>
    <x v="7"/>
    <x v="6"/>
    <n v="1.5307467786372542"/>
    <n v="14.970700128129987"/>
    <n v="0.33676765824255417"/>
    <n v="0.78681324932317143"/>
    <n v="0.27828682493630758"/>
    <n v="48"/>
    <x v="0"/>
    <m/>
  </r>
  <r>
    <x v="817"/>
    <d v="2018-11-30T00:00:00"/>
    <n v="152657782"/>
    <n v="2423273"/>
    <n v="73190"/>
    <x v="13"/>
    <x v="11"/>
    <x v="1"/>
    <n v="1.6353329435901276"/>
    <n v="15.873891053912994"/>
    <n v="0.47943838198828281"/>
    <n v="0.7868887946513472"/>
    <n v="0.27779142405040408"/>
    <n v="48"/>
    <x v="1"/>
    <n v="2.7722502690192408"/>
  </r>
  <r>
    <x v="818"/>
    <d v="2018-08-24T00:00:00"/>
    <n v="146254431"/>
    <n v="3574582"/>
    <n v="105449"/>
    <x v="13"/>
    <x v="0"/>
    <x v="1"/>
    <n v="2.5161842788886171"/>
    <n v="24.440845829826515"/>
    <n v="0.72099695905965411"/>
    <n v="0.78692129024112911"/>
    <n v="0.27708025966604061"/>
    <n v="48"/>
    <x v="3"/>
    <n v="4.2368042437625739"/>
  </r>
  <r>
    <x v="819"/>
    <d v="2021-10-29T00:00:00"/>
    <n v="136424053"/>
    <n v="5608946"/>
    <n v="166108"/>
    <x v="12"/>
    <x v="10"/>
    <x v="1"/>
    <n v="4.2331640740801033"/>
    <n v="41.114054865383601"/>
    <n v="1.2175858754174385"/>
    <n v="0.7865060294670988"/>
    <n v="0.27566564273477456"/>
    <n v="48"/>
    <x v="0"/>
    <m/>
  </r>
  <r>
    <x v="820"/>
    <d v="2019-11-16T00:00:00"/>
    <n v="135716928"/>
    <n v="2639681"/>
    <n v="49838"/>
    <x v="11"/>
    <x v="11"/>
    <x v="6"/>
    <n v="1.9817122592105829"/>
    <n v="19.449902373269165"/>
    <n v="0.36722021883666567"/>
    <n v="0.78679625382019514"/>
    <n v="0.27359058118162888"/>
    <n v="48"/>
    <x v="0"/>
    <m/>
  </r>
  <r>
    <x v="821"/>
    <d v="2018-12-12T00:00:00"/>
    <n v="106944598"/>
    <n v="2160552"/>
    <n v="94349"/>
    <x v="13"/>
    <x v="7"/>
    <x v="3"/>
    <n v="2.1084758297001591"/>
    <n v="20.20253514815213"/>
    <n v="0.88222314884946318"/>
    <n v="0.78662596848809951"/>
    <n v="0.27346750258623137"/>
    <n v="48"/>
    <x v="1"/>
    <n v="2.0166334223604583"/>
  </r>
  <r>
    <x v="822"/>
    <d v="2018-06-09T00:00:00"/>
    <n v="55321115"/>
    <n v="1222370"/>
    <n v="93610"/>
    <x v="13"/>
    <x v="4"/>
    <x v="6"/>
    <n v="2.3788023795254309"/>
    <n v="22.095903164641566"/>
    <n v="1.6921206306127416"/>
    <n v="0.78655649475973533"/>
    <n v="0.27285215250720224"/>
    <n v="48"/>
    <x v="0"/>
    <m/>
  </r>
  <r>
    <x v="823"/>
    <d v="2017-12-02T00:00:00"/>
    <n v="32635944"/>
    <n v="1549097"/>
    <n v="44920"/>
    <x v="8"/>
    <x v="7"/>
    <x v="6"/>
    <n v="4.8842374530364436"/>
    <n v="47.465978002658666"/>
    <n v="1.3763965277057713"/>
    <n v="0.78655515920516994"/>
    <n v="0.27323047744023177"/>
    <n v="48"/>
    <x v="1"/>
    <n v="3.252618503580794"/>
  </r>
  <r>
    <x v="824"/>
    <d v="2018-11-13T00:00:00"/>
    <n v="29922701"/>
    <n v="813649"/>
    <n v="32015"/>
    <x v="13"/>
    <x v="11"/>
    <x v="0"/>
    <n v="2.8261619831712386"/>
    <n v="27.191696364576181"/>
    <n v="1.0699234671362052"/>
    <n v="0.78673805460175084"/>
    <n v="0.27336982521951897"/>
    <n v="48"/>
    <x v="0"/>
    <m/>
  </r>
  <r>
    <x v="825"/>
    <d v="2017-06-17T00:00:00"/>
    <n v="28493911"/>
    <n v="824161"/>
    <n v="69590"/>
    <x v="8"/>
    <x v="4"/>
    <x v="6"/>
    <n v="3.1366385611297796"/>
    <n v="28.924109435170202"/>
    <n v="2.4422761761275944"/>
    <n v="0.78671262720179469"/>
    <n v="0.27336425495265898"/>
    <n v="48"/>
    <x v="0"/>
    <m/>
  </r>
  <r>
    <x v="826"/>
    <d v="2018-05-02T00:00:00"/>
    <n v="14821877"/>
    <n v="346405"/>
    <n v="20929"/>
    <x v="13"/>
    <x v="6"/>
    <x v="3"/>
    <n v="2.4783230895790052"/>
    <n v="23.371196509052126"/>
    <n v="1.4120343867379281"/>
    <n v="0.78669154129581575"/>
    <n v="0.27391400110957076"/>
    <n v="48"/>
    <x v="1"/>
    <n v="2.9988542161590237"/>
  </r>
  <r>
    <x v="827"/>
    <d v="2016-04-04T00:00:00"/>
    <n v="2567477"/>
    <n v="139094"/>
    <n v="12835"/>
    <x v="2"/>
    <x v="1"/>
    <x v="5"/>
    <n v="5.917443466874289"/>
    <n v="54.175363596246434"/>
    <n v="4.9990710724964629"/>
    <n v="0.78658206294455613"/>
    <n v="0.27375328034414165"/>
    <n v="48"/>
    <x v="0"/>
    <m/>
  </r>
  <r>
    <x v="828"/>
    <d v="2015-07-25T00:00:00"/>
    <n v="1830962"/>
    <n v="18621"/>
    <n v="2758"/>
    <x v="0"/>
    <x v="3"/>
    <x v="6"/>
    <n v="1.1676375588351915"/>
    <n v="10.170063605907714"/>
    <n v="1.5063119824442015"/>
    <n v="0.7864206936736573"/>
    <n v="0.2734135972609944"/>
    <n v="48"/>
    <x v="0"/>
    <m/>
  </r>
  <r>
    <x v="829"/>
    <d v="2013-01-26T00:00:00"/>
    <n v="648551"/>
    <n v="25814"/>
    <n v="2463"/>
    <x v="3"/>
    <x v="8"/>
    <x v="6"/>
    <n v="4.3600271990945965"/>
    <n v="39.802575279353512"/>
    <n v="3.797696711592458"/>
    <n v="0.78622596688620139"/>
    <n v="0.27287144347350417"/>
    <n v="48"/>
    <x v="0"/>
    <m/>
  </r>
  <r>
    <x v="830"/>
    <d v="2015-08-03T00:00:00"/>
    <n v="199035"/>
    <n v="4592"/>
    <n v="537"/>
    <x v="0"/>
    <x v="0"/>
    <x v="5"/>
    <n v="2.5769337051272387"/>
    <n v="23.071319114728567"/>
    <n v="2.6980179365438239"/>
    <n v="0.78602892111582245"/>
    <n v="0.27230682184545668"/>
    <n v="48"/>
    <x v="0"/>
    <m/>
  </r>
  <r>
    <x v="831"/>
    <d v="2013-06-18T00:00:00"/>
    <n v="165682"/>
    <n v="6198"/>
    <n v="961"/>
    <x v="3"/>
    <x v="4"/>
    <x v="0"/>
    <n v="4.3209280428773189"/>
    <n v="37.409012445528184"/>
    <n v="5.8002679832450115"/>
    <n v="0.7858230291694418"/>
    <n v="0.27169282797310829"/>
    <n v="48"/>
    <x v="0"/>
    <m/>
  </r>
  <r>
    <x v="832"/>
    <d v="2013-08-08T00:00:00"/>
    <n v="115195"/>
    <n v="3941"/>
    <n v="689"/>
    <x v="3"/>
    <x v="0"/>
    <x v="2"/>
    <n v="4.0192716697773339"/>
    <n v="34.21155432093407"/>
    <n v="5.9811623768392721"/>
    <n v="0.78561430880990413"/>
    <n v="0.27107736196705634"/>
    <n v="48"/>
    <x v="0"/>
    <m/>
  </r>
  <r>
    <x v="833"/>
    <d v="2015-09-09T00:00:00"/>
    <n v="101657"/>
    <n v="3336"/>
    <n v="379"/>
    <x v="0"/>
    <x v="9"/>
    <x v="3"/>
    <n v="3.654445832554571"/>
    <n v="32.816234986277387"/>
    <n v="3.7282233392683239"/>
    <n v="0.7854016756184633"/>
    <n v="0.27044656127691319"/>
    <n v="48"/>
    <x v="0"/>
    <m/>
  </r>
  <r>
    <x v="834"/>
    <d v="2013-12-05T00:00:00"/>
    <n v="88576"/>
    <n v="2585"/>
    <n v="522"/>
    <x v="3"/>
    <x v="7"/>
    <x v="2"/>
    <n v="3.5077221820809248"/>
    <n v="29.183977601156069"/>
    <n v="5.8932442196531793"/>
    <n v="0.7851855018574242"/>
    <n v="0.26979960706665596"/>
    <n v="48"/>
    <x v="0"/>
    <m/>
  </r>
  <r>
    <x v="835"/>
    <d v="2013-12-29T00:00:00"/>
    <n v="67800"/>
    <n v="2399"/>
    <n v="726"/>
    <x v="3"/>
    <x v="7"/>
    <x v="4"/>
    <n v="4.609144542772861"/>
    <n v="35.383480825958699"/>
    <n v="10.707964601769913"/>
    <n v="0.78496566398879031"/>
    <n v="0.26914517455153325"/>
    <n v="48"/>
    <x v="0"/>
    <m/>
  </r>
  <r>
    <x v="836"/>
    <d v="2015-05-29T00:00:00"/>
    <n v="65383"/>
    <n v="1502"/>
    <n v="252"/>
    <x v="0"/>
    <x v="6"/>
    <x v="1"/>
    <n v="2.6826545126409007"/>
    <n v="22.972332257620483"/>
    <n v="3.8542128687885229"/>
    <n v="0.78474221615531248"/>
    <n v="0.26848426327957986"/>
    <n v="48"/>
    <x v="0"/>
    <m/>
  </r>
  <r>
    <x v="837"/>
    <d v="2016-01-10T00:00:00"/>
    <n v="65048"/>
    <n v="3242"/>
    <n v="593"/>
    <x v="2"/>
    <x v="8"/>
    <x v="4"/>
    <n v="5.8956462919690074"/>
    <n v="49.840118066658469"/>
    <n v="9.1163448530316078"/>
    <n v="0.78451489654184681"/>
    <n v="0.26780306173069646"/>
    <n v="48"/>
    <x v="1"/>
    <n v="3.6677102543208813"/>
  </r>
  <r>
    <x v="838"/>
    <d v="2015-07-10T00:00:00"/>
    <n v="65046"/>
    <n v="2372"/>
    <n v="587"/>
    <x v="0"/>
    <x v="3"/>
    <x v="1"/>
    <n v="4.5490883374842417"/>
    <n v="36.466500630323154"/>
    <n v="9.0243827445192633"/>
    <n v="0.78428432779744306"/>
    <n v="0.26711782602289125"/>
    <n v="48"/>
    <x v="0"/>
    <m/>
  </r>
  <r>
    <x v="839"/>
    <d v="2025-12-21T00:00:00"/>
    <n v="1221190093"/>
    <n v="8501751"/>
    <n v="193899"/>
    <x v="4"/>
    <x v="7"/>
    <x v="4"/>
    <n v="0.71206358861281716"/>
    <n v="6.9618571659997901"/>
    <n v="0.15877872012838218"/>
    <n v="0.78404971525271616"/>
    <n v="0.26642128077586397"/>
    <n v="49"/>
    <x v="1"/>
    <n v="8.5968121243794098"/>
  </r>
  <r>
    <x v="840"/>
    <d v="2022-11-19T00:00:00"/>
    <n v="875442677"/>
    <n v="31098607"/>
    <n v="56173"/>
    <x v="10"/>
    <x v="11"/>
    <x v="6"/>
    <n v="3.5587458572116195"/>
    <n v="35.523293320094787"/>
    <n v="6.4165252021406757E-2"/>
    <n v="0.88970709181600272"/>
    <n v="0.25694136403089241"/>
    <n v="49"/>
    <x v="0"/>
    <m/>
  </r>
  <r>
    <x v="841"/>
    <d v="2020-03-07T00:00:00"/>
    <n v="340008740"/>
    <n v="5336646"/>
    <n v="113237"/>
    <x v="7"/>
    <x v="2"/>
    <x v="6"/>
    <n v="1.6028655616323273"/>
    <n v="15.695614177447322"/>
    <n v="0.33304143887595361"/>
    <n v="0.83617727000409692"/>
    <n v="0.300477189321319"/>
    <n v="49"/>
    <x v="0"/>
    <m/>
  </r>
  <r>
    <x v="842"/>
    <d v="2020-05-23T00:00:00"/>
    <n v="230119996"/>
    <n v="7557690"/>
    <n v="169747"/>
    <x v="7"/>
    <x v="6"/>
    <x v="6"/>
    <n v="3.3580032740831443"/>
    <n v="32.842387151788408"/>
    <n v="0.73764558904303124"/>
    <n v="0.83787232118723787"/>
    <n v="0.29693308571224347"/>
    <n v="49"/>
    <x v="1"/>
    <n v="19.570246547484331"/>
  </r>
  <r>
    <x v="843"/>
    <d v="2019-11-28T00:00:00"/>
    <n v="170567310"/>
    <n v="3124986"/>
    <n v="50993"/>
    <x v="11"/>
    <x v="11"/>
    <x v="2"/>
    <n v="1.8620091974247588"/>
    <n v="18.321130819264255"/>
    <n v="0.29896115498333181"/>
    <n v="0.83384764159029956"/>
    <n v="0.28774224410265709"/>
    <n v="49"/>
    <x v="1"/>
    <n v="1.8238651734786089"/>
  </r>
  <r>
    <x v="844"/>
    <d v="2019-12-14T00:00:00"/>
    <n v="69031568"/>
    <n v="1505500"/>
    <n v="91395"/>
    <x v="11"/>
    <x v="7"/>
    <x v="6"/>
    <n v="2.3132822363241119"/>
    <n v="21.808862866913294"/>
    <n v="1.3239594963278249"/>
    <n v="0.83371012468980055"/>
    <n v="0.28819194590702596"/>
    <n v="49"/>
    <x v="1"/>
    <n v="1.8314538937777385"/>
  </r>
  <r>
    <x v="845"/>
    <d v="2018-11-24T00:00:00"/>
    <n v="43992732"/>
    <n v="1127878"/>
    <n v="67651"/>
    <x v="13"/>
    <x v="11"/>
    <x v="6"/>
    <n v="2.7175602551803331"/>
    <n v="25.637825811772725"/>
    <n v="1.5377767400306033"/>
    <n v="0.83368918943861858"/>
    <n v="0.28786466473060551"/>
    <n v="49"/>
    <x v="0"/>
    <m/>
  </r>
  <r>
    <x v="846"/>
    <d v="2018-06-08T00:00:00"/>
    <n v="11375154"/>
    <n v="292205"/>
    <n v="18907"/>
    <x v="13"/>
    <x v="4"/>
    <x v="1"/>
    <n v="2.7350135215751803"/>
    <n v="25.688003872299223"/>
    <n v="1.6621313434525808"/>
    <n v="0.83370859594078506"/>
    <n v="0.28808376766709942"/>
    <n v="49"/>
    <x v="0"/>
    <m/>
  </r>
  <r>
    <x v="847"/>
    <d v="2014-03-30T00:00:00"/>
    <n v="219123"/>
    <n v="4133"/>
    <n v="457"/>
    <x v="1"/>
    <x v="2"/>
    <x v="4"/>
    <n v="2.0947139277939786"/>
    <n v="18.861552643948833"/>
    <n v="2.0855866339909546"/>
    <n v="0.8336237626157319"/>
    <n v="0.28787819991737112"/>
    <n v="49"/>
    <x v="0"/>
    <m/>
  </r>
  <r>
    <x v="848"/>
    <d v="2015-07-16T00:00:00"/>
    <n v="131582"/>
    <n v="3856"/>
    <n v="300"/>
    <x v="0"/>
    <x v="3"/>
    <x v="2"/>
    <n v="3.158486723108024"/>
    <n v="29.30492012585308"/>
    <n v="2.2799471052271585"/>
    <n v="0.83345234264551837"/>
    <n v="0.28716650604023169"/>
    <n v="49"/>
    <x v="0"/>
    <m/>
  </r>
  <r>
    <x v="849"/>
    <d v="2014-02-23T00:00:00"/>
    <n v="130827"/>
    <n v="3408"/>
    <n v="458"/>
    <x v="1"/>
    <x v="5"/>
    <x v="4"/>
    <n v="2.9550475054843419"/>
    <n v="26.049668646380333"/>
    <n v="3.500806408463085"/>
    <n v="0.83327819436907691"/>
    <n v="0.28643714366898027"/>
    <n v="49"/>
    <x v="0"/>
    <m/>
  </r>
  <r>
    <x v="850"/>
    <d v="2014-03-02T00:00:00"/>
    <n v="109741"/>
    <n v="2108"/>
    <n v="315"/>
    <x v="1"/>
    <x v="2"/>
    <x v="4"/>
    <n v="2.2079259347007953"/>
    <n v="19.208864508251246"/>
    <n v="2.8703948387567091"/>
    <n v="0.83310077504452074"/>
    <n v="0.28569883067029234"/>
    <n v="49"/>
    <x v="0"/>
    <m/>
  </r>
  <r>
    <x v="851"/>
    <d v="2015-08-12T00:00:00"/>
    <n v="95682"/>
    <n v="1673"/>
    <n v="197"/>
    <x v="0"/>
    <x v="0"/>
    <x v="3"/>
    <n v="1.9543905854810726"/>
    <n v="17.485002403795907"/>
    <n v="2.0589034510148201"/>
    <n v="0.83291964283289222"/>
    <n v="0.28494308669201651"/>
    <n v="49"/>
    <x v="1"/>
    <n v="3.4057621553083464"/>
  </r>
  <r>
    <x v="852"/>
    <d v="2016-01-23T00:00:00"/>
    <n v="76890"/>
    <n v="2956"/>
    <n v="282"/>
    <x v="2"/>
    <x v="8"/>
    <x v="6"/>
    <n v="4.2112108206528811"/>
    <n v="38.444531148393807"/>
    <n v="3.6675770581349982"/>
    <n v="0.83273512171650921"/>
    <n v="0.28417016910438625"/>
    <n v="49"/>
    <x v="0"/>
    <m/>
  </r>
  <r>
    <x v="853"/>
    <d v="2016-04-13T00:00:00"/>
    <n v="65037"/>
    <n v="2507"/>
    <n v="718"/>
    <x v="2"/>
    <x v="1"/>
    <x v="3"/>
    <n v="4.9587158079247198"/>
    <n v="38.547288466565192"/>
    <n v="11.039869612682011"/>
    <n v="0.83254806107690915"/>
    <n v="0.28338506855485968"/>
    <n v="49"/>
    <x v="0"/>
    <m/>
  </r>
  <r>
    <x v="854"/>
    <d v="2025-11-07T00:00:00"/>
    <n v="254494203"/>
    <n v="2252116"/>
    <n v="14367"/>
    <x v="4"/>
    <x v="11"/>
    <x v="1"/>
    <n v="0.89058335053706505"/>
    <n v="8.8493803530762545"/>
    <n v="5.6453152294396271E-2"/>
    <n v="0.83235742735497986"/>
    <n v="0.2825971974141685"/>
    <n v="50"/>
    <x v="0"/>
    <m/>
  </r>
  <r>
    <x v="855"/>
    <d v="2020-08-22T00:00:00"/>
    <n v="235015335"/>
    <n v="4181922"/>
    <n v="150692"/>
    <x v="7"/>
    <x v="0"/>
    <x v="6"/>
    <n v="1.8435452307824933"/>
    <n v="17.794251596390506"/>
    <n v="0.64120071143442625"/>
    <n v="0.84007287190276925"/>
    <n v="0.2897608326311536"/>
    <n v="50"/>
    <x v="0"/>
    <m/>
  </r>
  <r>
    <x v="856"/>
    <d v="2020-09-26T00:00:00"/>
    <n v="209202510"/>
    <n v="3087983"/>
    <n v="71548"/>
    <x v="7"/>
    <x v="9"/>
    <x v="6"/>
    <n v="1.510273944609938"/>
    <n v="14.760735901304434"/>
    <n v="0.34200354479494532"/>
    <n v="0.84017647346438751"/>
    <n v="0.28170950253641058"/>
    <n v="50"/>
    <x v="1"/>
    <n v="1.4547652692206354"/>
  </r>
  <r>
    <x v="857"/>
    <d v="2025-07-19T00:00:00"/>
    <n v="157692766"/>
    <n v="3583849"/>
    <n v="47726"/>
    <x v="4"/>
    <x v="3"/>
    <x v="6"/>
    <n v="2.3029433068603793"/>
    <n v="22.726781265286451"/>
    <n v="0.30265180331734431"/>
    <n v="0.84196559990297348"/>
    <n v="0.28117259928844912"/>
    <n v="50"/>
    <x v="4"/>
    <n v="1.7705457311375798"/>
  </r>
  <r>
    <x v="858"/>
    <d v="2019-04-30T00:00:00"/>
    <n v="83914787"/>
    <n v="1855352"/>
    <n v="49527"/>
    <x v="11"/>
    <x v="1"/>
    <x v="0"/>
    <n v="2.2700158912397645"/>
    <n v="22.109953040815082"/>
    <n v="0.59020587158256144"/>
    <n v="0.84116944029175622"/>
    <n v="0.28174011816812877"/>
    <n v="50"/>
    <x v="1"/>
    <n v="1.5223777298051804"/>
  </r>
  <r>
    <x v="859"/>
    <d v="2019-03-03T00:00:00"/>
    <n v="61589384"/>
    <n v="1786574"/>
    <n v="55252"/>
    <x v="11"/>
    <x v="2"/>
    <x v="4"/>
    <n v="2.9904926472393361"/>
    <n v="29.007823815870605"/>
    <n v="0.89710265652275401"/>
    <n v="0.84110374131593635"/>
    <n v="0.28160471458201591"/>
    <n v="50"/>
    <x v="0"/>
    <m/>
  </r>
  <r>
    <x v="860"/>
    <d v="2018-08-15T00:00:00"/>
    <n v="57165215"/>
    <n v="1005545"/>
    <n v="32050"/>
    <x v="13"/>
    <x v="0"/>
    <x v="3"/>
    <n v="1.8150810768401728"/>
    <n v="17.590155131927695"/>
    <n v="0.56065563647403405"/>
    <n v="0.84109861531768682"/>
    <n v="0.28149963358731944"/>
    <n v="50"/>
    <x v="1"/>
    <n v="1.786954020957467"/>
  </r>
  <r>
    <x v="861"/>
    <d v="2017-05-02T00:00:00"/>
    <n v="44886283"/>
    <n v="1673146"/>
    <n v="88719"/>
    <x v="8"/>
    <x v="6"/>
    <x v="0"/>
    <n v="3.9251746463390607"/>
    <n v="37.275218355683407"/>
    <n v="1.976528107707203"/>
    <n v="0.84114503273550145"/>
    <n v="0.28152920918063229"/>
    <n v="50"/>
    <x v="0"/>
    <m/>
  </r>
  <r>
    <x v="862"/>
    <d v="2018-05-04T00:00:00"/>
    <n v="41397174"/>
    <n v="759470"/>
    <n v="26524"/>
    <x v="13"/>
    <x v="6"/>
    <x v="1"/>
    <n v="1.8986658364650688"/>
    <n v="18.345938300039514"/>
    <n v="0.6407200646111737"/>
    <n v="0.84132570275406682"/>
    <n v="0.28185753148335435"/>
    <n v="50"/>
    <x v="0"/>
    <m/>
  </r>
  <r>
    <x v="863"/>
    <d v="2018-05-22T00:00:00"/>
    <n v="37444874"/>
    <n v="910197"/>
    <n v="43961"/>
    <x v="13"/>
    <x v="6"/>
    <x v="0"/>
    <n v="2.548167207078865"/>
    <n v="24.307652897964083"/>
    <n v="1.1740191728245633"/>
    <n v="0.84131845247002357"/>
    <n v="0.28182539799505363"/>
    <n v="50"/>
    <x v="0"/>
    <m/>
  </r>
  <r>
    <x v="864"/>
    <d v="2018-04-11T00:00:00"/>
    <n v="20289603"/>
    <n v="501616"/>
    <n v="38007"/>
    <x v="13"/>
    <x v="1"/>
    <x v="3"/>
    <n v="2.6596035417745729"/>
    <n v="24.722810002738843"/>
    <n v="1.8732254150068881"/>
    <n v="0.84131948724086447"/>
    <n v="0.28190534223853553"/>
    <n v="50"/>
    <x v="0"/>
    <m/>
  </r>
  <r>
    <x v="865"/>
    <d v="2018-05-25T00:00:00"/>
    <n v="15965506"/>
    <n v="316115"/>
    <n v="12156"/>
    <x v="13"/>
    <x v="6"/>
    <x v="1"/>
    <n v="2.0561265017218995"/>
    <n v="19.799873552394768"/>
    <n v="0.76139146482422793"/>
    <n v="0.84127888294058695"/>
    <n v="0.28204248044551883"/>
    <n v="50"/>
    <x v="0"/>
    <m/>
  </r>
  <r>
    <x v="866"/>
    <d v="2018-04-02T00:00:00"/>
    <n v="13424822"/>
    <n v="341237"/>
    <n v="24029"/>
    <x v="13"/>
    <x v="1"/>
    <x v="5"/>
    <n v="2.7208256467013121"/>
    <n v="25.418363088910976"/>
    <n v="1.7898933781021453"/>
    <n v="0.84119096338496513"/>
    <n v="0.28171087812484435"/>
    <n v="50"/>
    <x v="0"/>
    <m/>
  </r>
  <r>
    <x v="867"/>
    <d v="2018-03-03T00:00:00"/>
    <n v="11395057"/>
    <n v="273307"/>
    <n v="15595"/>
    <x v="13"/>
    <x v="2"/>
    <x v="6"/>
    <n v="2.5353273792311879"/>
    <n v="23.984697926478123"/>
    <n v="1.3685758658337557"/>
    <n v="0.84111935331127718"/>
    <n v="0.28159863706901284"/>
    <n v="50"/>
    <x v="1"/>
    <n v="1.9817122592105829"/>
  </r>
  <r>
    <x v="868"/>
    <d v="2014-05-15T00:00:00"/>
    <n v="893951"/>
    <n v="8155"/>
    <n v="638"/>
    <x v="1"/>
    <x v="6"/>
    <x v="2"/>
    <n v="0.98361095854247038"/>
    <n v="9.122423935987543"/>
    <n v="0.71368564943716151"/>
    <n v="0.8410277107266938"/>
    <n v="0.28129907689062505"/>
    <n v="50"/>
    <x v="0"/>
    <m/>
  </r>
  <r>
    <x v="869"/>
    <d v="2013-06-15T00:00:00"/>
    <n v="279413"/>
    <n v="9639"/>
    <n v="962"/>
    <x v="3"/>
    <x v="4"/>
    <x v="6"/>
    <n v="3.7940253316774806"/>
    <n v="34.497321169737987"/>
    <n v="3.4429321470368239"/>
    <n v="0.84085948412353362"/>
    <n v="0.28055247635415959"/>
    <n v="50"/>
    <x v="0"/>
    <m/>
  </r>
  <r>
    <x v="870"/>
    <d v="2015-07-29T00:00:00"/>
    <n v="111617"/>
    <n v="1731"/>
    <n v="227"/>
    <x v="0"/>
    <x v="3"/>
    <x v="3"/>
    <n v="1.7542130679018428"/>
    <n v="15.508390298968795"/>
    <n v="2.0337403800496343"/>
    <n v="0.84069168175785791"/>
    <n v="0.27979221680222205"/>
    <n v="50"/>
    <x v="0"/>
    <m/>
  </r>
  <r>
    <x v="871"/>
    <d v="2013-12-17T00:00:00"/>
    <n v="85899"/>
    <n v="2128"/>
    <n v="313"/>
    <x v="3"/>
    <x v="7"/>
    <x v="0"/>
    <n v="2.8417094494697261"/>
    <n v="24.773280247732803"/>
    <n v="3.6438142469644585"/>
    <n v="0.84051709274440534"/>
    <n v="0.27899379062460988"/>
    <n v="50"/>
    <x v="0"/>
    <m/>
  </r>
  <r>
    <x v="872"/>
    <d v="2015-09-18T00:00:00"/>
    <n v="72892"/>
    <n v="2267"/>
    <n v="282"/>
    <x v="0"/>
    <x v="9"/>
    <x v="1"/>
    <n v="3.4969543982878779"/>
    <n v="31.100806672885913"/>
    <n v="3.8687373099928664"/>
    <n v="0.84033924165671714"/>
    <n v="0.27818037956096459"/>
    <n v="50"/>
    <x v="0"/>
    <m/>
  </r>
  <r>
    <x v="873"/>
    <d v="2015-05-31T00:00:00"/>
    <n v="65033"/>
    <n v="1435"/>
    <n v="225"/>
    <x v="0"/>
    <x v="6"/>
    <x v="4"/>
    <n v="2.5525502437224179"/>
    <n v="22.065720480371503"/>
    <n v="3.4597819568526749"/>
    <n v="0.84015781945080659"/>
    <n v="0.27734835336553104"/>
    <n v="50"/>
    <x v="0"/>
    <m/>
  </r>
  <r>
    <x v="874"/>
    <d v="2020-06-13T00:00:00"/>
    <n v="290206874"/>
    <n v="4275256"/>
    <n v="121258"/>
    <x v="7"/>
    <x v="4"/>
    <x v="6"/>
    <n v="1.5149586015664123"/>
    <n v="14.731753045932331"/>
    <n v="0.41783296973179207"/>
    <n v="0.83997214561088585"/>
    <n v="0.27649641649109935"/>
    <n v="51"/>
    <x v="1"/>
    <n v="5.917443466874289"/>
  </r>
  <r>
    <x v="875"/>
    <d v="2019-11-09T00:00:00"/>
    <n v="275554980"/>
    <n v="4534588"/>
    <n v="100685"/>
    <x v="11"/>
    <x v="11"/>
    <x v="6"/>
    <n v="1.6821590377354094"/>
    <n v="16.456200501257499"/>
    <n v="0.36538987609659601"/>
    <n v="0.84384698703555872"/>
    <n v="0.2707967828171079"/>
    <n v="51"/>
    <x v="0"/>
    <m/>
  </r>
  <r>
    <x v="876"/>
    <d v="2021-06-01T00:00:00"/>
    <n v="272233354"/>
    <n v="3680608"/>
    <n v="82325"/>
    <x v="12"/>
    <x v="4"/>
    <x v="0"/>
    <n v="1.3822453952501352"/>
    <n v="13.520047951214677"/>
    <n v="0.30240600128667555"/>
    <n v="0.84603317697002722"/>
    <n v="0.26771521296481121"/>
    <n v="51"/>
    <x v="0"/>
    <m/>
  </r>
  <r>
    <x v="877"/>
    <d v="2024-09-07T00:00:00"/>
    <n v="237566185"/>
    <n v="4466437"/>
    <n v="54987"/>
    <x v="9"/>
    <x v="9"/>
    <x v="6"/>
    <n v="1.9032270943779308"/>
    <n v="18.800811234982792"/>
    <n v="0.23145970879651917"/>
    <n v="0.85201117297713846"/>
    <n v="0.26718972195422286"/>
    <n v="51"/>
    <x v="1"/>
    <n v="2.5769337051272387"/>
  </r>
  <r>
    <x v="878"/>
    <d v="2026-03-07T00:00:00"/>
    <n v="128541828"/>
    <n v="2473487"/>
    <n v="151158"/>
    <x v="5"/>
    <x v="2"/>
    <x v="6"/>
    <n v="2.041860646325957"/>
    <n v="19.2426623962435"/>
    <n v="1.1759440670160688"/>
    <n v="0.85264633416279501"/>
    <n v="0.26950657233298819"/>
    <n v="51"/>
    <x v="1"/>
    <n v="4.3209280428773189"/>
  </r>
  <r>
    <x v="879"/>
    <d v="2019-10-25T00:00:00"/>
    <n v="120062594"/>
    <n v="4544877"/>
    <n v="160027"/>
    <x v="11"/>
    <x v="10"/>
    <x v="1"/>
    <n v="3.9187092692666625"/>
    <n v="37.854229602935284"/>
    <n v="1.3328630897313447"/>
    <n v="0.85289377740792993"/>
    <n v="0.2645721201514788"/>
    <n v="51"/>
    <x v="0"/>
    <m/>
  </r>
  <r>
    <x v="880"/>
    <d v="2018-09-14T00:00:00"/>
    <n v="66482814"/>
    <n v="1325710"/>
    <n v="39661"/>
    <x v="13"/>
    <x v="9"/>
    <x v="1"/>
    <n v="2.0537202291106391"/>
    <n v="19.940642103386299"/>
    <n v="0.59656018772009256"/>
    <n v="0.85205334619660877"/>
    <n v="0.25964911076006753"/>
    <n v="51"/>
    <x v="1"/>
    <n v="3.654445832554571"/>
  </r>
  <r>
    <x v="881"/>
    <d v="2012-03-09T00:00:00"/>
    <n v="6752770"/>
    <n v="0"/>
    <n v="10522"/>
    <x v="14"/>
    <x v="2"/>
    <x v="1"/>
    <n v="0.15581753858046402"/>
    <n v="0"/>
    <n v="1.5581753858046401"/>
    <n v="0.85211116266520437"/>
    <n v="0.25962623015668262"/>
    <n v="51"/>
    <x v="0"/>
    <m/>
  </r>
  <r>
    <x v="882"/>
    <d v="2015-10-03T00:00:00"/>
    <n v="731929"/>
    <n v="15890"/>
    <n v="828"/>
    <x v="0"/>
    <x v="10"/>
    <x v="6"/>
    <n v="2.2841013267680337"/>
    <n v="21.709756000923587"/>
    <n v="1.1312572667567482"/>
    <n v="0.85196230396870809"/>
    <n v="0.25923486489376019"/>
    <n v="51"/>
    <x v="0"/>
    <m/>
  </r>
  <r>
    <x v="883"/>
    <d v="2013-04-07T00:00:00"/>
    <n v="217560"/>
    <n v="8190"/>
    <n v="859"/>
    <x v="3"/>
    <x v="1"/>
    <x v="4"/>
    <n v="4.1593123735980875"/>
    <n v="37.644787644787648"/>
    <n v="3.9483360911932337"/>
    <n v="0.85183609003617988"/>
    <n v="0.25853909444190354"/>
    <n v="51"/>
    <x v="0"/>
    <m/>
  </r>
  <r>
    <x v="884"/>
    <d v="2016-01-05T00:00:00"/>
    <n v="102896"/>
    <n v="4626"/>
    <n v="729"/>
    <x v="2"/>
    <x v="8"/>
    <x v="0"/>
    <n v="5.2042839371792882"/>
    <n v="44.958015860674855"/>
    <n v="7.0848235111180218"/>
    <n v="0.8517063103422905"/>
    <n v="0.25782141979785317"/>
    <n v="51"/>
    <x v="0"/>
    <m/>
  </r>
  <r>
    <x v="885"/>
    <d v="2015-09-05T00:00:00"/>
    <n v="65056"/>
    <n v="2228"/>
    <n v="373"/>
    <x v="0"/>
    <x v="9"/>
    <x v="6"/>
    <n v="3.9980939498278403"/>
    <n v="34.24741760944417"/>
    <n v="5.7335218888342352"/>
    <n v="0.85157245508794788"/>
    <n v="0.25708179902171358"/>
    <n v="51"/>
    <x v="0"/>
    <m/>
  </r>
  <r>
    <x v="886"/>
    <d v="2021-04-03T00:00:00"/>
    <n v="305117841"/>
    <n v="5555971"/>
    <n v="173998"/>
    <x v="12"/>
    <x v="1"/>
    <x v="6"/>
    <n v="1.8779527874281203"/>
    <n v="18.209262958176215"/>
    <n v="0.57026491610498775"/>
    <n v="0.8514344971624187"/>
    <n v="0.25631423220955291"/>
    <n v="52"/>
    <x v="1"/>
    <n v="0.71206358861281716"/>
  </r>
  <r>
    <x v="887"/>
    <d v="2026-05-02T00:00:00"/>
    <n v="130518718"/>
    <n v="2579009"/>
    <n v="1399899"/>
    <x v="5"/>
    <x v="6"/>
    <x v="6"/>
    <n v="3.0485343872286577"/>
    <n v="19.759686882612499"/>
    <n v="10.725656989674079"/>
    <n v="0.85358825055890541"/>
    <n v="0.24013494045036723"/>
    <n v="52"/>
    <x v="1"/>
    <n v="3.5587458572116195"/>
  </r>
  <r>
    <x v="888"/>
    <d v="2025-08-01T00:00:00"/>
    <n v="116976472"/>
    <n v="2426331"/>
    <n v="47020"/>
    <x v="4"/>
    <x v="0"/>
    <x v="1"/>
    <n v="2.1144004069467917"/>
    <n v="20.742042895600409"/>
    <n v="0.40196117386751073"/>
    <n v="0.85384025714279232"/>
    <n v="0.65051988987822762"/>
    <n v="52"/>
    <x v="0"/>
    <m/>
  </r>
  <r>
    <x v="889"/>
    <d v="2018-09-06T00:00:00"/>
    <n v="70083705"/>
    <n v="1136947"/>
    <n v="37610"/>
    <x v="13"/>
    <x v="9"/>
    <x v="2"/>
    <n v="1.675934512879991"/>
    <n v="16.222701125746703"/>
    <n v="0.53664400305320625"/>
    <n v="0.85391960521138055"/>
    <n v="0.64814977783695715"/>
    <n v="52"/>
    <x v="3"/>
    <n v="3.3580032740831443"/>
  </r>
  <r>
    <x v="890"/>
    <d v="2015-08-01T00:00:00"/>
    <n v="109944"/>
    <n v="2235"/>
    <n v="308"/>
    <x v="0"/>
    <x v="0"/>
    <x v="6"/>
    <n v="2.3129957069053337"/>
    <n v="20.328530888452303"/>
    <n v="2.8014261806010334"/>
    <n v="0.85420667053691979"/>
    <n v="0.64775509009403087"/>
    <n v="52"/>
    <x v="0"/>
    <m/>
  </r>
  <r>
    <x v="891"/>
    <d v="2015-02-24T00:00:00"/>
    <n v="101902"/>
    <n v="1281"/>
    <n v="256"/>
    <x v="0"/>
    <x v="5"/>
    <x v="0"/>
    <n v="1.5083119075189888"/>
    <n v="12.570901454338482"/>
    <n v="2.512217620851406"/>
    <n v="0.85408607182379703"/>
    <n v="0.64698684126770978"/>
    <n v="52"/>
    <x v="0"/>
    <m/>
  </r>
  <r>
    <x v="892"/>
    <d v="2015-09-23T00:00:00"/>
    <n v="94674"/>
    <n v="3282"/>
    <n v="496"/>
    <x v="0"/>
    <x v="9"/>
    <x v="3"/>
    <n v="3.990535944398673"/>
    <n v="34.666328664680904"/>
    <n v="5.2390307793058284"/>
    <n v="0.8539621066758013"/>
    <n v="0.64619611473662864"/>
    <n v="52"/>
    <x v="0"/>
    <m/>
  </r>
  <r>
    <x v="893"/>
    <d v="2025-06-10T00:00:00"/>
    <n v="522328986"/>
    <n v="8234604"/>
    <n v="26094"/>
    <x v="4"/>
    <x v="4"/>
    <x v="0"/>
    <n v="1.581512460807603"/>
    <n v="15.765167587310575"/>
    <n v="4.9957020765452977E-2"/>
    <n v="0.85383616125952044"/>
    <n v="0.64538768554677528"/>
    <n v="53"/>
    <x v="0"/>
    <m/>
  </r>
  <r>
    <x v="894"/>
    <d v="2019-08-17T00:00:00"/>
    <n v="169011174"/>
    <n v="3068067"/>
    <n v="66418"/>
    <x v="11"/>
    <x v="0"/>
    <x v="6"/>
    <n v="1.8546022288443482"/>
    <n v="18.153042354465864"/>
    <n v="0.39297993397761977"/>
    <n v="0.88351030714272416"/>
    <n v="0.7357112510136945"/>
    <n v="53"/>
    <x v="1"/>
    <n v="2.0947139277939786"/>
  </r>
  <r>
    <x v="895"/>
    <d v="2025-03-14T00:00:00"/>
    <n v="122705506"/>
    <n v="2643532"/>
    <n v="7471"/>
    <x v="4"/>
    <x v="2"/>
    <x v="1"/>
    <n v="2.1604596944492451"/>
    <n v="21.543711331095444"/>
    <n v="6.0885613397005996E-2"/>
    <n v="0.88650492358839406"/>
    <n v="0.72936366088848903"/>
    <n v="53"/>
    <x v="0"/>
    <m/>
  </r>
  <r>
    <x v="896"/>
    <d v="2017-06-02T00:00:00"/>
    <n v="35801118"/>
    <n v="816479"/>
    <n v="57356"/>
    <x v="8"/>
    <x v="4"/>
    <x v="1"/>
    <n v="2.4408036642878024"/>
    <n v="22.805963769064419"/>
    <n v="1.6020728738136054"/>
    <n v="0.88724009244431701"/>
    <n v="0.73795034928493264"/>
    <n v="53"/>
    <x v="0"/>
    <m/>
  </r>
  <r>
    <x v="897"/>
    <d v="2018-04-25T00:00:00"/>
    <n v="31561635"/>
    <n v="779366"/>
    <n v="46666"/>
    <x v="13"/>
    <x v="1"/>
    <x v="3"/>
    <n v="2.6172028160138092"/>
    <n v="24.69346090593849"/>
    <n v="1.4785672541996002"/>
    <n v="0.887255223674977"/>
    <n v="0.7430658667349328"/>
    <n v="53"/>
    <x v="3"/>
    <n v="2.2079259347007953"/>
  </r>
  <r>
    <x v="898"/>
    <d v="2018-02-22T00:00:00"/>
    <n v="8882440"/>
    <n v="235189"/>
    <n v="21739"/>
    <x v="13"/>
    <x v="5"/>
    <x v="2"/>
    <n v="2.8925385367083818"/>
    <n v="26.477972268881071"/>
    <n v="2.447413098202746"/>
    <n v="0.88725545869433775"/>
    <n v="0.74629174964187017"/>
    <n v="53"/>
    <x v="0"/>
    <m/>
  </r>
  <r>
    <x v="899"/>
    <d v="2013-06-15T00:00:00"/>
    <n v="158886"/>
    <n v="6248"/>
    <n v="1087"/>
    <x v="3"/>
    <x v="4"/>
    <x v="6"/>
    <n v="4.6165175031154417"/>
    <n v="39.323791901111491"/>
    <n v="6.8413831300429235"/>
    <n v="0.88722630497214683"/>
    <n v="0.74708281356705541"/>
    <n v="53"/>
    <x v="0"/>
    <m/>
  </r>
  <r>
    <x v="900"/>
    <d v="2023-10-05T00:00:00"/>
    <n v="591984955"/>
    <n v="31173271"/>
    <n v="84571"/>
    <x v="6"/>
    <x v="10"/>
    <x v="2"/>
    <n v="5.2801750679626647"/>
    <n v="52.658890630083668"/>
    <n v="0.14286004954298204"/>
    <n v="0.88717640821933852"/>
    <n v="0.74657221361336634"/>
    <n v="54"/>
    <x v="0"/>
    <m/>
  </r>
  <r>
    <x v="901"/>
    <d v="2023-10-28T00:00:00"/>
    <n v="314301634"/>
    <n v="4874061"/>
    <n v="83636"/>
    <x v="6"/>
    <x v="10"/>
    <x v="6"/>
    <n v="1.5773691459714141"/>
    <n v="15.507590393246254"/>
    <n v="0.26610106646788861"/>
    <n v="0.95113185061120287"/>
    <n v="0.85390042124419097"/>
    <n v="54"/>
    <x v="1"/>
    <n v="0.89058335053706505"/>
  </r>
  <r>
    <x v="902"/>
    <d v="2014-01-11T00:00:00"/>
    <n v="2162473"/>
    <n v="30670"/>
    <n v="2196"/>
    <x v="1"/>
    <x v="8"/>
    <x v="6"/>
    <n v="1.5198340048638757"/>
    <n v="14.182836040033795"/>
    <n v="1.0155040086049629"/>
    <n v="0.94713540382819439"/>
    <n v="0.88175912318192806"/>
    <n v="54"/>
    <x v="0"/>
    <m/>
  </r>
  <r>
    <x v="903"/>
    <d v="2013-08-12T00:00:00"/>
    <n v="208495"/>
    <n v="7698"/>
    <n v="874"/>
    <x v="3"/>
    <x v="0"/>
    <x v="5"/>
    <n v="4.1113695772080865"/>
    <n v="36.921748722990955"/>
    <n v="4.1919470490899062"/>
    <n v="0.94703921105880084"/>
    <n v="0.88153646546348752"/>
    <n v="54"/>
    <x v="0"/>
    <m/>
  </r>
  <r>
    <x v="904"/>
    <d v="2016-01-16T00:00:00"/>
    <n v="140297"/>
    <n v="3686"/>
    <n v="255"/>
    <x v="2"/>
    <x v="8"/>
    <x v="6"/>
    <n v="2.8090408205449866"/>
    <n v="26.2728354847217"/>
    <n v="1.8175727207281696"/>
    <n v="0.94692288309515038"/>
    <n v="0.88126270618349023"/>
    <n v="54"/>
    <x v="3"/>
    <n v="2.3029433068603793"/>
  </r>
  <r>
    <x v="905"/>
    <d v="2015-10-15T00:00:00"/>
    <n v="103978"/>
    <n v="4496"/>
    <n v="518"/>
    <x v="0"/>
    <x v="10"/>
    <x v="2"/>
    <n v="4.8221739214064518"/>
    <n v="43.239916136105712"/>
    <n v="4.9818230779587989"/>
    <n v="0.94680170921399931"/>
    <n v="0.88097786588176485"/>
    <n v="54"/>
    <x v="0"/>
    <m/>
  </r>
  <r>
    <x v="906"/>
    <d v="2015-07-08T00:00:00"/>
    <n v="65064"/>
    <n v="2211"/>
    <n v="509"/>
    <x v="0"/>
    <x v="3"/>
    <x v="3"/>
    <n v="4.1804992007869179"/>
    <n v="33.981925488749539"/>
    <n v="7.823066519119636"/>
    <n v="0.94667653488175585"/>
    <n v="0.88068283965858041"/>
    <n v="54"/>
    <x v="0"/>
    <m/>
  </r>
  <r>
    <x v="907"/>
    <d v="2015-07-11T00:00:00"/>
    <n v="65055"/>
    <n v="0"/>
    <n v="396"/>
    <x v="0"/>
    <x v="3"/>
    <x v="6"/>
    <n v="0.60871570209822456"/>
    <n v="0"/>
    <n v="6.0871570209822456"/>
    <n v="0.94654658120794721"/>
    <n v="0.88037712723685113"/>
    <n v="54"/>
    <x v="0"/>
    <m/>
  </r>
  <r>
    <x v="908"/>
    <d v="2020-12-15T00:00:00"/>
    <n v="244933762"/>
    <n v="7098745"/>
    <n v="185445"/>
    <x v="7"/>
    <x v="7"/>
    <x v="0"/>
    <n v="2.9739428082601367"/>
    <n v="28.982305020081309"/>
    <n v="0.75712306252006212"/>
    <n v="0.94641193200505191"/>
    <n v="0.88006105654750999"/>
    <n v="55"/>
    <x v="1"/>
    <n v="3.9251746463390607"/>
  </r>
  <r>
    <x v="909"/>
    <d v="2019-02-22T00:00:00"/>
    <n v="125915463"/>
    <n v="2045125"/>
    <n v="36720"/>
    <x v="11"/>
    <x v="5"/>
    <x v="1"/>
    <n v="1.6533672278201448"/>
    <n v="16.242048047744539"/>
    <n v="0.29162423045690583"/>
    <n v="0.96919584440828488"/>
    <n v="0.85099578858184255"/>
    <n v="55"/>
    <x v="3"/>
    <n v="1.8986658364650688"/>
  </r>
  <r>
    <x v="910"/>
    <d v="2018-12-07T00:00:00"/>
    <n v="103404961"/>
    <n v="1887609"/>
    <n v="62894"/>
    <x v="13"/>
    <x v="7"/>
    <x v="1"/>
    <n v="1.8862760366013773"/>
    <n v="18.254530360492087"/>
    <n v="0.6082300055216886"/>
    <n v="0.96777323489651845"/>
    <n v="0.85748869117028648"/>
    <n v="55"/>
    <x v="0"/>
    <m/>
  </r>
  <r>
    <x v="911"/>
    <d v="2026-05-16T00:00:00"/>
    <n v="86411166"/>
    <n v="1847674"/>
    <n v="136619"/>
    <x v="5"/>
    <x v="6"/>
    <x v="6"/>
    <n v="2.2963386467901614"/>
    <n v="21.382352368674205"/>
    <n v="1.5810340992274079"/>
    <n v="0.96652165475764729"/>
    <n v="0.85192368642242777"/>
    <n v="55"/>
    <x v="1"/>
    <n v="2.6596035417745729"/>
  </r>
  <r>
    <x v="912"/>
    <d v="2018-09-19T00:00:00"/>
    <n v="37458894"/>
    <n v="583966"/>
    <n v="18291"/>
    <x v="13"/>
    <x v="9"/>
    <x v="3"/>
    <n v="1.6077810519445661"/>
    <n v="15.589515269724728"/>
    <n v="0.48829524972093408"/>
    <n v="0.96643586016233074"/>
    <n v="0.90728379108214174"/>
    <n v="55"/>
    <x v="0"/>
    <m/>
  </r>
  <r>
    <x v="913"/>
    <d v="2013-08-09T00:00:00"/>
    <n v="677714"/>
    <n v="19790"/>
    <n v="1718"/>
    <x v="3"/>
    <x v="0"/>
    <x v="1"/>
    <n v="3.1736101069182578"/>
    <n v="29.201108432170503"/>
    <n v="2.5349926370120732"/>
    <n v="0.96647866607533661"/>
    <n v="0.90728646192976925"/>
    <n v="55"/>
    <x v="3"/>
    <n v="2.7208256467013121"/>
  </r>
  <r>
    <x v="914"/>
    <d v="2016-02-20T00:00:00"/>
    <n v="236262"/>
    <n v="5575"/>
    <n v="383"/>
    <x v="2"/>
    <x v="5"/>
    <x v="6"/>
    <n v="2.5217766716611223"/>
    <n v="23.596685036103988"/>
    <n v="1.6210816805072337"/>
    <n v="0.96642978340679353"/>
    <n v="0.90713082011599644"/>
    <n v="55"/>
    <x v="0"/>
    <m/>
  </r>
  <r>
    <x v="915"/>
    <d v="2013-07-21T00:00:00"/>
    <n v="198439"/>
    <n v="5871"/>
    <n v="643"/>
    <x v="3"/>
    <x v="3"/>
    <x v="4"/>
    <n v="3.2826208557793577"/>
    <n v="29.585918090697895"/>
    <n v="3.240290467095682"/>
    <n v="0.96638052183418677"/>
    <n v="0.9069970960391126"/>
    <n v="55"/>
    <x v="0"/>
    <m/>
  </r>
  <r>
    <x v="916"/>
    <d v="2015-09-29T00:00:00"/>
    <n v="147382"/>
    <n v="4246"/>
    <n v="528"/>
    <x v="0"/>
    <x v="9"/>
    <x v="0"/>
    <n v="3.2392015307160982"/>
    <n v="28.809488268580967"/>
    <n v="3.5825270385800168"/>
    <n v="0.96632859299586005"/>
    <n v="0.90684616763467985"/>
    <n v="55"/>
    <x v="0"/>
    <m/>
  </r>
  <r>
    <x v="917"/>
    <d v="2015-05-29T00:00:00"/>
    <n v="141703"/>
    <n v="1528"/>
    <n v="128"/>
    <x v="0"/>
    <x v="6"/>
    <x v="1"/>
    <n v="1.1686414543093655"/>
    <n v="10.783116800632307"/>
    <n v="0.9032977424613452"/>
    <n v="0.96627502708155633"/>
    <n v="0.90669252920858123"/>
    <n v="55"/>
    <x v="0"/>
    <m/>
  </r>
  <r>
    <x v="918"/>
    <d v="2015-10-04T00:00:00"/>
    <n v="130434"/>
    <n v="4961"/>
    <n v="707"/>
    <x v="0"/>
    <x v="10"/>
    <x v="4"/>
    <n v="4.3454927396231042"/>
    <n v="38.034561540702576"/>
    <n v="5.4203658555284662"/>
    <n v="0.9662216228091397"/>
    <n v="0.90655227860994969"/>
    <n v="55"/>
    <x v="0"/>
    <m/>
  </r>
  <r>
    <x v="919"/>
    <d v="2015-12-03T00:00:00"/>
    <n v="82546"/>
    <n v="3582"/>
    <n v="333"/>
    <x v="0"/>
    <x v="7"/>
    <x v="2"/>
    <n v="4.7428100695369855"/>
    <n v="43.39398638334989"/>
    <n v="4.0341143120199643"/>
    <n v="0.96616327250881906"/>
    <n v="0.90637957592756224"/>
    <n v="55"/>
    <x v="0"/>
    <m/>
  </r>
  <r>
    <x v="920"/>
    <d v="2015-08-21T00:00:00"/>
    <n v="79798"/>
    <n v="3274"/>
    <n v="819"/>
    <x v="0"/>
    <x v="0"/>
    <x v="1"/>
    <n v="5.1292012331136121"/>
    <n v="41.028597207950071"/>
    <n v="10.263415123186045"/>
    <n v="0.96610282696547578"/>
    <n v="0.90621516233695187"/>
    <n v="55"/>
    <x v="0"/>
    <m/>
  </r>
  <r>
    <x v="921"/>
    <d v="2018-02-21T00:00:00"/>
    <n v="36816454"/>
    <n v="857109"/>
    <n v="38260"/>
    <x v="13"/>
    <x v="5"/>
    <x v="3"/>
    <n v="2.4319805486970583"/>
    <n v="23.280596224720611"/>
    <n v="1.0392092622499711"/>
    <n v="0.9660403051379659"/>
    <n v="0.90602278039294903"/>
    <n v="56"/>
    <x v="1"/>
    <n v="1.5149586015664123"/>
  </r>
  <r>
    <x v="922"/>
    <d v="2015-10-09T00:00:00"/>
    <n v="161769"/>
    <n v="4437"/>
    <n v="368"/>
    <x v="0"/>
    <x v="10"/>
    <x v="1"/>
    <n v="2.970284788803788"/>
    <n v="27.427999184021662"/>
    <n v="2.2748487040162209"/>
    <n v="0.96626940301338826"/>
    <n v="0.90854371211733698"/>
    <n v="56"/>
    <x v="0"/>
    <m/>
  </r>
  <r>
    <x v="923"/>
    <d v="2013-06-17T00:00:00"/>
    <n v="158394"/>
    <n v="5984"/>
    <n v="1139"/>
    <x v="3"/>
    <x v="4"/>
    <x v="5"/>
    <n v="4.4970137757743345"/>
    <n v="37.779208808414459"/>
    <n v="7.1909289493288888"/>
    <n v="0.96620620863608331"/>
    <n v="0.9083736776364707"/>
    <n v="56"/>
    <x v="0"/>
    <m/>
  </r>
  <r>
    <x v="924"/>
    <d v="2015-06-20T00:00:00"/>
    <n v="65033"/>
    <n v="1624"/>
    <n v="358"/>
    <x v="0"/>
    <x v="4"/>
    <x v="6"/>
    <n v="3.0476834837697786"/>
    <n v="24.971937324127751"/>
    <n v="5.5048975135700333"/>
    <n v="0.96613917680164274"/>
    <n v="0.9081652223971789"/>
    <n v="56"/>
    <x v="0"/>
    <m/>
  </r>
  <r>
    <x v="925"/>
    <d v="2019-05-15T00:00:00"/>
    <n v="269523910"/>
    <n v="3531958"/>
    <n v="87524"/>
    <x v="11"/>
    <x v="6"/>
    <x v="3"/>
    <n v="1.342916849195309"/>
    <n v="13.104432923965819"/>
    <n v="0.3247355679872706"/>
    <n v="0.96607094435899099"/>
    <n v="0.90797623371372371"/>
    <n v="57"/>
    <x v="1"/>
    <n v="2.041860646325957"/>
  </r>
  <r>
    <x v="926"/>
    <d v="2016-01-07T00:00:00"/>
    <n v="389442"/>
    <n v="23712"/>
    <n v="2011"/>
    <x v="2"/>
    <x v="8"/>
    <x v="2"/>
    <n v="6.6050913871641983"/>
    <n v="60.88711541128076"/>
    <n v="5.1637984603612352"/>
    <n v="0.97530252359791991"/>
    <n v="0.92602265542240636"/>
    <n v="57"/>
    <x v="0"/>
    <m/>
  </r>
  <r>
    <x v="927"/>
    <d v="2015-10-25T00:00:00"/>
    <n v="71499"/>
    <n v="1789"/>
    <n v="222"/>
    <x v="0"/>
    <x v="10"/>
    <x v="4"/>
    <n v="2.8126267500244757"/>
    <n v="25.021328969635938"/>
    <n v="3.1049385306088197"/>
    <n v="0.97524758725865102"/>
    <n v="0.92584375515028894"/>
    <n v="57"/>
    <x v="0"/>
    <m/>
  </r>
  <r>
    <x v="928"/>
    <d v="2017-08-20T00:00:00"/>
    <n v="2803587"/>
    <n v="123291"/>
    <n v="8442"/>
    <x v="8"/>
    <x v="0"/>
    <x v="4"/>
    <n v="4.6987305904899692"/>
    <n v="43.976163393538343"/>
    <n v="3.0111425113613381"/>
    <n v="0.97519928150857249"/>
    <n v="0.92571230501819868"/>
    <n v="58"/>
    <x v="0"/>
    <m/>
  </r>
  <r>
    <x v="929"/>
    <d v="2015-11-06T00:00:00"/>
    <n v="340875"/>
    <n v="12100"/>
    <n v="907"/>
    <x v="0"/>
    <x v="11"/>
    <x v="1"/>
    <n v="3.8157682434910156"/>
    <n v="35.496883021635497"/>
    <n v="2.6607994132746606"/>
    <n v="0.97516402097313926"/>
    <n v="0.9258000765369615"/>
    <n v="58"/>
    <x v="0"/>
    <m/>
  </r>
  <r>
    <x v="930"/>
    <d v="2013-07-30T00:00:00"/>
    <n v="138997"/>
    <n v="4404"/>
    <n v="623"/>
    <x v="3"/>
    <x v="3"/>
    <x v="0"/>
    <n v="3.6166248192407031"/>
    <n v="31.684137067706494"/>
    <n v="4.4821111247005332"/>
    <n v="0.97510815231546089"/>
    <n v="0.92562958814341745"/>
    <n v="58"/>
    <x v="0"/>
    <m/>
  </r>
  <r>
    <x v="931"/>
    <d v="2018-06-24T00:00:00"/>
    <n v="21895445"/>
    <n v="638834"/>
    <n v="24392"/>
    <x v="13"/>
    <x v="4"/>
    <x v="4"/>
    <n v="3.0290592404036549"/>
    <n v="29.176570743366945"/>
    <n v="1.114021660669605"/>
    <n v="0.97505138441479866"/>
    <n v="0.92545414323972053"/>
    <n v="59"/>
    <x v="1"/>
    <n v="5.2042839371792882"/>
  </r>
  <r>
    <x v="932"/>
    <d v="2018-04-04T00:00:00"/>
    <n v="20153489"/>
    <n v="553760"/>
    <n v="21729"/>
    <x v="13"/>
    <x v="1"/>
    <x v="3"/>
    <n v="2.8555303749142396"/>
    <n v="27.477128153839764"/>
    <n v="1.0781755953026297"/>
    <n v="0.97545486887335986"/>
    <n v="0.92639842556761065"/>
    <n v="59"/>
    <x v="1"/>
    <n v="3.9980939498278403"/>
  </r>
  <r>
    <x v="933"/>
    <d v="2013-03-26T00:00:00"/>
    <n v="339940"/>
    <n v="0"/>
    <n v="1320"/>
    <x v="3"/>
    <x v="2"/>
    <x v="0"/>
    <n v="0.38830381832088018"/>
    <n v="0"/>
    <n v="3.8830381832088015"/>
    <n v="0.97567201093690015"/>
    <n v="0.92705935952035423"/>
    <n v="59"/>
    <x v="0"/>
    <m/>
  </r>
  <r>
    <x v="934"/>
    <d v="2014-10-21T00:00:00"/>
    <n v="221572"/>
    <n v="4384"/>
    <n v="350"/>
    <x v="1"/>
    <x v="10"/>
    <x v="0"/>
    <n v="2.1365515498348167"/>
    <n v="19.78589352445255"/>
    <n v="1.5796219738956188"/>
    <n v="0.97561950756525018"/>
    <n v="0.92685346660970513"/>
    <n v="59"/>
    <x v="0"/>
    <m/>
  </r>
  <r>
    <x v="935"/>
    <d v="2013-10-31T00:00:00"/>
    <n v="120682"/>
    <n v="3134"/>
    <n v="347"/>
    <x v="3"/>
    <x v="10"/>
    <x v="2"/>
    <n v="2.8844400987719796"/>
    <n v="25.969075752804894"/>
    <n v="2.8753252349149001"/>
    <n v="0.97555702649976483"/>
    <n v="0.92667314828123748"/>
    <n v="59"/>
    <x v="0"/>
    <m/>
  </r>
  <r>
    <x v="936"/>
    <d v="2014-04-01T00:00:00"/>
    <n v="101420"/>
    <n v="1461"/>
    <n v="199"/>
    <x v="1"/>
    <x v="1"/>
    <x v="0"/>
    <n v="1.6367580358903571"/>
    <n v="14.405442713468743"/>
    <n v="1.9621376454348254"/>
    <n v="0.97548983430568292"/>
    <n v="0.92647775005636523"/>
    <n v="59"/>
    <x v="0"/>
    <m/>
  </r>
  <r>
    <x v="937"/>
    <d v="2015-06-07T00:00:00"/>
    <n v="87068"/>
    <n v="1642"/>
    <n v="191"/>
    <x v="0"/>
    <x v="4"/>
    <x v="4"/>
    <n v="2.1052510681306567"/>
    <n v="18.858822988928193"/>
    <n v="2.1936876923783708"/>
    <n v="0.97542012879850593"/>
    <n v="0.92627992443549334"/>
    <n v="59"/>
    <x v="0"/>
    <m/>
  </r>
  <r>
    <x v="938"/>
    <d v="2019-08-10T00:00:00"/>
    <n v="116258994"/>
    <n v="2869022"/>
    <n v="60986"/>
    <x v="11"/>
    <x v="0"/>
    <x v="6"/>
    <n v="2.5202420038143458"/>
    <n v="24.677849870264662"/>
    <n v="0.52457016787879651"/>
    <n v="0.97534607557418029"/>
    <n v="0.92607131850229829"/>
    <n v="60"/>
    <x v="0"/>
    <m/>
  </r>
  <r>
    <x v="939"/>
    <d v="2020-05-07T00:00:00"/>
    <n v="47393076"/>
    <n v="1399736"/>
    <n v="63239"/>
    <x v="7"/>
    <x v="6"/>
    <x v="2"/>
    <n v="3.0868960689531946"/>
    <n v="29.534609654794298"/>
    <n v="1.3343510347376482"/>
    <n v="0.97905019613620681"/>
    <n v="0.92110462678635674"/>
    <n v="60"/>
    <x v="1"/>
    <n v="3.990535944398673"/>
  </r>
  <r>
    <x v="938"/>
    <d v="2018-04-13T00:00:00"/>
    <n v="39362064"/>
    <n v="626294"/>
    <n v="35442"/>
    <x v="13"/>
    <x v="1"/>
    <x v="1"/>
    <n v="1.6811516794444519"/>
    <n v="15.911106693998569"/>
    <n v="0.90041010044595227"/>
    <n v="0.98285171982211472"/>
    <n v="0.93599961914416741"/>
    <n v="60"/>
    <x v="0"/>
    <m/>
  </r>
  <r>
    <x v="940"/>
    <d v="2018-01-28T00:00:00"/>
    <n v="32937569"/>
    <n v="1050913"/>
    <n v="54275"/>
    <x v="13"/>
    <x v="8"/>
    <x v="4"/>
    <n v="3.3554024585117381"/>
    <n v="31.906210200273129"/>
    <n v="1.6478143848442488"/>
    <n v="0.98298210158166965"/>
    <n v="0.93728474224545222"/>
    <n v="60"/>
    <x v="1"/>
    <n v="1.8546022288443482"/>
  </r>
  <r>
    <x v="941"/>
    <d v="2013-07-06T00:00:00"/>
    <n v="279823"/>
    <n v="7025"/>
    <n v="852"/>
    <x v="3"/>
    <x v="3"/>
    <x v="6"/>
    <n v="2.8149937639150462"/>
    <n v="25.105155759176338"/>
    <n v="3.0447818799741264"/>
    <n v="0.98594441380343789"/>
    <n v="0.95620582206639815"/>
    <n v="60"/>
    <x v="0"/>
    <m/>
  </r>
  <r>
    <x v="942"/>
    <d v="2015-07-13T00:00:00"/>
    <n v="227485"/>
    <n v="2301"/>
    <n v="268"/>
    <x v="0"/>
    <x v="3"/>
    <x v="5"/>
    <n v="1.1293052289161922"/>
    <n v="10.114952634239621"/>
    <n v="1.1780996549223026"/>
    <n v="0.9859158163359103"/>
    <n v="0.95610747953917519"/>
    <n v="60"/>
    <x v="0"/>
    <m/>
  </r>
  <r>
    <x v="943"/>
    <d v="2015-12-22T00:00:00"/>
    <n v="953558"/>
    <n v="20558"/>
    <n v="1947"/>
    <x v="0"/>
    <x v="7"/>
    <x v="0"/>
    <n v="2.3601081423468737"/>
    <n v="21.559254916848268"/>
    <n v="2.0418265066204677"/>
    <n v="0.98588852638249758"/>
    <n v="0.95603017471153218"/>
    <n v="61"/>
    <x v="0"/>
    <m/>
  </r>
  <r>
    <x v="944"/>
    <d v="2016-04-08T00:00:00"/>
    <n v="163809"/>
    <n v="7546"/>
    <n v="643"/>
    <x v="2"/>
    <x v="1"/>
    <x v="1"/>
    <n v="4.9991148227508866"/>
    <n v="46.065844977992661"/>
    <n v="3.925303249516205"/>
    <n v="0.98585856570888575"/>
    <n v="0.95590991120946145"/>
    <n v="61"/>
    <x v="0"/>
    <m/>
  </r>
  <r>
    <x v="945"/>
    <d v="2015-11-26T00:00:00"/>
    <n v="120341"/>
    <n v="2771"/>
    <n v="292"/>
    <x v="0"/>
    <x v="11"/>
    <x v="2"/>
    <n v="2.54526719904272"/>
    <n v="23.026233785659088"/>
    <n v="2.4264382047681172"/>
    <n v="0.98582166801246429"/>
    <n v="0.95579647377720833"/>
    <n v="61"/>
    <x v="0"/>
    <m/>
  </r>
  <r>
    <x v="946"/>
    <d v="2015-08-01T00:00:00"/>
    <n v="65031"/>
    <n v="1963"/>
    <n v="466"/>
    <x v="0"/>
    <x v="0"/>
    <x v="6"/>
    <n v="3.7351417016499822"/>
    <n v="30.185603788962187"/>
    <n v="7.1658132275376358"/>
    <n v="0.98578556021437014"/>
    <n v="0.95569312138942075"/>
    <n v="61"/>
    <x v="0"/>
    <m/>
  </r>
  <r>
    <x v="947"/>
    <d v="2020-12-23T00:00:00"/>
    <n v="135321131"/>
    <n v="3004515"/>
    <n v="105707"/>
    <x v="7"/>
    <x v="7"/>
    <x v="3"/>
    <n v="2.2984008314266897"/>
    <n v="22.20285167436267"/>
    <n v="0.78115663990422901"/>
    <n v="0.98574647030773588"/>
    <n v="0.95556934019505979"/>
    <n v="62"/>
    <x v="0"/>
    <m/>
  </r>
  <r>
    <x v="948"/>
    <d v="2013-03-29T00:00:00"/>
    <n v="234299"/>
    <n v="9143"/>
    <n v="1090"/>
    <x v="3"/>
    <x v="2"/>
    <x v="1"/>
    <n v="4.3674962334452987"/>
    <n v="39.02278712243757"/>
    <n v="4.6521752120154165"/>
    <n v="0.99162553007384757"/>
    <n v="0.97524420578424453"/>
    <n v="62"/>
    <x v="0"/>
    <m/>
  </r>
  <r>
    <x v="949"/>
    <d v="2015-08-08T00:00:00"/>
    <n v="222818"/>
    <n v="8063"/>
    <n v="761"/>
    <x v="0"/>
    <x v="0"/>
    <x v="6"/>
    <n v="3.9601827500471241"/>
    <n v="36.186484036298687"/>
    <n v="3.4153434641725533"/>
    <n v="0.99161438576313732"/>
    <n v="0.97521639590494202"/>
    <n v="62"/>
    <x v="0"/>
    <m/>
  </r>
  <r>
    <x v="950"/>
    <d v="2015-03-05T00:00:00"/>
    <n v="114488"/>
    <n v="1748"/>
    <n v="317"/>
    <x v="0"/>
    <x v="2"/>
    <x v="2"/>
    <n v="1.8036824820068478"/>
    <n v="15.267975683041017"/>
    <n v="2.7688491370274613"/>
    <n v="0.99160348058624215"/>
    <n v="0.97521417946883326"/>
    <n v="62"/>
    <x v="1"/>
    <n v="2.8090408205449866"/>
  </r>
  <r>
    <x v="951"/>
    <d v="2020-10-10T00:00:00"/>
    <n v="266217282"/>
    <n v="4171641"/>
    <n v="116782"/>
    <x v="7"/>
    <x v="10"/>
    <x v="6"/>
    <n v="1.6108732565303554"/>
    <n v="15.670060818966665"/>
    <n v="0.43867174633688882"/>
    <n v="0.99159755051914533"/>
    <n v="0.97525487266754785"/>
    <n v="63"/>
    <x v="0"/>
    <m/>
  </r>
  <r>
    <x v="952"/>
    <d v="2015-10-21T00:00:00"/>
    <n v="65662"/>
    <n v="2450"/>
    <n v="210"/>
    <x v="0"/>
    <x v="10"/>
    <x v="3"/>
    <n v="4.0510493131491572"/>
    <n v="37.31229630532119"/>
    <n v="3.1981968261703875"/>
    <n v="0.99609434787542284"/>
    <n v="0.94159878057446045"/>
    <n v="63"/>
    <x v="0"/>
    <m/>
  </r>
  <r>
    <x v="953"/>
    <d v="2015-05-10T00:00:00"/>
    <n v="65423"/>
    <n v="1757"/>
    <n v="337"/>
    <x v="0"/>
    <x v="6"/>
    <x v="4"/>
    <n v="3.200709230698684"/>
    <n v="26.855998654907292"/>
    <n v="5.1510936520795436"/>
    <n v="0.99609533289889463"/>
    <n v="0.94160206312864814"/>
    <n v="63"/>
    <x v="1"/>
    <n v="0.60871570209822456"/>
  </r>
  <r>
    <x v="954"/>
    <d v="2015-06-13T00:00:00"/>
    <n v="65054"/>
    <n v="1372"/>
    <n v="187"/>
    <x v="0"/>
    <x v="4"/>
    <x v="6"/>
    <n v="2.396470624404341"/>
    <n v="21.090171242352508"/>
    <n v="2.8745350016909028"/>
    <n v="0.99609821325240211"/>
    <n v="0.9415722938897495"/>
    <n v="63"/>
    <x v="0"/>
    <m/>
  </r>
  <r>
    <x v="955"/>
    <d v="2013-04-21T00:00:00"/>
    <n v="245180"/>
    <n v="8502"/>
    <n v="871"/>
    <x v="3"/>
    <x v="1"/>
    <x v="4"/>
    <n v="3.8229056203605514"/>
    <n v="34.676564156945915"/>
    <n v="3.5524920466595971"/>
    <n v="0.99610255921914614"/>
    <n v="0.94158967695753093"/>
    <n v="64"/>
    <x v="0"/>
    <m/>
  </r>
  <r>
    <x v="956"/>
    <d v="2016-05-19T00:00:00"/>
    <n v="399418"/>
    <n v="12326"/>
    <n v="2500"/>
    <x v="2"/>
    <x v="6"/>
    <x v="2"/>
    <n v="3.7119008156868243"/>
    <n v="30.859901156182246"/>
    <n v="6.2591070006859981"/>
    <n v="0.99609982461188828"/>
    <n v="0.94146196886688838"/>
    <n v="66"/>
    <x v="0"/>
    <m/>
  </r>
  <r>
    <x v="957"/>
    <d v="2016-04-22T00:00:00"/>
    <n v="128609"/>
    <n v="4821"/>
    <n v="457"/>
    <x v="2"/>
    <x v="1"/>
    <x v="1"/>
    <n v="4.1039118568684936"/>
    <n v="37.485712508455862"/>
    <n v="3.5534060602290665"/>
    <n v="0.99609624122486928"/>
    <n v="0.94118125919341367"/>
    <n v="66"/>
    <x v="0"/>
    <m/>
  </r>
  <r>
    <x v="958"/>
    <d v="2015-07-30T00:00:00"/>
    <n v="65065"/>
    <n v="1633"/>
    <n v="271"/>
    <x v="0"/>
    <x v="3"/>
    <x v="2"/>
    <n v="2.926304464766003"/>
    <n v="25.097978944132791"/>
    <n v="4.1650657035272411"/>
    <n v="0.99609599283911998"/>
    <n v="0.94109503941443284"/>
    <n v="66"/>
    <x v="0"/>
    <m/>
  </r>
  <r>
    <x v="959"/>
    <d v="2016-11-30T00:00:00"/>
    <n v="16562150"/>
    <n v="453555"/>
    <n v="15783"/>
    <x v="2"/>
    <x v="11"/>
    <x v="3"/>
    <n v="2.8337987519736267"/>
    <n v="27.385031532741824"/>
    <n v="0.95295598699444217"/>
    <n v="0.99610148898498541"/>
    <n v="0.94105137410400874"/>
    <n v="67"/>
    <x v="3"/>
    <n v="3.1736101069182578"/>
  </r>
  <r>
    <x v="960"/>
    <d v="2015-11-28T00:00:00"/>
    <n v="172359"/>
    <n v="4054"/>
    <n v="593"/>
    <x v="0"/>
    <x v="11"/>
    <x v="6"/>
    <n v="2.6961168259272799"/>
    <n v="23.520674870473837"/>
    <n v="3.4404933887989602"/>
    <n v="0.99681337163939987"/>
    <n v="0.94184831646875133"/>
    <n v="67"/>
    <x v="0"/>
    <m/>
  </r>
  <r>
    <x v="961"/>
    <d v="2015-07-08T00:00:00"/>
    <n v="65043"/>
    <n v="1387"/>
    <n v="262"/>
    <x v="0"/>
    <x v="3"/>
    <x v="3"/>
    <n v="2.5352459142413482"/>
    <n v="21.324354657687991"/>
    <n v="4.028104484725489"/>
    <n v="0.99681346306784768"/>
    <n v="0.94171402803482074"/>
    <n v="67"/>
    <x v="0"/>
    <m/>
  </r>
  <r>
    <x v="962"/>
    <d v="2018-08-28T00:00:00"/>
    <n v="122547732"/>
    <n v="2498615"/>
    <n v="66971"/>
    <x v="13"/>
    <x v="0"/>
    <x v="0"/>
    <n v="2.0935401725753686"/>
    <n v="20.388912623858268"/>
    <n v="0.54648910189541489"/>
    <n v="0.99681479015976426"/>
    <n v="0.94165804889068561"/>
    <n v="68"/>
    <x v="0"/>
    <m/>
  </r>
  <r>
    <x v="963"/>
    <d v="2014-01-18T00:00:00"/>
    <n v="153030"/>
    <n v="3882"/>
    <n v="423"/>
    <x v="1"/>
    <x v="8"/>
    <x v="6"/>
    <n v="2.8131738874730443"/>
    <n v="25.367574985297001"/>
    <n v="2.7641638894334446"/>
    <n v="0.97761911351504016"/>
    <n v="0.90693605140255829"/>
    <n v="68"/>
    <x v="0"/>
    <m/>
  </r>
  <r>
    <x v="964"/>
    <d v="2018-04-21T00:00:00"/>
    <n v="24630916"/>
    <n v="629729"/>
    <n v="28885"/>
    <x v="13"/>
    <x v="1"/>
    <x v="6"/>
    <n v="2.6739322240390897"/>
    <n v="25.566609053435123"/>
    <n v="1.1727131869557754"/>
    <n v="0.97728700004675317"/>
    <n v="0.90548980037555138"/>
    <n v="69"/>
    <x v="1"/>
    <n v="4.3454927396231042"/>
  </r>
  <r>
    <x v="965"/>
    <d v="2015-11-08T00:00:00"/>
    <n v="152608"/>
    <n v="1408"/>
    <n v="191"/>
    <x v="0"/>
    <x v="11"/>
    <x v="4"/>
    <n v="1.0477825539945482"/>
    <n v="9.226252883204026"/>
    <n v="1.2515726567414553"/>
    <n v="0.91803634450956351"/>
    <n v="0.84241565199852497"/>
    <n v="70"/>
    <x v="0"/>
    <m/>
  </r>
  <r>
    <x v="966"/>
    <d v="2015-08-27T00:00:00"/>
    <n v="65047"/>
    <n v="2071"/>
    <n v="493"/>
    <x v="0"/>
    <x v="0"/>
    <x v="2"/>
    <n v="3.9417651851737978"/>
    <n v="31.838516764800836"/>
    <n v="7.5791350869371383"/>
    <n v="0.91652994868851378"/>
    <n v="0.83947316954276485"/>
    <n v="70"/>
    <x v="0"/>
    <m/>
  </r>
  <r>
    <x v="967"/>
    <d v="2013-03-31T00:00:00"/>
    <n v="219124"/>
    <n v="9328"/>
    <n v="1319"/>
    <x v="3"/>
    <x v="2"/>
    <x v="4"/>
    <n v="4.8588926817692268"/>
    <n v="42.569504025118199"/>
    <n v="6.0194227925740682"/>
    <n v="0.91453890943866545"/>
    <n v="0.83596725165492791"/>
    <n v="72"/>
    <x v="0"/>
    <m/>
  </r>
  <r>
    <x v="968"/>
    <d v="2015-06-12T00:00:00"/>
    <n v="129325"/>
    <n v="2884"/>
    <n v="225"/>
    <x v="0"/>
    <x v="4"/>
    <x v="1"/>
    <n v="2.4040208776338683"/>
    <n v="22.300405953991881"/>
    <n v="1.7398028223468005"/>
    <n v="0.91255324126248305"/>
    <n v="0.83329202986803119"/>
    <n v="72"/>
    <x v="0"/>
    <m/>
  </r>
  <r>
    <x v="969"/>
    <d v="2013-11-17T00:00:00"/>
    <n v="128904"/>
    <n v="3510"/>
    <n v="350"/>
    <x v="3"/>
    <x v="11"/>
    <x v="4"/>
    <n v="2.9944765096505925"/>
    <n v="27.229566188791658"/>
    <n v="2.7151989077142682"/>
    <n v="0.90952108123816211"/>
    <n v="0.82756058534457433"/>
    <n v="72"/>
    <x v="0"/>
    <m/>
  </r>
  <r>
    <x v="970"/>
    <d v="2015-09-27T00:00:00"/>
    <n v="65053"/>
    <n v="1903"/>
    <n v="316"/>
    <x v="0"/>
    <x v="9"/>
    <x v="4"/>
    <n v="3.4110648240665302"/>
    <n v="29.253070573224907"/>
    <n v="4.8575776674403945"/>
    <n v="0.90545246925769318"/>
    <n v="0.82003258551375313"/>
    <n v="72"/>
    <x v="0"/>
    <m/>
  </r>
  <r>
    <x v="971"/>
    <d v="2015-10-11T00:00:00"/>
    <n v="65044"/>
    <n v="2117"/>
    <n v="374"/>
    <x v="0"/>
    <x v="10"/>
    <x v="4"/>
    <n v="3.8297152696636125"/>
    <n v="32.547198819260814"/>
    <n v="5.7499538773753152"/>
    <n v="0.89935499508659689"/>
    <n v="0.80898839259841526"/>
    <n v="72"/>
    <x v="0"/>
    <m/>
  </r>
  <r>
    <x v="972"/>
    <d v="2015-10-05T00:00:00"/>
    <n v="98030"/>
    <n v="2767"/>
    <n v="284"/>
    <x v="0"/>
    <x v="10"/>
    <x v="5"/>
    <n v="3.1123125573803936"/>
    <n v="28.226053249005407"/>
    <n v="2.8970723247985313"/>
    <n v="0.88990891743873657"/>
    <n v="0.79217800487784062"/>
    <n v="74"/>
    <x v="0"/>
    <m/>
  </r>
  <r>
    <x v="973"/>
    <d v="2015-05-21T00:00:00"/>
    <n v="65077"/>
    <n v="2532"/>
    <n v="829"/>
    <x v="0"/>
    <x v="6"/>
    <x v="2"/>
    <n v="5.1646511056133511"/>
    <n v="38.907755428185069"/>
    <n v="12.73875562794843"/>
    <n v="0.87356523753078419"/>
    <n v="0.76274075686585108"/>
    <n v="82"/>
    <x v="0"/>
    <m/>
  </r>
  <r>
    <x v="974"/>
    <d v="2016-02-07T00:00:00"/>
    <n v="105220"/>
    <n v="2634"/>
    <n v="329"/>
    <x v="2"/>
    <x v="5"/>
    <x v="4"/>
    <n v="2.8160045618703671"/>
    <n v="25.033263638091618"/>
    <n v="3.1267819806120509"/>
    <n v="0.83684607213587592"/>
    <n v="0.70456195958342283"/>
    <n v="85"/>
    <x v="0"/>
    <m/>
  </r>
  <r>
    <x v="975"/>
    <d v="2016-11-25T00:00:00"/>
    <n v="11028616"/>
    <n v="215572"/>
    <n v="11781"/>
    <x v="2"/>
    <x v="11"/>
    <x v="1"/>
    <n v="2.0614826012620258"/>
    <n v="19.546604941182103"/>
    <n v="1.0682210714381568"/>
    <n v="0.68638889662874236"/>
    <n v="0.47757084122591581"/>
    <n v="95"/>
    <x v="0"/>
    <m/>
  </r>
  <r>
    <x v="976"/>
    <d v="2017-02-22T00:00:00"/>
    <n v="7742146"/>
    <n v="321688"/>
    <n v="24567"/>
    <x v="8"/>
    <x v="5"/>
    <x v="3"/>
    <n v="4.4723388063206251"/>
    <n v="41.550236846476416"/>
    <n v="3.1731512167298321"/>
    <n v="1"/>
    <n v="1"/>
    <n v="100"/>
    <x v="0"/>
    <m/>
  </r>
  <r>
    <x v="977"/>
    <d v="2017-03-30T00:00:00"/>
    <n v="2170322"/>
    <n v="72687"/>
    <n v="4952"/>
    <x v="8"/>
    <x v="2"/>
    <x v="2"/>
    <n v="3.5773032757351211"/>
    <n v="33.491343680799439"/>
    <n v="2.2816890765517743"/>
    <e v="#DIV/0!"/>
    <e v="#DIV/0!"/>
    <n v="10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13C4F-0A14-47CB-B39A-E4DAD36C2D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tle">
  <location ref="A4:B983" firstHeaderRow="1" firstDataRow="1" firstDataCol="1"/>
  <pivotFields count="16">
    <pivotField axis="axisRow" showAll="0" sortType="descending">
      <items count="979">
        <item x="1"/>
        <item x="4"/>
        <item x="134"/>
        <item x="482"/>
        <item x="258"/>
        <item x="62"/>
        <item x="222"/>
        <item x="508"/>
        <item x="475"/>
        <item x="194"/>
        <item x="99"/>
        <item x="144"/>
        <item x="118"/>
        <item x="155"/>
        <item x="44"/>
        <item x="141"/>
        <item x="407"/>
        <item x="61"/>
        <item x="199"/>
        <item x="219"/>
        <item x="809"/>
        <item x="794"/>
        <item x="469"/>
        <item x="483"/>
        <item x="178"/>
        <item x="180"/>
        <item x="672"/>
        <item x="82"/>
        <item x="94"/>
        <item x="263"/>
        <item x="323"/>
        <item x="366"/>
        <item x="843"/>
        <item x="645"/>
        <item x="647"/>
        <item x="96"/>
        <item x="277"/>
        <item x="511"/>
        <item x="643"/>
        <item x="642"/>
        <item x="901"/>
        <item x="633"/>
        <item x="65"/>
        <item x="410"/>
        <item x="548"/>
        <item x="437"/>
        <item x="414"/>
        <item x="658"/>
        <item x="502"/>
        <item x="510"/>
        <item x="415"/>
        <item x="127"/>
        <item x="243"/>
        <item x="75"/>
        <item x="569"/>
        <item x="662"/>
        <item x="6"/>
        <item x="376"/>
        <item x="47"/>
        <item x="888"/>
        <item x="712"/>
        <item x="90"/>
        <item x="124"/>
        <item x="79"/>
        <item x="693"/>
        <item x="661"/>
        <item x="708"/>
        <item x="478"/>
        <item x="7"/>
        <item x="526"/>
        <item x="598"/>
        <item x="666"/>
        <item x="698"/>
        <item x="184"/>
        <item x="525"/>
        <item x="595"/>
        <item x="11"/>
        <item x="379"/>
        <item x="586"/>
        <item x="372"/>
        <item x="107"/>
        <item x="296"/>
        <item x="571"/>
        <item x="474"/>
        <item x="98"/>
        <item x="160"/>
        <item x="261"/>
        <item x="221"/>
        <item x="833"/>
        <item x="109"/>
        <item x="892"/>
        <item x="496"/>
        <item x="500"/>
        <item x="305"/>
        <item x="319"/>
        <item x="198"/>
        <item x="596"/>
        <item x="830"/>
        <item x="128"/>
        <item x="244"/>
        <item x="216"/>
        <item x="233"/>
        <item x="585"/>
        <item x="781"/>
        <item x="841"/>
        <item x="876"/>
        <item x="255"/>
        <item x="935"/>
        <item x="212"/>
        <item x="238"/>
        <item x="860"/>
        <item x="322"/>
        <item x="497"/>
        <item x="574"/>
        <item x="602"/>
        <item x="924"/>
        <item x="529"/>
        <item x="330"/>
        <item x="34"/>
        <item x="427"/>
        <item x="632"/>
        <item x="599"/>
        <item x="791"/>
        <item x="631"/>
        <item x="747"/>
        <item x="720"/>
        <item x="871"/>
        <item x="152"/>
        <item x="834"/>
        <item x="393"/>
        <item x="851"/>
        <item x="273"/>
        <item x="914"/>
        <item x="161"/>
        <item x="224"/>
        <item x="629"/>
        <item x="882"/>
        <item x="699"/>
        <item x="163"/>
        <item x="453"/>
        <item x="971"/>
        <item x="209"/>
        <item x="972"/>
        <item x="917"/>
        <item x="678"/>
        <item x="292"/>
        <item x="793"/>
        <item x="302"/>
        <item x="742"/>
        <item x="915"/>
        <item x="130"/>
        <item x="941"/>
        <item x="329"/>
        <item x="750"/>
        <item x="357"/>
        <item x="562"/>
        <item x="77"/>
        <item x="0"/>
        <item x="680"/>
        <item x="291"/>
        <item x="480"/>
        <item x="39"/>
        <item x="587"/>
        <item x="533"/>
        <item x="522"/>
        <item x="788"/>
        <item x="195"/>
        <item x="434"/>
        <item x="930"/>
        <item x="162"/>
        <item x="132"/>
        <item x="588"/>
        <item x="655"/>
        <item x="688"/>
        <item x="583"/>
        <item x="889"/>
        <item x="416"/>
        <item x="100"/>
        <item x="142"/>
        <item x="229"/>
        <item x="433"/>
        <item x="149"/>
        <item x="553"/>
        <item x="499"/>
        <item x="108"/>
        <item x="48"/>
        <item x="66"/>
        <item x="33"/>
        <item x="31"/>
        <item x="381"/>
        <item x="35"/>
        <item x="458"/>
        <item x="59"/>
        <item x="304"/>
        <item x="442"/>
        <item x="350"/>
        <item x="449"/>
        <item x="563"/>
        <item x="394"/>
        <item x="113"/>
        <item x="657"/>
        <item x="827"/>
        <item x="561"/>
        <item x="845"/>
        <item x="938"/>
        <item x="962"/>
        <item x="695"/>
        <item x="926"/>
        <item x="278"/>
        <item x="95"/>
        <item x="456"/>
        <item x="584"/>
        <item x="491"/>
        <item x="392"/>
        <item x="64"/>
        <item x="744"/>
        <item x="334"/>
        <item x="317"/>
        <item x="252"/>
        <item x="867"/>
        <item x="714"/>
        <item x="798"/>
        <item x="515"/>
        <item x="620"/>
        <item x="756"/>
        <item x="236"/>
        <item x="763"/>
        <item x="168"/>
        <item x="193"/>
        <item x="167"/>
        <item x="359"/>
        <item x="627"/>
        <item x="615"/>
        <item x="266"/>
        <item x="969"/>
        <item x="386"/>
        <item x="628"/>
        <item x="566"/>
        <item x="293"/>
        <item x="706"/>
        <item x="365"/>
        <item x="848"/>
        <item x="505"/>
        <item x="320"/>
        <item x="156"/>
        <item x="339"/>
        <item x="23"/>
        <item x="677"/>
        <item x="792"/>
        <item x="346"/>
        <item x="256"/>
        <item x="257"/>
        <item x="60"/>
        <item x="97"/>
        <item x="540"/>
        <item x="301"/>
        <item x="151"/>
        <item x="670"/>
        <item x="592"/>
        <item x="893"/>
        <item x="404"/>
        <item x="371"/>
        <item x="861"/>
        <item x="196"/>
        <item x="470"/>
        <item x="406"/>
        <item x="342"/>
        <item x="185"/>
        <item x="303"/>
        <item x="181"/>
        <item x="581"/>
        <item x="312"/>
        <item x="667"/>
        <item x="849"/>
        <item x="654"/>
        <item x="607"/>
        <item x="138"/>
        <item x="726"/>
        <item x="364"/>
        <item x="431"/>
        <item x="457"/>
        <item x="402"/>
        <item x="9"/>
        <item x="590"/>
        <item x="552"/>
        <item x="731"/>
        <item x="441"/>
        <item x="711"/>
        <item x="858"/>
        <item x="481"/>
        <item x="732"/>
        <item x="120"/>
        <item x="898"/>
        <item x="484"/>
        <item x="839"/>
        <item x="425"/>
        <item x="837"/>
        <item x="751"/>
        <item x="767"/>
        <item x="727"/>
        <item x="824"/>
        <item x="866"/>
        <item x="823"/>
        <item x="854"/>
        <item x="820"/>
        <item x="752"/>
        <item x="448"/>
        <item x="30"/>
        <item x="391"/>
        <item x="840"/>
        <item x="145"/>
        <item x="977"/>
        <item x="37"/>
        <item x="117"/>
        <item x="321"/>
        <item x="182"/>
        <item x="54"/>
        <item x="955"/>
        <item x="637"/>
        <item x="881"/>
        <item x="298"/>
        <item x="460"/>
        <item x="133"/>
        <item x="45"/>
        <item x="38"/>
        <item x="804"/>
        <item x="589"/>
        <item x="748"/>
        <item x="370"/>
        <item x="191"/>
        <item x="954"/>
        <item x="179"/>
        <item x="287"/>
        <item x="230"/>
        <item x="280"/>
        <item x="314"/>
        <item x="702"/>
        <item x="743"/>
        <item x="968"/>
        <item x="890"/>
        <item x="916"/>
        <item x="53"/>
        <item x="63"/>
        <item x="765"/>
        <item x="188"/>
        <item x="664"/>
        <item x="537"/>
        <item x="536"/>
        <item x="956"/>
        <item x="635"/>
        <item x="828"/>
        <item x="960"/>
        <item x="770"/>
        <item x="351"/>
        <item x="337"/>
        <item x="863"/>
        <item x="435"/>
        <item x="862"/>
        <item x="567"/>
        <item x="626"/>
        <item x="950"/>
        <item x="572"/>
        <item x="700"/>
        <item x="777"/>
        <item x="267"/>
        <item x="565"/>
        <item x="690"/>
        <item x="774"/>
        <item x="957"/>
        <item x="270"/>
        <item x="873"/>
        <item x="385"/>
        <item x="805"/>
        <item x="746"/>
        <item x="847"/>
        <item x="807"/>
        <item x="922"/>
        <item x="868"/>
        <item x="603"/>
        <item x="432"/>
        <item x="600"/>
        <item x="850"/>
        <item x="773"/>
        <item x="745"/>
        <item x="591"/>
        <item x="902"/>
        <item x="630"/>
        <item x="891"/>
        <item x="498"/>
        <item x="570"/>
        <item x="716"/>
        <item x="723"/>
        <item x="464"/>
        <item x="509"/>
        <item x="452"/>
        <item x="495"/>
        <item x="153"/>
        <item x="852"/>
        <item x="906"/>
        <item x="668"/>
        <item x="269"/>
        <item x="214"/>
        <item x="905"/>
        <item x="832"/>
        <item x="884"/>
        <item x="919"/>
        <item x="829"/>
        <item x="489"/>
        <item x="692"/>
        <item x="953"/>
        <item x="175"/>
        <item x="597"/>
        <item x="966"/>
        <item x="764"/>
        <item x="673"/>
        <item x="451"/>
        <item x="57"/>
        <item x="58"/>
        <item x="467"/>
        <item x="619"/>
        <item x="85"/>
        <item x="307"/>
        <item x="226"/>
        <item x="681"/>
        <item x="575"/>
        <item x="235"/>
        <item x="164"/>
        <item x="383"/>
        <item x="694"/>
        <item x="159"/>
        <item x="761"/>
        <item x="738"/>
        <item x="311"/>
        <item x="684"/>
        <item x="737"/>
        <item x="886"/>
        <item x="801"/>
        <item x="71"/>
        <item x="443"/>
        <item x="544"/>
        <item x="200"/>
        <item x="558"/>
        <item x="739"/>
        <item x="186"/>
        <item x="556"/>
        <item x="547"/>
        <item x="606"/>
        <item x="638"/>
        <item x="782"/>
        <item x="420"/>
        <item x="819"/>
        <item x="367"/>
        <item x="87"/>
        <item x="895"/>
        <item x="318"/>
        <item x="932"/>
        <item x="931"/>
        <item x="880"/>
        <item x="940"/>
        <item x="921"/>
        <item x="479"/>
        <item x="964"/>
        <item x="514"/>
        <item x="289"/>
        <item x="639"/>
        <item x="951"/>
        <item x="713"/>
        <item x="826"/>
        <item x="618"/>
        <item x="939"/>
        <item x="355"/>
        <item x="234"/>
        <item x="340"/>
        <item x="555"/>
        <item x="644"/>
        <item x="846"/>
        <item x="802"/>
        <item x="730"/>
        <item x="549"/>
        <item x="908"/>
        <item x="625"/>
        <item x="471"/>
        <item x="121"/>
        <item x="227"/>
        <item x="306"/>
        <item x="494"/>
        <item x="374"/>
        <item x="88"/>
        <item x="114"/>
        <item x="454"/>
        <item x="345"/>
        <item x="285"/>
        <item x="262"/>
        <item x="70"/>
        <item x="187"/>
        <item x="959"/>
        <item x="19"/>
        <item x="900"/>
        <item x="72"/>
        <item x="282"/>
        <item x="814"/>
        <item x="517"/>
        <item x="513"/>
        <item x="476"/>
        <item x="705"/>
        <item x="609"/>
        <item x="347"/>
        <item x="947"/>
        <item x="617"/>
        <item x="812"/>
        <item x="816"/>
        <item x="43"/>
        <item x="50"/>
        <item x="51"/>
        <item x="754"/>
        <item x="343"/>
        <item x="753"/>
        <item x="369"/>
        <item x="102"/>
        <item x="755"/>
        <item x="735"/>
        <item x="803"/>
        <item x="800"/>
        <item x="545"/>
        <item x="503"/>
        <item x="473"/>
        <item x="687"/>
        <item x="796"/>
        <item x="418"/>
        <item x="254"/>
        <item x="608"/>
        <item x="197"/>
        <item x="543"/>
        <item x="887"/>
        <item x="799"/>
        <item x="728"/>
        <item x="650"/>
        <item x="440"/>
        <item x="811"/>
        <item x="375"/>
        <item x="541"/>
        <item x="683"/>
        <item x="531"/>
        <item x="534"/>
        <item x="204"/>
        <item x="865"/>
        <item x="276"/>
        <item x="709"/>
        <item x="353"/>
        <item x="377"/>
        <item x="577"/>
        <item x="604"/>
        <item x="126"/>
        <item x="656"/>
        <item x="610"/>
        <item x="842"/>
        <item x="660"/>
        <item x="119"/>
        <item x="190"/>
        <item x="40"/>
        <item x="766"/>
        <item x="760"/>
        <item x="14"/>
        <item x="507"/>
        <item x="674"/>
        <item x="970"/>
        <item x="333"/>
        <item x="268"/>
        <item x="395"/>
        <item x="907"/>
        <item x="918"/>
        <item x="344"/>
        <item x="663"/>
        <item x="275"/>
        <item x="488"/>
        <item x="527"/>
        <item x="210"/>
        <item x="232"/>
        <item x="148"/>
        <item x="36"/>
        <item x="281"/>
        <item x="872"/>
        <item x="808"/>
        <item x="283"/>
        <item x="83"/>
        <item x="338"/>
        <item x="368"/>
        <item x="506"/>
        <item x="542"/>
        <item x="759"/>
        <item x="403"/>
        <item x="686"/>
        <item x="550"/>
        <item x="733"/>
        <item x="646"/>
        <item x="894"/>
        <item x="817"/>
        <item x="710"/>
        <item x="612"/>
        <item x="758"/>
        <item x="259"/>
        <item x="925"/>
        <item x="797"/>
        <item x="844"/>
        <item x="378"/>
        <item x="778"/>
        <item x="648"/>
        <item x="477"/>
        <item x="512"/>
        <item x="468"/>
        <item x="707"/>
        <item x="821"/>
        <item x="56"/>
        <item x="853"/>
        <item x="205"/>
        <item x="786"/>
        <item x="201"/>
        <item x="904"/>
        <item x="838"/>
        <item x="15"/>
        <item x="675"/>
        <item x="636"/>
        <item x="787"/>
        <item x="551"/>
        <item x="795"/>
        <item x="360"/>
        <item x="300"/>
        <item x="172"/>
        <item x="835"/>
        <item x="665"/>
        <item x="877"/>
        <item x="140"/>
        <item x="125"/>
        <item x="768"/>
        <item x="623"/>
        <item x="928"/>
        <item x="461"/>
        <item x="55"/>
        <item x="249"/>
        <item x="903"/>
        <item x="715"/>
        <item x="208"/>
        <item x="717"/>
        <item x="22"/>
        <item x="80"/>
        <item x="651"/>
        <item x="29"/>
        <item x="165"/>
        <item x="485"/>
        <item x="771"/>
        <item x="679"/>
        <item x="328"/>
        <item x="13"/>
        <item x="390"/>
        <item x="944"/>
        <item x="949"/>
        <item x="213"/>
        <item x="490"/>
        <item x="110"/>
        <item x="382"/>
        <item x="86"/>
        <item x="297"/>
        <item x="265"/>
        <item x="560"/>
        <item x="32"/>
        <item x="105"/>
        <item x="384"/>
        <item x="112"/>
        <item x="237"/>
        <item x="429"/>
        <item x="78"/>
        <item x="836"/>
        <item x="241"/>
        <item x="173"/>
        <item x="18"/>
        <item x="961"/>
        <item x="463"/>
        <item x="398"/>
        <item x="671"/>
        <item x="20"/>
        <item x="247"/>
        <item x="946"/>
        <item x="685"/>
        <item x="74"/>
        <item x="594"/>
        <item x="388"/>
        <item x="934"/>
        <item x="170"/>
        <item x="444"/>
        <item x="724"/>
        <item x="331"/>
        <item x="309"/>
        <item x="27"/>
        <item x="69"/>
        <item x="652"/>
        <item x="430"/>
        <item x="870"/>
        <item x="459"/>
        <item x="92"/>
        <item x="885"/>
        <item x="316"/>
        <item x="879"/>
        <item x="419"/>
        <item x="106"/>
        <item x="933"/>
        <item x="719"/>
        <item x="455"/>
        <item x="883"/>
        <item x="967"/>
        <item x="260"/>
        <item x="447"/>
        <item x="326"/>
        <item x="408"/>
        <item x="869"/>
        <item x="831"/>
        <item x="899"/>
        <item x="923"/>
        <item x="158"/>
        <item x="202"/>
        <item x="929"/>
        <item x="621"/>
        <item x="10"/>
        <item x="396"/>
        <item x="12"/>
        <item x="218"/>
        <item x="943"/>
        <item x="784"/>
        <item x="976"/>
        <item x="669"/>
        <item x="122"/>
        <item x="975"/>
        <item x="896"/>
        <item x="486"/>
        <item x="411"/>
        <item x="143"/>
        <item x="634"/>
        <item x="76"/>
        <item x="192"/>
        <item x="405"/>
        <item x="518"/>
        <item x="958"/>
        <item x="203"/>
        <item x="279"/>
        <item x="640"/>
        <item x="576"/>
        <item x="115"/>
        <item x="177"/>
        <item x="46"/>
        <item x="659"/>
        <item x="325"/>
        <item x="288"/>
        <item x="166"/>
        <item x="696"/>
        <item x="169"/>
        <item x="26"/>
        <item x="264"/>
        <item x="601"/>
        <item x="965"/>
        <item x="387"/>
        <item x="492"/>
        <item x="530"/>
        <item x="129"/>
        <item x="703"/>
        <item x="246"/>
        <item x="154"/>
        <item x="176"/>
        <item x="945"/>
        <item x="313"/>
        <item x="559"/>
        <item x="614"/>
        <item x="546"/>
        <item x="818"/>
        <item x="215"/>
        <item x="341"/>
        <item x="336"/>
        <item x="401"/>
        <item x="354"/>
        <item x="409"/>
        <item x="909"/>
        <item x="611"/>
        <item x="412"/>
        <item x="3"/>
        <item x="16"/>
        <item x="271"/>
        <item x="523"/>
        <item x="521"/>
        <item x="116"/>
        <item x="223"/>
        <item x="147"/>
        <item x="682"/>
        <item x="174"/>
        <item x="171"/>
        <item x="21"/>
        <item x="135"/>
        <item x="974"/>
        <item x="397"/>
        <item x="332"/>
        <item x="912"/>
        <item x="450"/>
        <item x="757"/>
        <item x="859"/>
        <item x="734"/>
        <item x="910"/>
        <item x="605"/>
        <item x="810"/>
        <item x="616"/>
        <item x="857"/>
        <item x="538"/>
        <item x="813"/>
        <item x="911"/>
        <item x="878"/>
        <item x="815"/>
        <item x="579"/>
        <item x="580"/>
        <item x="729"/>
        <item x="875"/>
        <item x="123"/>
        <item x="28"/>
        <item x="701"/>
        <item x="389"/>
        <item x="462"/>
        <item x="524"/>
        <item x="445"/>
        <item x="335"/>
        <item x="573"/>
        <item x="718"/>
        <item x="963"/>
        <item x="217"/>
        <item x="422"/>
        <item x="290"/>
        <item x="245"/>
        <item x="41"/>
        <item x="424"/>
        <item x="582"/>
        <item x="42"/>
        <item x="67"/>
        <item x="358"/>
        <item x="948"/>
        <item x="436"/>
        <item x="248"/>
        <item x="228"/>
        <item x="2"/>
        <item x="139"/>
        <item x="446"/>
        <item x="239"/>
        <item x="557"/>
        <item x="519"/>
        <item x="487"/>
        <item x="691"/>
        <item x="362"/>
        <item x="789"/>
        <item x="137"/>
        <item x="721"/>
        <item x="52"/>
        <item x="649"/>
        <item x="84"/>
        <item x="520"/>
        <item x="942"/>
        <item x="89"/>
        <item x="740"/>
        <item x="578"/>
        <item x="5"/>
        <item x="426"/>
        <item x="676"/>
        <item x="189"/>
        <item x="231"/>
        <item x="103"/>
        <item x="806"/>
        <item x="762"/>
        <item x="864"/>
        <item x="736"/>
        <item x="825"/>
        <item x="725"/>
        <item x="324"/>
        <item x="783"/>
        <item x="622"/>
        <item x="822"/>
        <item x="741"/>
        <item x="111"/>
        <item x="772"/>
        <item x="937"/>
        <item x="211"/>
        <item x="242"/>
        <item x="81"/>
        <item x="363"/>
        <item x="790"/>
        <item x="528"/>
        <item x="722"/>
        <item x="349"/>
        <item x="91"/>
        <item x="131"/>
        <item x="472"/>
        <item x="361"/>
        <item x="624"/>
        <item x="417"/>
        <item x="251"/>
        <item x="775"/>
        <item x="356"/>
        <item x="749"/>
        <item x="327"/>
        <item x="568"/>
        <item x="689"/>
        <item x="272"/>
        <item x="428"/>
        <item x="286"/>
        <item x="240"/>
        <item x="704"/>
        <item x="927"/>
        <item x="136"/>
        <item x="539"/>
        <item x="400"/>
        <item x="250"/>
        <item x="183"/>
        <item x="897"/>
        <item x="465"/>
        <item x="253"/>
        <item x="157"/>
        <item x="438"/>
        <item x="501"/>
        <item x="220"/>
        <item x="308"/>
        <item x="101"/>
        <item x="913"/>
        <item x="779"/>
        <item x="310"/>
        <item x="68"/>
        <item x="493"/>
        <item x="780"/>
        <item x="380"/>
        <item x="225"/>
        <item x="284"/>
        <item x="93"/>
        <item x="206"/>
        <item x="423"/>
        <item x="352"/>
        <item x="564"/>
        <item x="785"/>
        <item x="769"/>
        <item x="421"/>
        <item x="207"/>
        <item x="593"/>
        <item x="294"/>
        <item x="315"/>
        <item x="532"/>
        <item x="535"/>
        <item x="641"/>
        <item x="399"/>
        <item x="439"/>
        <item x="874"/>
        <item x="856"/>
        <item x="855"/>
        <item x="504"/>
        <item x="466"/>
        <item x="413"/>
        <item x="554"/>
        <item x="613"/>
        <item x="516"/>
        <item x="348"/>
        <item x="776"/>
        <item x="146"/>
        <item x="104"/>
        <item x="274"/>
        <item x="653"/>
        <item x="8"/>
        <item x="49"/>
        <item x="17"/>
        <item x="373"/>
        <item x="697"/>
        <item x="25"/>
        <item x="24"/>
        <item x="150"/>
        <item x="920"/>
        <item x="936"/>
        <item x="952"/>
        <item x="73"/>
        <item x="973"/>
        <item x="299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79">
    <i>
      <x v="299"/>
    </i>
    <i>
      <x v="943"/>
    </i>
    <i>
      <x v="313"/>
    </i>
    <i>
      <x v="786"/>
    </i>
    <i>
      <x v="28"/>
    </i>
    <i>
      <x v="312"/>
    </i>
    <i>
      <x v="294"/>
    </i>
    <i>
      <x v="100"/>
    </i>
    <i>
      <x v="579"/>
    </i>
    <i>
      <x v="276"/>
    </i>
    <i>
      <x v="946"/>
    </i>
    <i>
      <x v="775"/>
    </i>
    <i>
      <x v="31"/>
    </i>
    <i>
      <x v="764"/>
    </i>
    <i>
      <x v="180"/>
    </i>
    <i>
      <x v="309"/>
    </i>
    <i>
      <x v="392"/>
    </i>
    <i>
      <x v="268"/>
    </i>
    <i>
      <x v="451"/>
    </i>
    <i>
      <x v="650"/>
    </i>
    <i>
      <x v="842"/>
    </i>
    <i>
      <x v="910"/>
    </i>
    <i>
      <x v="163"/>
    </i>
    <i>
      <x v="24"/>
    </i>
    <i>
      <x v="546"/>
    </i>
    <i>
      <x v="586"/>
    </i>
    <i>
      <x v="517"/>
    </i>
    <i>
      <x v="281"/>
    </i>
    <i>
      <x v="835"/>
    </i>
    <i>
      <x v="827"/>
    </i>
    <i>
      <x v="823"/>
    </i>
    <i>
      <x v="543"/>
    </i>
    <i>
      <x v="911"/>
    </i>
    <i>
      <x v="774"/>
    </i>
    <i>
      <x v="328"/>
    </i>
    <i>
      <x v="551"/>
    </i>
    <i>
      <x v="895"/>
    </i>
    <i>
      <x v="36"/>
    </i>
    <i>
      <x v="354"/>
    </i>
    <i>
      <x v="585"/>
    </i>
    <i>
      <x v="331"/>
    </i>
    <i>
      <x v="25"/>
    </i>
    <i>
      <x v="261"/>
    </i>
    <i>
      <x v="416"/>
    </i>
    <i>
      <x v="269"/>
    </i>
    <i>
      <x v="208"/>
    </i>
    <i>
      <x v="512"/>
    </i>
    <i>
      <x v="183"/>
    </i>
    <i>
      <x v="724"/>
    </i>
    <i>
      <x v="944"/>
    </i>
    <i>
      <x v="497"/>
    </i>
    <i>
      <x v="347"/>
    </i>
    <i>
      <x v="228"/>
    </i>
    <i>
      <x v="12"/>
    </i>
    <i>
      <x v="19"/>
    </i>
    <i>
      <x v="919"/>
    </i>
    <i>
      <x v="424"/>
    </i>
    <i>
      <x v="590"/>
    </i>
    <i>
      <x v="9"/>
    </i>
    <i>
      <x v="158"/>
    </i>
    <i>
      <x v="346"/>
    </i>
    <i>
      <x v="447"/>
    </i>
    <i>
      <x v="504"/>
    </i>
    <i>
      <x v="631"/>
    </i>
    <i>
      <x v="167"/>
    </i>
    <i>
      <x v="218"/>
    </i>
    <i>
      <x v="20"/>
    </i>
    <i>
      <x v="356"/>
    </i>
    <i>
      <x v="557"/>
    </i>
    <i>
      <x v="259"/>
    </i>
    <i>
      <x v="245"/>
    </i>
    <i>
      <x v="193"/>
    </i>
    <i>
      <x v="87"/>
    </i>
    <i>
      <x v="464"/>
    </i>
    <i>
      <x v="166"/>
    </i>
    <i>
      <x v="252"/>
    </i>
    <i>
      <x v="209"/>
    </i>
    <i>
      <x v="79"/>
    </i>
    <i>
      <x v="93"/>
    </i>
    <i>
      <x v="743"/>
    </i>
    <i>
      <x v="945"/>
    </i>
    <i>
      <x v="807"/>
    </i>
    <i>
      <x v="6"/>
    </i>
    <i>
      <x v="15"/>
    </i>
    <i>
      <x v="35"/>
    </i>
    <i>
      <x v="253"/>
    </i>
    <i>
      <x v="513"/>
    </i>
    <i>
      <x v="914"/>
    </i>
    <i>
      <x v="297"/>
    </i>
    <i>
      <x v="84"/>
    </i>
    <i>
      <x v="13"/>
    </i>
    <i>
      <x v="260"/>
    </i>
    <i>
      <x v="738"/>
    </i>
    <i>
      <x v="909"/>
    </i>
    <i>
      <x v="803"/>
    </i>
    <i>
      <x v="838"/>
    </i>
    <i>
      <x v="742"/>
    </i>
    <i>
      <x v="265"/>
    </i>
    <i>
      <x v="952"/>
    </i>
    <i>
      <x v="417"/>
    </i>
    <i>
      <x v="263"/>
    </i>
    <i>
      <x v="16"/>
    </i>
    <i>
      <x v="291"/>
    </i>
    <i>
      <x v="787"/>
    </i>
    <i>
      <x v="254"/>
    </i>
    <i>
      <x v="27"/>
    </i>
    <i>
      <x v="21"/>
    </i>
    <i>
      <x v="744"/>
    </i>
    <i>
      <x v="178"/>
    </i>
    <i>
      <x v="446"/>
    </i>
    <i>
      <x v="134"/>
    </i>
    <i>
      <x v="472"/>
    </i>
    <i>
      <x v="712"/>
    </i>
    <i>
      <x v="334"/>
    </i>
    <i>
      <x v="315"/>
    </i>
    <i>
      <x v="804"/>
    </i>
    <i>
      <x v="540"/>
    </i>
    <i>
      <x v="244"/>
    </i>
    <i>
      <x v="916"/>
    </i>
    <i>
      <x v="929"/>
    </i>
    <i>
      <x v="550"/>
    </i>
    <i>
      <x v="275"/>
    </i>
    <i>
      <x v="915"/>
    </i>
    <i>
      <x v="530"/>
    </i>
    <i>
      <x v="45"/>
    </i>
    <i>
      <x v="529"/>
    </i>
    <i>
      <x v="104"/>
    </i>
    <i>
      <x v="423"/>
    </i>
    <i>
      <x v="505"/>
    </i>
    <i>
      <x v="925"/>
    </i>
    <i>
      <x v="92"/>
    </i>
    <i>
      <x v="789"/>
    </i>
    <i>
      <x v="777"/>
    </i>
    <i>
      <x v="484"/>
    </i>
    <i>
      <x v="966"/>
    </i>
    <i>
      <x v="10"/>
    </i>
    <i>
      <x v="305"/>
    </i>
    <i>
      <x v="177"/>
    </i>
    <i>
      <x v="106"/>
    </i>
    <i>
      <x v="531"/>
    </i>
    <i>
      <x v="40"/>
    </i>
    <i>
      <x v="486"/>
    </i>
    <i>
      <x v="421"/>
    </i>
    <i>
      <x v="43"/>
    </i>
    <i>
      <x v="435"/>
    </i>
    <i>
      <x v="853"/>
    </i>
    <i>
      <x v="538"/>
    </i>
    <i>
      <x v="588"/>
    </i>
    <i>
      <x v="921"/>
    </i>
    <i>
      <x v="532"/>
    </i>
    <i>
      <x v="918"/>
    </i>
    <i>
      <x v="693"/>
    </i>
    <i>
      <x v="948"/>
    </i>
    <i>
      <x v="192"/>
    </i>
    <i>
      <x v="422"/>
    </i>
    <i>
      <x v="95"/>
    </i>
    <i>
      <x v="773"/>
    </i>
    <i>
      <x v="920"/>
    </i>
    <i>
      <x v="418"/>
    </i>
    <i>
      <x v="18"/>
    </i>
    <i>
      <x v="917"/>
    </i>
    <i>
      <x v="733"/>
    </i>
    <i>
      <x v="266"/>
    </i>
    <i>
      <x v="815"/>
    </i>
    <i>
      <x v="734"/>
    </i>
    <i>
      <x v="250"/>
    </i>
    <i>
      <x v="493"/>
    </i>
    <i>
      <x v="105"/>
    </i>
    <i>
      <x v="239"/>
    </i>
    <i>
      <x v="482"/>
    </i>
    <i>
      <x v="780"/>
    </i>
    <i>
      <x v="554"/>
    </i>
    <i>
      <x v="601"/>
    </i>
    <i>
      <x v="11"/>
    </i>
    <i>
      <x v="483"/>
    </i>
    <i>
      <x v="440"/>
    </i>
    <i>
      <x v="465"/>
    </i>
    <i>
      <x v="439"/>
    </i>
    <i>
      <x v="48"/>
    </i>
    <i>
      <x v="539"/>
    </i>
    <i>
      <x v="310"/>
    </i>
    <i>
      <x v="616"/>
    </i>
    <i>
      <x v="509"/>
    </i>
    <i>
      <x v="303"/>
    </i>
    <i>
      <x v="860"/>
    </i>
    <i>
      <x v="609"/>
    </i>
    <i>
      <x v="840"/>
    </i>
    <i>
      <x v="22"/>
    </i>
    <i>
      <x v="264"/>
    </i>
    <i>
      <x v="479"/>
    </i>
    <i>
      <x v="834"/>
    </i>
    <i>
      <x v="481"/>
    </i>
    <i>
      <x v="691"/>
    </i>
    <i>
      <x v="523"/>
    </i>
    <i>
      <x v="808"/>
    </i>
    <i>
      <x v="924"/>
    </i>
    <i>
      <x v="516"/>
    </i>
    <i>
      <x v="630"/>
    </i>
    <i>
      <x v="251"/>
    </i>
    <i>
      <x v="950"/>
    </i>
    <i>
      <x v="770"/>
    </i>
    <i>
      <x v="953"/>
    </i>
    <i>
      <x v="179"/>
    </i>
    <i>
      <x v="779"/>
    </i>
    <i>
      <x v="555"/>
    </i>
    <i>
      <x v="524"/>
    </i>
    <i>
      <x v="535"/>
    </i>
    <i>
      <x v="333"/>
    </i>
    <i>
      <x v="445"/>
    </i>
    <i>
      <x v="39"/>
    </i>
    <i>
      <x v="38"/>
    </i>
    <i>
      <x v="812"/>
    </i>
    <i>
      <x v="432"/>
    </i>
    <i>
      <x v="271"/>
    </i>
    <i>
      <x v="474"/>
    </i>
    <i>
      <x v="951"/>
    </i>
    <i>
      <x v="437"/>
    </i>
    <i>
      <x v="767"/>
    </i>
    <i>
      <x v="949"/>
    </i>
    <i>
      <x v="598"/>
    </i>
    <i>
      <x v="955"/>
    </i>
    <i>
      <x v="500"/>
    </i>
    <i>
      <x v="335"/>
    </i>
    <i>
      <x v="515"/>
    </i>
    <i>
      <x v="44"/>
    </i>
    <i>
      <x v="478"/>
    </i>
    <i>
      <x v="610"/>
    </i>
    <i>
      <x v="57"/>
    </i>
    <i>
      <x v="891"/>
    </i>
    <i>
      <x v="525"/>
    </i>
    <i>
      <x v="717"/>
    </i>
    <i>
      <x v="811"/>
    </i>
    <i>
      <x v="769"/>
    </i>
    <i>
      <x v="813"/>
    </i>
    <i>
      <x v="947"/>
    </i>
    <i>
      <x v="510"/>
    </i>
    <i>
      <x v="341"/>
    </i>
    <i>
      <x v="518"/>
    </i>
    <i>
      <x v="549"/>
    </i>
    <i>
      <x v="514"/>
    </i>
    <i>
      <x v="592"/>
    </i>
    <i>
      <x v="17"/>
    </i>
    <i>
      <x v="429"/>
    </i>
    <i>
      <x v="541"/>
    </i>
    <i>
      <x v="85"/>
    </i>
    <i>
      <x v="580"/>
    </i>
    <i>
      <x v="537"/>
    </i>
    <i>
      <x v="83"/>
    </i>
    <i>
      <x v="46"/>
    </i>
    <i>
      <x v="33"/>
    </i>
    <i>
      <x v="4"/>
    </i>
    <i>
      <x v="729"/>
    </i>
    <i>
      <x v="718"/>
    </i>
    <i>
      <x v="8"/>
    </i>
    <i>
      <x v="133"/>
    </i>
    <i>
      <x v="865"/>
    </i>
    <i>
      <x v="866"/>
    </i>
    <i>
      <x v="242"/>
    </i>
    <i>
      <x v="577"/>
    </i>
    <i>
      <x v="433"/>
    </i>
    <i>
      <x v="594"/>
    </i>
    <i>
      <x v="600"/>
    </i>
    <i>
      <x v="32"/>
    </i>
    <i>
      <x v="682"/>
    </i>
    <i>
      <x v="587"/>
    </i>
    <i>
      <x v="595"/>
    </i>
    <i>
      <x v="563"/>
    </i>
    <i>
      <x v="942"/>
    </i>
    <i>
      <x v="511"/>
    </i>
    <i>
      <x v="232"/>
    </i>
    <i>
      <x v="700"/>
    </i>
    <i>
      <x v="503"/>
    </i>
    <i>
      <x v="584"/>
    </i>
    <i>
      <x v="34"/>
    </i>
    <i>
      <x v="805"/>
    </i>
    <i>
      <x v="499"/>
    </i>
    <i>
      <x v="591"/>
    </i>
    <i>
      <x v="270"/>
    </i>
    <i>
      <x v="806"/>
    </i>
    <i>
      <x v="66"/>
    </i>
    <i>
      <x v="571"/>
    </i>
    <i>
      <x v="624"/>
    </i>
    <i>
      <x v="204"/>
    </i>
    <i>
      <x v="547"/>
    </i>
    <i>
      <x v="169"/>
    </i>
    <i>
      <x v="519"/>
    </i>
    <i>
      <x v="7"/>
    </i>
    <i>
      <x v="833"/>
    </i>
    <i>
      <x v="606"/>
    </i>
    <i>
      <x v="583"/>
    </i>
    <i>
      <x v="50"/>
    </i>
    <i>
      <x v="596"/>
    </i>
    <i>
      <x v="324"/>
    </i>
    <i>
      <x v="605"/>
    </i>
    <i>
      <x v="814"/>
    </i>
    <i>
      <x v="217"/>
    </i>
    <i>
      <x v="771"/>
    </i>
    <i>
      <x v="490"/>
    </i>
    <i>
      <x v="393"/>
    </i>
    <i>
      <x v="623"/>
    </i>
    <i>
      <x v="854"/>
    </i>
    <i>
      <x v="286"/>
    </i>
    <i>
      <x v="536"/>
    </i>
    <i>
      <x v="607"/>
    </i>
    <i>
      <x v="450"/>
    </i>
    <i>
      <x v="174"/>
    </i>
    <i>
      <x v="304"/>
    </i>
    <i>
      <x v="507"/>
    </i>
    <i>
      <x v="211"/>
    </i>
    <i>
      <x v="454"/>
    </i>
    <i>
      <x v="912"/>
    </i>
    <i>
      <x v="284"/>
    </i>
    <i>
      <x v="533"/>
    </i>
    <i>
      <x v="930"/>
    </i>
    <i>
      <x v="498"/>
    </i>
    <i>
      <x v="67"/>
    </i>
    <i>
      <x v="810"/>
    </i>
    <i>
      <x v="491"/>
    </i>
    <i>
      <x v="855"/>
    </i>
    <i>
      <x v="94"/>
    </i>
    <i>
      <x v="778"/>
    </i>
    <i>
      <x v="243"/>
    </i>
    <i>
      <x v="604"/>
    </i>
    <i>
      <x v="526"/>
    </i>
    <i>
      <x v="597"/>
    </i>
    <i>
      <x v="453"/>
    </i>
    <i>
      <x v="205"/>
    </i>
    <i>
      <x v="496"/>
    </i>
    <i>
      <x v="49"/>
    </i>
    <i>
      <x v="527"/>
    </i>
    <i>
      <x v="701"/>
    </i>
    <i>
      <x v="508"/>
    </i>
    <i>
      <x v="182"/>
    </i>
    <i>
      <x v="59"/>
    </i>
    <i>
      <x v="194"/>
    </i>
    <i>
      <x v="959"/>
    </i>
    <i>
      <x v="224"/>
    </i>
    <i>
      <x v="960"/>
    </i>
    <i>
      <x v="314"/>
    </i>
    <i>
      <x v="101"/>
    </i>
    <i>
      <x v="14"/>
    </i>
    <i>
      <x v="77"/>
    </i>
    <i>
      <x v="249"/>
    </i>
    <i>
      <x v="420"/>
    </i>
    <i>
      <x v="799"/>
    </i>
    <i>
      <x v="477"/>
    </i>
    <i>
      <x v="37"/>
    </i>
    <i>
      <x v="923"/>
    </i>
    <i>
      <x v="611"/>
    </i>
    <i>
      <x v="316"/>
    </i>
    <i>
      <x v="599"/>
    </i>
    <i>
      <x v="692"/>
    </i>
    <i>
      <x v="802"/>
    </i>
    <i>
      <x v="608"/>
    </i>
    <i>
      <x v="645"/>
    </i>
    <i>
      <x v="506"/>
    </i>
    <i>
      <x v="709"/>
    </i>
    <i>
      <x v="589"/>
    </i>
    <i>
      <x v="502"/>
    </i>
    <i>
      <x v="462"/>
    </i>
    <i>
      <x v="602"/>
    </i>
    <i>
      <x v="927"/>
    </i>
    <i>
      <x v="957"/>
    </i>
    <i>
      <x v="176"/>
    </i>
    <i>
      <x v="788"/>
    </i>
    <i>
      <x v="103"/>
    </i>
    <i>
      <x v="928"/>
    </i>
    <i>
      <x v="102"/>
    </i>
    <i>
      <x v="894"/>
    </i>
    <i>
      <x v="578"/>
    </i>
    <i>
      <x v="954"/>
    </i>
    <i>
      <x v="471"/>
    </i>
    <i>
      <x v="285"/>
    </i>
    <i>
      <x v="73"/>
    </i>
    <i>
      <x v="809"/>
    </i>
    <i>
      <x v="86"/>
    </i>
    <i>
      <x v="473"/>
    </i>
    <i>
      <x v="288"/>
    </i>
    <i>
      <x v="290"/>
    </i>
    <i>
      <x v="888"/>
    </i>
    <i>
      <x v="593"/>
    </i>
    <i>
      <x v="189"/>
    </i>
    <i>
      <x v="801"/>
    </i>
    <i>
      <x v="444"/>
    </i>
    <i>
      <x v="974"/>
    </i>
    <i>
      <x v="111"/>
    </i>
    <i>
      <x v="845"/>
    </i>
    <i>
      <x v="438"/>
    </i>
    <i>
      <x v="175"/>
    </i>
    <i>
      <x v="287"/>
    </i>
    <i>
      <x v="603"/>
    </i>
    <i>
      <x v="195"/>
    </i>
    <i>
      <x v="222"/>
    </i>
    <i>
      <x v="457"/>
    </i>
    <i>
      <x v="441"/>
    </i>
    <i>
      <x v="956"/>
    </i>
    <i>
      <x v="323"/>
    </i>
    <i>
      <x v="78"/>
    </i>
    <i>
      <x v="800"/>
    </i>
    <i>
      <x v="267"/>
    </i>
    <i>
      <x v="904"/>
    </i>
    <i>
      <x v="332"/>
    </i>
    <i>
      <x v="520"/>
    </i>
    <i>
      <x v="460"/>
    </i>
    <i>
      <x v="30"/>
    </i>
    <i>
      <x v="110"/>
    </i>
    <i>
      <x v="876"/>
    </i>
    <i>
      <x v="870"/>
    </i>
    <i>
      <x v="160"/>
    </i>
    <i>
      <x v="221"/>
    </i>
    <i>
      <x v="5"/>
    </i>
    <i>
      <x v="534"/>
    </i>
    <i>
      <x v="425"/>
    </i>
    <i>
      <x v="468"/>
    </i>
    <i>
      <x v="225"/>
    </i>
    <i>
      <x v="469"/>
    </i>
    <i>
      <x v="353"/>
    </i>
    <i>
      <x v="688"/>
    </i>
    <i>
      <x v="659"/>
    </i>
    <i>
      <x v="419"/>
    </i>
    <i>
      <x v="434"/>
    </i>
    <i>
      <x v="768"/>
    </i>
    <i>
      <x v="262"/>
    </i>
    <i>
      <x v="528"/>
    </i>
    <i>
      <x v="203"/>
    </i>
    <i>
      <x v="60"/>
    </i>
    <i>
      <x v="492"/>
    </i>
    <i>
      <x v="342"/>
    </i>
    <i>
      <x v="501"/>
    </i>
    <i>
      <x v="162"/>
    </i>
    <i>
      <x v="357"/>
    </i>
    <i>
      <x v="694"/>
    </i>
    <i>
      <x v="561"/>
    </i>
    <i>
      <x v="660"/>
    </i>
    <i>
      <x v="431"/>
    </i>
    <i>
      <x v="702"/>
    </i>
    <i>
      <x v="430"/>
    </i>
    <i>
      <x v="739"/>
    </i>
    <i>
      <x v="797"/>
    </i>
    <i>
      <x v="355"/>
    </i>
    <i>
      <x v="816"/>
    </i>
    <i>
      <x v="459"/>
    </i>
    <i>
      <x v="962"/>
    </i>
    <i>
      <x v="731"/>
    </i>
    <i>
      <x v="934"/>
    </i>
    <i>
      <x v="62"/>
    </i>
    <i>
      <x v="868"/>
    </i>
    <i>
      <x v="452"/>
    </i>
    <i>
      <x v="458"/>
    </i>
    <i>
      <x v="466"/>
    </i>
    <i>
      <x v="302"/>
    </i>
    <i>
      <x v="223"/>
    </i>
    <i>
      <x v="161"/>
    </i>
    <i>
      <x v="289"/>
    </i>
    <i>
      <x v="913"/>
    </i>
    <i>
      <x v="522"/>
    </i>
    <i>
      <x v="448"/>
    </i>
    <i>
      <x v="548"/>
    </i>
    <i>
      <x v="300"/>
    </i>
    <i>
      <x v="822"/>
    </i>
    <i>
      <x v="274"/>
    </i>
    <i>
      <x v="741"/>
    </i>
    <i>
      <x v="171"/>
    </i>
    <i>
      <x v="138"/>
    </i>
    <i>
      <x v="871"/>
    </i>
    <i>
      <x v="873"/>
    </i>
    <i>
      <x v="226"/>
    </i>
    <i>
      <x v="436"/>
    </i>
    <i>
      <x v="172"/>
    </i>
    <i>
      <x v="750"/>
    </i>
    <i>
      <x v="443"/>
    </i>
    <i>
      <x v="427"/>
    </i>
    <i>
      <x v="3"/>
    </i>
    <i>
      <x v="173"/>
    </i>
    <i>
      <x v="442"/>
    </i>
    <i>
      <x v="720"/>
    </i>
    <i>
      <x v="461"/>
    </i>
    <i>
      <x v="29"/>
    </i>
    <i>
      <x v="749"/>
    </i>
    <i>
      <x v="843"/>
    </i>
    <i>
      <x v="413"/>
    </i>
    <i>
      <x v="456"/>
    </i>
    <i>
      <x v="869"/>
    </i>
    <i>
      <x v="455"/>
    </i>
    <i>
      <x v="343"/>
    </i>
    <i>
      <x v="846"/>
    </i>
    <i>
      <x v="668"/>
    </i>
    <i>
      <x v="23"/>
    </i>
    <i>
      <x v="856"/>
    </i>
    <i>
      <x v="181"/>
    </i>
    <i>
      <x v="560"/>
    </i>
    <i>
      <x v="859"/>
    </i>
    <i>
      <x v="476"/>
    </i>
    <i>
      <x v="56"/>
    </i>
    <i>
      <x v="494"/>
    </i>
    <i>
      <x v="521"/>
    </i>
    <i>
      <x v="776"/>
    </i>
    <i>
      <x v="495"/>
    </i>
    <i>
      <x v="545"/>
    </i>
    <i>
      <x v="109"/>
    </i>
    <i>
      <x v="470"/>
    </i>
    <i>
      <x v="544"/>
    </i>
    <i>
      <x v="467"/>
    </i>
    <i>
      <x v="344"/>
    </i>
    <i>
      <x v="663"/>
    </i>
    <i>
      <x v="326"/>
    </i>
    <i>
      <x v="666"/>
    </i>
    <i>
      <x v="301"/>
    </i>
    <i>
      <x v="553"/>
    </i>
    <i>
      <x v="632"/>
    </i>
    <i>
      <x v="293"/>
    </i>
    <i>
      <x v="219"/>
    </i>
    <i>
      <x v="475"/>
    </i>
    <i>
      <x v="730"/>
    </i>
    <i>
      <x v="877"/>
    </i>
    <i>
      <x v="220"/>
    </i>
    <i>
      <x v="552"/>
    </i>
    <i>
      <x v="875"/>
    </i>
    <i>
      <x v="292"/>
    </i>
    <i>
      <x v="710"/>
    </i>
    <i>
      <x v="897"/>
    </i>
    <i>
      <x v="665"/>
    </i>
    <i>
      <x v="463"/>
    </i>
    <i>
      <x v="727"/>
    </i>
    <i>
      <x v="202"/>
    </i>
    <i>
      <x v="747"/>
    </i>
    <i>
      <x v="614"/>
    </i>
    <i>
      <x v="319"/>
    </i>
    <i>
      <x v="298"/>
    </i>
    <i>
      <x v="306"/>
    </i>
    <i>
      <x v="559"/>
    </i>
    <i>
      <x v="633"/>
    </i>
    <i>
      <x v="844"/>
    </i>
    <i>
      <x v="683"/>
    </i>
    <i>
      <x v="196"/>
    </i>
    <i>
      <x v="155"/>
    </i>
    <i>
      <x v="829"/>
    </i>
    <i>
      <x v="200"/>
    </i>
    <i>
      <x v="755"/>
    </i>
    <i>
      <x v="47"/>
    </i>
    <i>
      <x v="634"/>
    </i>
    <i>
      <x v="371"/>
    </i>
    <i>
      <x v="283"/>
    </i>
    <i>
      <x v="487"/>
    </i>
    <i>
      <x v="635"/>
    </i>
    <i>
      <x v="201"/>
    </i>
    <i>
      <x v="785"/>
    </i>
    <i>
      <x v="748"/>
    </i>
    <i>
      <x v="703"/>
    </i>
    <i>
      <x v="711"/>
    </i>
    <i>
      <x v="311"/>
    </i>
    <i>
      <x v="385"/>
    </i>
    <i>
      <x v="893"/>
    </i>
    <i>
      <x v="874"/>
    </i>
    <i>
      <x v="449"/>
    </i>
    <i>
      <x v="798"/>
    </i>
    <i>
      <x v="556"/>
    </i>
    <i>
      <x v="325"/>
    </i>
    <i>
      <x v="350"/>
    </i>
    <i>
      <x v="662"/>
    </i>
    <i>
      <x v="164"/>
    </i>
    <i>
      <x v="159"/>
    </i>
    <i>
      <x v="970"/>
    </i>
    <i>
      <x v="938"/>
    </i>
    <i>
      <x v="426"/>
    </i>
    <i>
      <x v="51"/>
    </i>
    <i>
      <x v="157"/>
    </i>
    <i>
      <x v="647"/>
    </i>
    <i>
      <x v="145"/>
    </i>
    <i>
      <x v="784"/>
    </i>
    <i>
      <x v="648"/>
    </i>
    <i>
      <x v="726"/>
    </i>
    <i>
      <x v="98"/>
    </i>
    <i>
      <x v="154"/>
    </i>
    <i>
      <x v="637"/>
    </i>
    <i>
      <x v="937"/>
    </i>
    <i>
      <x v="751"/>
    </i>
    <i>
      <x v="817"/>
    </i>
    <i>
      <x v="761"/>
    </i>
    <i>
      <x v="664"/>
    </i>
    <i>
      <x v="238"/>
    </i>
    <i>
      <x v="836"/>
    </i>
    <i>
      <x v="725"/>
    </i>
    <i>
      <x v="941"/>
    </i>
    <i>
      <x v="384"/>
    </i>
    <i>
      <x v="905"/>
    </i>
    <i>
      <x v="377"/>
    </i>
    <i>
      <x v="480"/>
    </i>
    <i>
      <x v="65"/>
    </i>
    <i>
      <x v="828"/>
    </i>
    <i>
      <x v="672"/>
    </i>
    <i>
      <x v="197"/>
    </i>
    <i>
      <x v="640"/>
    </i>
    <i>
      <x v="230"/>
    </i>
    <i>
      <x v="136"/>
    </i>
    <i>
      <x v="936"/>
    </i>
    <i>
      <x v="932"/>
    </i>
    <i>
      <x v="782"/>
    </i>
    <i>
      <x v="922"/>
    </i>
    <i>
      <x v="415"/>
    </i>
    <i>
      <x v="933"/>
    </i>
    <i>
      <x v="406"/>
    </i>
    <i>
      <x v="258"/>
    </i>
    <i>
      <x v="939"/>
    </i>
    <i>
      <x v="641"/>
    </i>
    <i>
      <x v="229"/>
    </i>
    <i>
      <x v="235"/>
    </i>
    <i>
      <x v="80"/>
    </i>
    <i>
      <x v="233"/>
    </i>
    <i>
      <x v="965"/>
    </i>
    <i>
      <x v="732"/>
    </i>
    <i>
      <x v="246"/>
    </i>
    <i>
      <x v="882"/>
    </i>
    <i>
      <x v="359"/>
    </i>
    <i>
      <x v="352"/>
    </i>
    <i>
      <x v="858"/>
    </i>
    <i>
      <x v="214"/>
    </i>
    <i>
      <x v="831"/>
    </i>
    <i>
      <x v="901"/>
    </i>
    <i>
      <x v="53"/>
    </i>
    <i>
      <x v="52"/>
    </i>
    <i>
      <x v="935"/>
    </i>
    <i>
      <x v="649"/>
    </i>
    <i>
      <x v="99"/>
    </i>
    <i>
      <x v="372"/>
    </i>
    <i>
      <x v="365"/>
    </i>
    <i>
      <x v="758"/>
    </i>
    <i>
      <x v="394"/>
    </i>
    <i>
      <x v="141"/>
    </i>
    <i>
      <x v="58"/>
    </i>
    <i>
      <x v="231"/>
    </i>
    <i>
      <x v="237"/>
    </i>
    <i>
      <x v="236"/>
    </i>
    <i>
      <x v="55"/>
    </i>
    <i>
      <x v="615"/>
    </i>
    <i>
      <x v="348"/>
    </i>
    <i>
      <x v="148"/>
    </i>
    <i>
      <x v="207"/>
    </i>
    <i>
      <x v="390"/>
    </i>
    <i>
      <x v="642"/>
    </i>
    <i>
      <x v="576"/>
    </i>
    <i>
      <x v="366"/>
    </i>
    <i>
      <x v="42"/>
    </i>
    <i>
      <x/>
    </i>
    <i>
      <x v="719"/>
    </i>
    <i>
      <x v="704"/>
    </i>
    <i>
      <x v="139"/>
    </i>
    <i>
      <x v="825"/>
    </i>
    <i>
      <x v="646"/>
    </i>
    <i>
      <x v="625"/>
    </i>
    <i>
      <x v="881"/>
    </i>
    <i>
      <x v="977"/>
    </i>
    <i>
      <x v="892"/>
    </i>
    <i>
      <x v="186"/>
    </i>
    <i>
      <x v="81"/>
    </i>
    <i>
      <x v="847"/>
    </i>
    <i>
      <x v="781"/>
    </i>
    <i>
      <x v="940"/>
    </i>
    <i>
      <x v="364"/>
    </i>
    <i>
      <x v="705"/>
    </i>
    <i>
      <x v="151"/>
    </i>
    <i>
      <x v="713"/>
    </i>
    <i>
      <x v="821"/>
    </i>
    <i>
      <x v="567"/>
    </i>
    <i>
      <x v="864"/>
    </i>
    <i>
      <x v="685"/>
    </i>
    <i>
      <x v="74"/>
    </i>
    <i>
      <x v="572"/>
    </i>
    <i>
      <x v="345"/>
    </i>
    <i>
      <x v="629"/>
    </i>
    <i>
      <x v="337"/>
    </i>
    <i>
      <x v="317"/>
    </i>
    <i>
      <x v="489"/>
    </i>
    <i>
      <x v="132"/>
    </i>
    <i>
      <x v="574"/>
    </i>
    <i>
      <x v="837"/>
    </i>
    <i>
      <x v="661"/>
    </i>
    <i>
      <x v="684"/>
    </i>
    <i>
      <x v="857"/>
    </i>
    <i>
      <x v="848"/>
    </i>
    <i>
      <x v="1"/>
    </i>
    <i>
      <x v="61"/>
    </i>
    <i>
      <x v="819"/>
    </i>
    <i>
      <x v="655"/>
    </i>
    <i>
      <x v="686"/>
    </i>
    <i>
      <x v="108"/>
    </i>
    <i>
      <x v="622"/>
    </i>
    <i>
      <x v="708"/>
    </i>
    <i>
      <x v="374"/>
    </i>
    <i>
      <x v="71"/>
    </i>
    <i>
      <x v="707"/>
    </i>
    <i>
      <x v="558"/>
    </i>
    <i>
      <x v="656"/>
    </i>
    <i>
      <x v="706"/>
    </i>
    <i>
      <x v="187"/>
    </i>
    <i>
      <x v="639"/>
    </i>
    <i>
      <x v="841"/>
    </i>
    <i>
      <x v="830"/>
    </i>
    <i>
      <x v="889"/>
    </i>
    <i>
      <x v="736"/>
    </i>
    <i>
      <x v="97"/>
    </i>
    <i>
      <x v="400"/>
    </i>
    <i>
      <x v="149"/>
    </i>
    <i>
      <x v="407"/>
    </i>
    <i>
      <x v="653"/>
    </i>
    <i>
      <x v="879"/>
    </i>
    <i>
      <x v="75"/>
    </i>
    <i>
      <x v="867"/>
    </i>
    <i>
      <x v="408"/>
    </i>
    <i>
      <x v="156"/>
    </i>
    <i>
      <x v="227"/>
    </i>
    <i>
      <x v="185"/>
    </i>
    <i>
      <x v="210"/>
    </i>
    <i>
      <x v="679"/>
    </i>
    <i>
      <x v="832"/>
    </i>
    <i>
      <x v="899"/>
    </i>
    <i>
      <x v="64"/>
    </i>
    <i>
      <x v="428"/>
    </i>
    <i>
      <x v="76"/>
    </i>
    <i>
      <x v="307"/>
    </i>
    <i>
      <x v="698"/>
    </i>
    <i>
      <x v="68"/>
    </i>
    <i>
      <x v="351"/>
    </i>
    <i>
      <x v="295"/>
    </i>
    <i>
      <x v="657"/>
    </i>
    <i>
      <x v="184"/>
    </i>
    <i>
      <x v="369"/>
    </i>
    <i>
      <x v="206"/>
    </i>
    <i>
      <x v="212"/>
    </i>
    <i>
      <x v="714"/>
    </i>
    <i>
      <x v="382"/>
    </i>
    <i>
      <x v="654"/>
    </i>
    <i>
      <x v="96"/>
    </i>
    <i>
      <x v="329"/>
    </i>
    <i>
      <x v="308"/>
    </i>
    <i>
      <x v="150"/>
    </i>
    <i>
      <x v="376"/>
    </i>
    <i>
      <x v="165"/>
    </i>
    <i>
      <x v="783"/>
    </i>
    <i>
      <x v="902"/>
    </i>
    <i>
      <x v="715"/>
    </i>
    <i>
      <x v="716"/>
    </i>
    <i>
      <x v="826"/>
    </i>
    <i>
      <x v="752"/>
    </i>
    <i>
      <x v="757"/>
    </i>
    <i>
      <x v="721"/>
    </i>
    <i>
      <x v="340"/>
    </i>
    <i>
      <x v="280"/>
    </i>
    <i>
      <x v="256"/>
    </i>
    <i>
      <x v="143"/>
    </i>
    <i>
      <x v="411"/>
    </i>
    <i>
      <x v="850"/>
    </i>
    <i>
      <x v="70"/>
    </i>
    <i>
      <x v="753"/>
    </i>
    <i>
      <x v="617"/>
    </i>
    <i>
      <x v="849"/>
    </i>
    <i>
      <x v="644"/>
    </i>
    <i>
      <x v="168"/>
    </i>
    <i>
      <x v="358"/>
    </i>
    <i>
      <x v="651"/>
    </i>
    <i>
      <x v="969"/>
    </i>
    <i>
      <x v="89"/>
    </i>
    <i>
      <x v="890"/>
    </i>
    <i>
      <x v="241"/>
    </i>
    <i>
      <x v="273"/>
    </i>
    <i>
      <x v="570"/>
    </i>
    <i>
      <x v="338"/>
    </i>
    <i>
      <x v="234"/>
    </i>
    <i>
      <x v="368"/>
    </i>
    <i>
      <x v="862"/>
    </i>
    <i>
      <x v="125"/>
    </i>
    <i>
      <x v="967"/>
    </i>
    <i>
      <x v="118"/>
    </i>
    <i>
      <x v="792"/>
    </i>
    <i>
      <x v="320"/>
    </i>
    <i>
      <x v="658"/>
    </i>
    <i>
      <x v="69"/>
    </i>
    <i>
      <x v="191"/>
    </i>
    <i>
      <x v="213"/>
    </i>
    <i>
      <x v="107"/>
    </i>
    <i>
      <x v="766"/>
    </i>
    <i>
      <x v="367"/>
    </i>
    <i>
      <x v="170"/>
    </i>
    <i>
      <x v="272"/>
    </i>
    <i>
      <x v="885"/>
    </i>
    <i>
      <x v="215"/>
    </i>
    <i>
      <x v="399"/>
    </i>
    <i>
      <x v="403"/>
    </i>
    <i>
      <x v="360"/>
    </i>
    <i>
      <x v="723"/>
    </i>
    <i>
      <x v="152"/>
    </i>
    <i>
      <x v="964"/>
    </i>
    <i>
      <x v="963"/>
    </i>
    <i>
      <x v="696"/>
    </i>
    <i>
      <x v="900"/>
    </i>
    <i>
      <x v="852"/>
    </i>
    <i>
      <x v="339"/>
    </i>
    <i>
      <x v="381"/>
    </i>
    <i>
      <x v="896"/>
    </i>
    <i>
      <x v="931"/>
    </i>
    <i>
      <x v="884"/>
    </i>
    <i>
      <x v="763"/>
    </i>
    <i>
      <x v="652"/>
    </i>
    <i>
      <x v="383"/>
    </i>
    <i>
      <x v="794"/>
    </i>
    <i>
      <x v="401"/>
    </i>
    <i>
      <x v="402"/>
    </i>
    <i>
      <x v="575"/>
    </i>
    <i>
      <x v="404"/>
    </i>
    <i>
      <x v="670"/>
    </i>
    <i>
      <x v="387"/>
    </i>
    <i>
      <x v="88"/>
    </i>
    <i>
      <x v="972"/>
    </i>
    <i>
      <x v="322"/>
    </i>
    <i>
      <x v="759"/>
    </i>
    <i>
      <x v="72"/>
    </i>
    <i>
      <x v="131"/>
    </i>
    <i>
      <x v="135"/>
    </i>
    <i>
      <x v="142"/>
    </i>
    <i>
      <x v="562"/>
    </i>
    <i>
      <x v="127"/>
    </i>
    <i>
      <x v="697"/>
    </i>
    <i>
      <x v="130"/>
    </i>
    <i>
      <x v="90"/>
    </i>
    <i>
      <x v="680"/>
    </i>
    <i>
      <x v="687"/>
    </i>
    <i>
      <x v="878"/>
    </i>
    <i>
      <x v="961"/>
    </i>
    <i>
      <x v="321"/>
    </i>
    <i>
      <x v="839"/>
    </i>
    <i>
      <x v="54"/>
    </i>
    <i>
      <x v="791"/>
    </i>
    <i>
      <x v="119"/>
    </i>
    <i>
      <x v="190"/>
    </i>
    <i>
      <x v="128"/>
    </i>
    <i>
      <x v="386"/>
    </i>
    <i>
      <x v="375"/>
    </i>
    <i>
      <x v="667"/>
    </i>
    <i>
      <x v="880"/>
    </i>
    <i>
      <x v="968"/>
    </i>
    <i>
      <x v="126"/>
    </i>
    <i>
      <x v="373"/>
    </i>
    <i>
      <x v="643"/>
    </i>
    <i>
      <x v="123"/>
    </i>
    <i>
      <x v="120"/>
    </i>
    <i>
      <x v="117"/>
    </i>
    <i>
      <x v="121"/>
    </i>
    <i>
      <x v="122"/>
    </i>
    <i>
      <x v="636"/>
    </i>
    <i>
      <x v="389"/>
    </i>
    <i>
      <x v="573"/>
    </i>
    <i>
      <x v="41"/>
    </i>
    <i>
      <x v="63"/>
    </i>
    <i>
      <x v="728"/>
    </i>
    <i>
      <x v="638"/>
    </i>
    <i>
      <x v="674"/>
    </i>
    <i>
      <x v="405"/>
    </i>
    <i>
      <x v="820"/>
    </i>
    <i>
      <x v="396"/>
    </i>
    <i>
      <x v="971"/>
    </i>
    <i>
      <x v="861"/>
    </i>
    <i>
      <x v="926"/>
    </i>
    <i>
      <x v="257"/>
    </i>
    <i>
      <x v="2"/>
    </i>
    <i>
      <x v="380"/>
    </i>
    <i>
      <x v="397"/>
    </i>
    <i>
      <x v="678"/>
    </i>
    <i>
      <x v="26"/>
    </i>
    <i>
      <x v="581"/>
    </i>
    <i>
      <x v="627"/>
    </i>
    <i>
      <x v="907"/>
    </i>
    <i>
      <x v="124"/>
    </i>
    <i>
      <x v="673"/>
    </i>
    <i>
      <x v="735"/>
    </i>
    <i>
      <x v="414"/>
    </i>
    <i>
      <x v="793"/>
    </i>
    <i>
      <x v="976"/>
    </i>
    <i>
      <x v="903"/>
    </i>
    <i>
      <x v="327"/>
    </i>
    <i>
      <x v="690"/>
    </i>
    <i>
      <x v="887"/>
    </i>
    <i>
      <x v="129"/>
    </i>
    <i>
      <x v="628"/>
    </i>
    <i>
      <x v="137"/>
    </i>
    <i>
      <x v="908"/>
    </i>
    <i>
      <x v="669"/>
    </i>
    <i>
      <x v="349"/>
    </i>
    <i>
      <x v="790"/>
    </i>
    <i>
      <x v="485"/>
    </i>
    <i>
      <x v="612"/>
    </i>
    <i>
      <x v="410"/>
    </i>
    <i>
      <x v="564"/>
    </i>
    <i>
      <x v="886"/>
    </i>
    <i>
      <x v="391"/>
    </i>
    <i>
      <x v="695"/>
    </i>
    <i>
      <x v="973"/>
    </i>
    <i>
      <x v="689"/>
    </i>
    <i>
      <x v="409"/>
    </i>
    <i>
      <x v="671"/>
    </i>
    <i>
      <x v="620"/>
    </i>
    <i>
      <x v="863"/>
    </i>
    <i>
      <x v="395"/>
    </i>
    <i>
      <x v="958"/>
    </i>
    <i>
      <x v="737"/>
    </i>
    <i>
      <x v="898"/>
    </i>
    <i>
      <x v="362"/>
    </i>
    <i>
      <x v="756"/>
    </i>
    <i>
      <x v="975"/>
    </i>
    <i>
      <x v="851"/>
    </i>
    <i>
      <x v="82"/>
    </i>
    <i>
      <x v="619"/>
    </i>
    <i>
      <x v="626"/>
    </i>
    <i>
      <x v="199"/>
    </i>
    <i>
      <x v="91"/>
    </i>
    <i>
      <x v="621"/>
    </i>
    <i>
      <x v="740"/>
    </i>
    <i>
      <x v="582"/>
    </i>
    <i>
      <x v="398"/>
    </i>
    <i>
      <x v="818"/>
    </i>
    <i>
      <x v="772"/>
    </i>
    <i>
      <x v="796"/>
    </i>
    <i>
      <x v="336"/>
    </i>
    <i>
      <x v="361"/>
    </i>
    <i>
      <x v="114"/>
    </i>
    <i>
      <x v="248"/>
    </i>
    <i>
      <x v="116"/>
    </i>
    <i>
      <x v="699"/>
    </i>
    <i>
      <x v="569"/>
    </i>
    <i>
      <x v="762"/>
    </i>
    <i>
      <x v="330"/>
    </i>
    <i>
      <x v="488"/>
    </i>
    <i>
      <x v="906"/>
    </i>
    <i>
      <x v="760"/>
    </i>
    <i>
      <x v="565"/>
    </i>
    <i>
      <x v="255"/>
    </i>
    <i>
      <x v="112"/>
    </i>
    <i>
      <x v="676"/>
    </i>
    <i>
      <x v="247"/>
    </i>
    <i>
      <x v="296"/>
    </i>
    <i>
      <x v="412"/>
    </i>
    <i>
      <x v="754"/>
    </i>
    <i>
      <x v="388"/>
    </i>
    <i>
      <x v="618"/>
    </i>
    <i>
      <x v="378"/>
    </i>
    <i>
      <x v="318"/>
    </i>
    <i>
      <x v="279"/>
    </i>
    <i>
      <x v="140"/>
    </i>
    <i>
      <x v="282"/>
    </i>
    <i>
      <x v="675"/>
    </i>
    <i>
      <x v="568"/>
    </i>
    <i>
      <x v="147"/>
    </i>
    <i>
      <x v="198"/>
    </i>
    <i>
      <x v="872"/>
    </i>
    <i>
      <x v="765"/>
    </i>
    <i>
      <x v="824"/>
    </i>
    <i>
      <x v="542"/>
    </i>
    <i>
      <x v="188"/>
    </i>
    <i>
      <x v="746"/>
    </i>
    <i>
      <x v="566"/>
    </i>
    <i>
      <x v="379"/>
    </i>
    <i>
      <x v="883"/>
    </i>
    <i>
      <x v="722"/>
    </i>
    <i>
      <x v="113"/>
    </i>
    <i>
      <x v="216"/>
    </i>
    <i>
      <x v="613"/>
    </i>
    <i>
      <x v="146"/>
    </i>
    <i>
      <x v="144"/>
    </i>
    <i>
      <x v="278"/>
    </i>
    <i>
      <x v="795"/>
    </i>
    <i>
      <x v="745"/>
    </i>
    <i>
      <x v="363"/>
    </i>
    <i>
      <x v="677"/>
    </i>
    <i>
      <x v="240"/>
    </i>
    <i>
      <x v="370"/>
    </i>
    <i>
      <x v="153"/>
    </i>
    <i>
      <x v="115"/>
    </i>
    <i>
      <x v="277"/>
    </i>
    <i>
      <x v="681"/>
    </i>
    <i t="grand">
      <x/>
    </i>
  </rowItems>
  <colItems count="1">
    <i/>
  </colItems>
  <dataFields count="1">
    <dataField name="Sum of Views" fld="2" baseField="0" baseItem="0" numFmtId="2"/>
  </dataFields>
  <formats count="1">
    <format dxfId="2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BC260-9279-4FEB-9014-92E08F519E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2" firstHeaderRow="1" firstDataRow="1" firstDataCol="1"/>
  <pivotFields count="16">
    <pivotField axis="axisRow" showAll="0" sortType="descending">
      <items count="979">
        <item x="1"/>
        <item x="4"/>
        <item x="134"/>
        <item x="482"/>
        <item x="258"/>
        <item x="62"/>
        <item x="222"/>
        <item x="508"/>
        <item x="475"/>
        <item x="194"/>
        <item x="99"/>
        <item x="144"/>
        <item x="118"/>
        <item x="155"/>
        <item x="44"/>
        <item x="141"/>
        <item x="407"/>
        <item x="61"/>
        <item x="199"/>
        <item x="219"/>
        <item x="809"/>
        <item x="794"/>
        <item x="469"/>
        <item x="483"/>
        <item x="178"/>
        <item x="180"/>
        <item x="672"/>
        <item x="82"/>
        <item x="94"/>
        <item x="263"/>
        <item x="323"/>
        <item x="366"/>
        <item x="843"/>
        <item x="645"/>
        <item x="647"/>
        <item x="96"/>
        <item x="277"/>
        <item x="511"/>
        <item x="643"/>
        <item x="642"/>
        <item x="901"/>
        <item x="633"/>
        <item x="65"/>
        <item x="410"/>
        <item x="548"/>
        <item x="437"/>
        <item x="414"/>
        <item x="658"/>
        <item x="502"/>
        <item x="510"/>
        <item x="415"/>
        <item x="127"/>
        <item x="243"/>
        <item x="75"/>
        <item x="569"/>
        <item x="662"/>
        <item x="6"/>
        <item x="376"/>
        <item x="47"/>
        <item x="888"/>
        <item x="712"/>
        <item x="90"/>
        <item x="124"/>
        <item x="79"/>
        <item x="693"/>
        <item x="661"/>
        <item x="708"/>
        <item x="478"/>
        <item x="7"/>
        <item x="526"/>
        <item x="598"/>
        <item x="666"/>
        <item x="698"/>
        <item x="184"/>
        <item x="525"/>
        <item x="595"/>
        <item x="11"/>
        <item x="379"/>
        <item x="586"/>
        <item x="372"/>
        <item x="107"/>
        <item x="296"/>
        <item x="571"/>
        <item x="474"/>
        <item x="98"/>
        <item x="160"/>
        <item x="261"/>
        <item x="221"/>
        <item x="833"/>
        <item x="109"/>
        <item x="892"/>
        <item x="496"/>
        <item x="500"/>
        <item x="305"/>
        <item x="319"/>
        <item x="198"/>
        <item x="596"/>
        <item x="830"/>
        <item x="128"/>
        <item x="244"/>
        <item x="216"/>
        <item x="233"/>
        <item x="585"/>
        <item x="781"/>
        <item x="841"/>
        <item x="876"/>
        <item x="255"/>
        <item x="935"/>
        <item x="212"/>
        <item x="238"/>
        <item x="860"/>
        <item x="322"/>
        <item x="497"/>
        <item x="574"/>
        <item x="602"/>
        <item x="924"/>
        <item x="529"/>
        <item x="330"/>
        <item x="34"/>
        <item x="427"/>
        <item x="632"/>
        <item x="599"/>
        <item x="791"/>
        <item x="631"/>
        <item x="747"/>
        <item x="720"/>
        <item x="871"/>
        <item x="152"/>
        <item x="834"/>
        <item x="393"/>
        <item x="851"/>
        <item x="273"/>
        <item x="914"/>
        <item x="161"/>
        <item x="224"/>
        <item x="629"/>
        <item x="882"/>
        <item x="699"/>
        <item x="163"/>
        <item x="453"/>
        <item x="971"/>
        <item x="209"/>
        <item x="972"/>
        <item x="917"/>
        <item x="678"/>
        <item x="292"/>
        <item x="793"/>
        <item x="302"/>
        <item x="742"/>
        <item x="915"/>
        <item x="130"/>
        <item x="941"/>
        <item x="329"/>
        <item x="750"/>
        <item x="357"/>
        <item x="562"/>
        <item x="77"/>
        <item x="0"/>
        <item x="680"/>
        <item x="291"/>
        <item x="480"/>
        <item x="39"/>
        <item x="587"/>
        <item x="533"/>
        <item x="522"/>
        <item x="788"/>
        <item x="195"/>
        <item x="434"/>
        <item x="930"/>
        <item x="162"/>
        <item x="132"/>
        <item x="588"/>
        <item x="655"/>
        <item x="688"/>
        <item x="583"/>
        <item x="889"/>
        <item x="416"/>
        <item x="100"/>
        <item x="142"/>
        <item x="229"/>
        <item x="433"/>
        <item x="149"/>
        <item x="553"/>
        <item x="499"/>
        <item x="108"/>
        <item x="48"/>
        <item x="66"/>
        <item x="33"/>
        <item x="31"/>
        <item x="381"/>
        <item x="35"/>
        <item x="458"/>
        <item x="59"/>
        <item x="304"/>
        <item x="442"/>
        <item x="350"/>
        <item x="449"/>
        <item x="563"/>
        <item x="394"/>
        <item x="113"/>
        <item x="657"/>
        <item x="827"/>
        <item x="561"/>
        <item x="845"/>
        <item x="938"/>
        <item x="962"/>
        <item x="695"/>
        <item x="926"/>
        <item x="278"/>
        <item x="95"/>
        <item x="456"/>
        <item x="584"/>
        <item x="491"/>
        <item x="392"/>
        <item x="64"/>
        <item x="744"/>
        <item x="334"/>
        <item x="317"/>
        <item x="252"/>
        <item x="867"/>
        <item x="714"/>
        <item x="798"/>
        <item x="515"/>
        <item x="620"/>
        <item x="756"/>
        <item x="236"/>
        <item x="763"/>
        <item x="168"/>
        <item x="193"/>
        <item x="167"/>
        <item x="359"/>
        <item x="627"/>
        <item x="615"/>
        <item x="266"/>
        <item x="969"/>
        <item x="386"/>
        <item x="628"/>
        <item x="566"/>
        <item x="293"/>
        <item x="706"/>
        <item x="365"/>
        <item x="848"/>
        <item x="505"/>
        <item x="320"/>
        <item x="156"/>
        <item x="339"/>
        <item x="23"/>
        <item x="677"/>
        <item x="792"/>
        <item x="346"/>
        <item x="256"/>
        <item x="257"/>
        <item x="60"/>
        <item x="97"/>
        <item x="540"/>
        <item x="301"/>
        <item x="151"/>
        <item x="670"/>
        <item x="592"/>
        <item x="893"/>
        <item x="404"/>
        <item x="371"/>
        <item x="861"/>
        <item x="196"/>
        <item x="470"/>
        <item x="406"/>
        <item x="342"/>
        <item x="185"/>
        <item x="303"/>
        <item x="181"/>
        <item x="581"/>
        <item x="312"/>
        <item x="667"/>
        <item x="849"/>
        <item x="654"/>
        <item x="607"/>
        <item x="138"/>
        <item x="726"/>
        <item x="364"/>
        <item x="431"/>
        <item x="457"/>
        <item x="402"/>
        <item x="9"/>
        <item x="590"/>
        <item x="552"/>
        <item x="731"/>
        <item x="441"/>
        <item x="711"/>
        <item x="858"/>
        <item x="481"/>
        <item x="732"/>
        <item x="120"/>
        <item x="898"/>
        <item x="484"/>
        <item x="839"/>
        <item x="425"/>
        <item x="837"/>
        <item x="751"/>
        <item x="767"/>
        <item x="727"/>
        <item x="824"/>
        <item x="866"/>
        <item x="823"/>
        <item x="854"/>
        <item x="820"/>
        <item x="752"/>
        <item x="448"/>
        <item x="30"/>
        <item x="391"/>
        <item x="840"/>
        <item x="145"/>
        <item x="977"/>
        <item x="37"/>
        <item x="117"/>
        <item x="321"/>
        <item x="182"/>
        <item x="54"/>
        <item x="955"/>
        <item x="637"/>
        <item x="881"/>
        <item x="298"/>
        <item x="460"/>
        <item x="133"/>
        <item x="45"/>
        <item x="38"/>
        <item x="804"/>
        <item x="589"/>
        <item x="748"/>
        <item x="370"/>
        <item x="191"/>
        <item x="954"/>
        <item x="179"/>
        <item x="287"/>
        <item x="230"/>
        <item x="280"/>
        <item x="314"/>
        <item x="702"/>
        <item x="743"/>
        <item x="968"/>
        <item x="890"/>
        <item x="916"/>
        <item x="53"/>
        <item x="63"/>
        <item x="765"/>
        <item x="188"/>
        <item x="664"/>
        <item x="537"/>
        <item x="536"/>
        <item x="956"/>
        <item x="635"/>
        <item x="828"/>
        <item x="960"/>
        <item x="770"/>
        <item x="351"/>
        <item x="337"/>
        <item x="863"/>
        <item x="435"/>
        <item x="862"/>
        <item x="567"/>
        <item x="626"/>
        <item x="950"/>
        <item x="572"/>
        <item x="700"/>
        <item x="777"/>
        <item x="267"/>
        <item x="565"/>
        <item x="690"/>
        <item x="774"/>
        <item x="957"/>
        <item x="270"/>
        <item x="873"/>
        <item x="385"/>
        <item x="805"/>
        <item x="746"/>
        <item x="847"/>
        <item x="807"/>
        <item x="922"/>
        <item x="868"/>
        <item x="603"/>
        <item x="432"/>
        <item x="600"/>
        <item x="850"/>
        <item x="773"/>
        <item x="745"/>
        <item x="591"/>
        <item x="902"/>
        <item x="630"/>
        <item x="891"/>
        <item x="498"/>
        <item x="570"/>
        <item x="716"/>
        <item x="723"/>
        <item x="464"/>
        <item x="509"/>
        <item x="452"/>
        <item x="495"/>
        <item x="153"/>
        <item x="852"/>
        <item x="906"/>
        <item x="668"/>
        <item x="269"/>
        <item x="214"/>
        <item x="905"/>
        <item x="832"/>
        <item x="884"/>
        <item x="919"/>
        <item x="829"/>
        <item x="489"/>
        <item x="692"/>
        <item x="953"/>
        <item x="175"/>
        <item x="597"/>
        <item x="966"/>
        <item x="764"/>
        <item x="673"/>
        <item x="451"/>
        <item x="57"/>
        <item x="58"/>
        <item x="467"/>
        <item x="619"/>
        <item x="85"/>
        <item x="307"/>
        <item x="226"/>
        <item x="681"/>
        <item x="575"/>
        <item x="235"/>
        <item x="164"/>
        <item x="383"/>
        <item x="694"/>
        <item x="159"/>
        <item x="761"/>
        <item x="738"/>
        <item x="311"/>
        <item x="684"/>
        <item x="737"/>
        <item x="886"/>
        <item x="801"/>
        <item x="71"/>
        <item x="443"/>
        <item x="544"/>
        <item x="200"/>
        <item x="558"/>
        <item x="739"/>
        <item x="186"/>
        <item x="556"/>
        <item x="547"/>
        <item x="606"/>
        <item x="638"/>
        <item x="782"/>
        <item x="420"/>
        <item x="819"/>
        <item x="367"/>
        <item x="87"/>
        <item x="895"/>
        <item x="318"/>
        <item x="932"/>
        <item x="931"/>
        <item x="880"/>
        <item x="940"/>
        <item x="921"/>
        <item x="479"/>
        <item x="964"/>
        <item x="514"/>
        <item x="289"/>
        <item x="639"/>
        <item x="951"/>
        <item x="713"/>
        <item x="826"/>
        <item x="618"/>
        <item x="939"/>
        <item x="355"/>
        <item x="234"/>
        <item x="340"/>
        <item x="555"/>
        <item x="644"/>
        <item x="846"/>
        <item x="802"/>
        <item x="730"/>
        <item x="549"/>
        <item x="908"/>
        <item x="625"/>
        <item x="471"/>
        <item x="121"/>
        <item x="227"/>
        <item x="306"/>
        <item x="494"/>
        <item x="374"/>
        <item x="88"/>
        <item x="114"/>
        <item x="454"/>
        <item x="345"/>
        <item x="285"/>
        <item x="262"/>
        <item x="70"/>
        <item x="187"/>
        <item x="959"/>
        <item x="19"/>
        <item x="900"/>
        <item x="72"/>
        <item x="282"/>
        <item x="814"/>
        <item x="517"/>
        <item x="513"/>
        <item x="476"/>
        <item x="705"/>
        <item x="609"/>
        <item x="347"/>
        <item x="947"/>
        <item x="617"/>
        <item x="812"/>
        <item x="816"/>
        <item x="43"/>
        <item x="50"/>
        <item x="51"/>
        <item x="754"/>
        <item x="343"/>
        <item x="753"/>
        <item x="369"/>
        <item x="102"/>
        <item x="755"/>
        <item x="735"/>
        <item x="803"/>
        <item x="800"/>
        <item x="545"/>
        <item x="503"/>
        <item x="473"/>
        <item x="687"/>
        <item x="796"/>
        <item x="418"/>
        <item x="254"/>
        <item x="608"/>
        <item x="197"/>
        <item x="543"/>
        <item x="887"/>
        <item x="799"/>
        <item x="728"/>
        <item x="650"/>
        <item x="440"/>
        <item x="811"/>
        <item x="375"/>
        <item x="541"/>
        <item x="683"/>
        <item x="531"/>
        <item x="534"/>
        <item x="204"/>
        <item x="865"/>
        <item x="276"/>
        <item x="709"/>
        <item x="353"/>
        <item x="377"/>
        <item x="577"/>
        <item x="604"/>
        <item x="126"/>
        <item x="656"/>
        <item x="610"/>
        <item x="842"/>
        <item x="660"/>
        <item x="119"/>
        <item x="190"/>
        <item x="40"/>
        <item x="766"/>
        <item x="760"/>
        <item x="14"/>
        <item x="507"/>
        <item x="674"/>
        <item x="970"/>
        <item x="333"/>
        <item x="268"/>
        <item x="395"/>
        <item x="907"/>
        <item x="918"/>
        <item x="344"/>
        <item x="663"/>
        <item x="275"/>
        <item x="488"/>
        <item x="527"/>
        <item x="210"/>
        <item x="232"/>
        <item x="148"/>
        <item x="36"/>
        <item x="281"/>
        <item x="872"/>
        <item x="808"/>
        <item x="283"/>
        <item x="83"/>
        <item x="338"/>
        <item x="368"/>
        <item x="506"/>
        <item x="542"/>
        <item x="759"/>
        <item x="403"/>
        <item x="686"/>
        <item x="550"/>
        <item x="733"/>
        <item x="646"/>
        <item x="894"/>
        <item x="817"/>
        <item x="710"/>
        <item x="612"/>
        <item x="758"/>
        <item x="259"/>
        <item x="925"/>
        <item x="797"/>
        <item x="844"/>
        <item x="378"/>
        <item x="778"/>
        <item x="648"/>
        <item x="477"/>
        <item x="512"/>
        <item x="468"/>
        <item x="707"/>
        <item x="821"/>
        <item x="56"/>
        <item x="853"/>
        <item x="205"/>
        <item x="786"/>
        <item x="201"/>
        <item x="904"/>
        <item x="838"/>
        <item x="15"/>
        <item x="675"/>
        <item x="636"/>
        <item x="787"/>
        <item x="551"/>
        <item x="795"/>
        <item x="360"/>
        <item x="300"/>
        <item x="172"/>
        <item x="835"/>
        <item x="665"/>
        <item x="877"/>
        <item x="140"/>
        <item x="125"/>
        <item x="768"/>
        <item x="623"/>
        <item x="928"/>
        <item x="461"/>
        <item x="55"/>
        <item x="249"/>
        <item x="903"/>
        <item x="715"/>
        <item x="208"/>
        <item x="717"/>
        <item x="22"/>
        <item x="80"/>
        <item x="651"/>
        <item x="29"/>
        <item x="165"/>
        <item x="485"/>
        <item x="771"/>
        <item x="679"/>
        <item x="328"/>
        <item x="13"/>
        <item x="390"/>
        <item x="944"/>
        <item x="949"/>
        <item x="213"/>
        <item x="490"/>
        <item x="110"/>
        <item x="382"/>
        <item x="86"/>
        <item x="297"/>
        <item x="265"/>
        <item x="560"/>
        <item x="32"/>
        <item x="105"/>
        <item x="384"/>
        <item x="112"/>
        <item x="237"/>
        <item x="429"/>
        <item x="78"/>
        <item x="836"/>
        <item x="241"/>
        <item x="173"/>
        <item x="18"/>
        <item x="961"/>
        <item x="463"/>
        <item x="398"/>
        <item x="671"/>
        <item x="20"/>
        <item x="247"/>
        <item x="946"/>
        <item x="685"/>
        <item x="74"/>
        <item x="594"/>
        <item x="388"/>
        <item x="934"/>
        <item x="170"/>
        <item x="444"/>
        <item x="724"/>
        <item x="331"/>
        <item x="309"/>
        <item x="27"/>
        <item x="69"/>
        <item x="652"/>
        <item x="430"/>
        <item x="870"/>
        <item x="459"/>
        <item x="92"/>
        <item x="885"/>
        <item x="316"/>
        <item x="879"/>
        <item x="419"/>
        <item x="106"/>
        <item x="933"/>
        <item x="719"/>
        <item x="455"/>
        <item x="883"/>
        <item x="967"/>
        <item x="260"/>
        <item x="447"/>
        <item x="326"/>
        <item x="408"/>
        <item x="869"/>
        <item x="831"/>
        <item x="899"/>
        <item x="923"/>
        <item x="158"/>
        <item x="202"/>
        <item x="929"/>
        <item x="621"/>
        <item x="10"/>
        <item x="396"/>
        <item x="12"/>
        <item x="218"/>
        <item x="943"/>
        <item x="784"/>
        <item x="976"/>
        <item x="669"/>
        <item x="122"/>
        <item x="975"/>
        <item x="896"/>
        <item x="486"/>
        <item x="411"/>
        <item x="143"/>
        <item x="634"/>
        <item x="76"/>
        <item x="192"/>
        <item x="405"/>
        <item x="518"/>
        <item x="958"/>
        <item x="203"/>
        <item x="279"/>
        <item x="640"/>
        <item x="576"/>
        <item x="115"/>
        <item x="177"/>
        <item x="46"/>
        <item x="659"/>
        <item x="325"/>
        <item x="288"/>
        <item x="166"/>
        <item x="696"/>
        <item x="169"/>
        <item x="26"/>
        <item x="264"/>
        <item x="601"/>
        <item x="965"/>
        <item x="387"/>
        <item x="492"/>
        <item x="530"/>
        <item x="129"/>
        <item x="703"/>
        <item x="246"/>
        <item x="154"/>
        <item x="176"/>
        <item x="945"/>
        <item x="313"/>
        <item x="559"/>
        <item x="614"/>
        <item x="546"/>
        <item x="818"/>
        <item x="215"/>
        <item x="341"/>
        <item x="336"/>
        <item x="401"/>
        <item x="354"/>
        <item x="409"/>
        <item x="909"/>
        <item x="611"/>
        <item x="412"/>
        <item x="3"/>
        <item x="16"/>
        <item x="271"/>
        <item x="523"/>
        <item x="521"/>
        <item x="116"/>
        <item x="223"/>
        <item x="147"/>
        <item x="682"/>
        <item x="174"/>
        <item x="171"/>
        <item x="21"/>
        <item x="135"/>
        <item x="974"/>
        <item x="397"/>
        <item x="332"/>
        <item x="912"/>
        <item x="450"/>
        <item x="757"/>
        <item x="859"/>
        <item x="734"/>
        <item x="910"/>
        <item x="605"/>
        <item x="810"/>
        <item x="616"/>
        <item x="857"/>
        <item x="538"/>
        <item x="813"/>
        <item x="911"/>
        <item x="878"/>
        <item x="815"/>
        <item x="579"/>
        <item x="580"/>
        <item x="729"/>
        <item x="875"/>
        <item x="123"/>
        <item x="28"/>
        <item x="701"/>
        <item x="389"/>
        <item x="462"/>
        <item x="524"/>
        <item x="445"/>
        <item x="335"/>
        <item x="573"/>
        <item x="718"/>
        <item x="963"/>
        <item x="217"/>
        <item x="422"/>
        <item x="290"/>
        <item x="245"/>
        <item x="41"/>
        <item x="424"/>
        <item x="582"/>
        <item x="42"/>
        <item x="67"/>
        <item x="358"/>
        <item x="948"/>
        <item x="436"/>
        <item x="248"/>
        <item x="228"/>
        <item x="2"/>
        <item x="139"/>
        <item x="446"/>
        <item x="239"/>
        <item x="557"/>
        <item x="519"/>
        <item x="487"/>
        <item x="691"/>
        <item x="362"/>
        <item x="789"/>
        <item x="137"/>
        <item x="721"/>
        <item x="52"/>
        <item x="649"/>
        <item x="84"/>
        <item x="520"/>
        <item x="942"/>
        <item x="89"/>
        <item x="740"/>
        <item x="578"/>
        <item x="5"/>
        <item x="426"/>
        <item x="676"/>
        <item x="189"/>
        <item x="231"/>
        <item x="103"/>
        <item x="806"/>
        <item x="762"/>
        <item x="864"/>
        <item x="736"/>
        <item x="825"/>
        <item x="725"/>
        <item x="324"/>
        <item x="783"/>
        <item x="622"/>
        <item x="822"/>
        <item x="741"/>
        <item x="111"/>
        <item x="772"/>
        <item x="937"/>
        <item x="211"/>
        <item x="242"/>
        <item x="81"/>
        <item x="363"/>
        <item x="790"/>
        <item x="528"/>
        <item x="722"/>
        <item x="349"/>
        <item x="91"/>
        <item x="131"/>
        <item x="472"/>
        <item x="361"/>
        <item x="624"/>
        <item x="417"/>
        <item x="251"/>
        <item x="775"/>
        <item x="356"/>
        <item x="749"/>
        <item x="327"/>
        <item x="568"/>
        <item x="689"/>
        <item x="272"/>
        <item x="428"/>
        <item x="286"/>
        <item x="240"/>
        <item x="704"/>
        <item x="927"/>
        <item x="136"/>
        <item x="539"/>
        <item x="400"/>
        <item x="250"/>
        <item x="183"/>
        <item x="897"/>
        <item x="465"/>
        <item x="253"/>
        <item x="157"/>
        <item x="438"/>
        <item x="501"/>
        <item x="220"/>
        <item x="308"/>
        <item x="101"/>
        <item x="913"/>
        <item x="779"/>
        <item x="310"/>
        <item x="68"/>
        <item x="493"/>
        <item x="780"/>
        <item x="380"/>
        <item x="225"/>
        <item x="284"/>
        <item x="93"/>
        <item x="206"/>
        <item x="423"/>
        <item x="352"/>
        <item x="564"/>
        <item x="785"/>
        <item x="769"/>
        <item x="421"/>
        <item x="207"/>
        <item x="593"/>
        <item x="294"/>
        <item x="315"/>
        <item x="532"/>
        <item x="535"/>
        <item x="641"/>
        <item x="399"/>
        <item x="439"/>
        <item x="874"/>
        <item x="856"/>
        <item x="855"/>
        <item x="504"/>
        <item x="466"/>
        <item x="413"/>
        <item x="554"/>
        <item x="613"/>
        <item x="516"/>
        <item x="348"/>
        <item x="776"/>
        <item x="146"/>
        <item x="104"/>
        <item x="274"/>
        <item x="653"/>
        <item x="8"/>
        <item x="49"/>
        <item x="17"/>
        <item x="373"/>
        <item x="697"/>
        <item x="25"/>
        <item x="24"/>
        <item x="150"/>
        <item x="920"/>
        <item x="936"/>
        <item x="952"/>
        <item x="73"/>
        <item x="973"/>
        <item x="299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79">
    <i>
      <x v="943"/>
    </i>
    <i>
      <x v="313"/>
    </i>
    <i>
      <x v="299"/>
    </i>
    <i>
      <x v="579"/>
    </i>
    <i>
      <x v="823"/>
    </i>
    <i>
      <x v="786"/>
    </i>
    <i>
      <x v="497"/>
    </i>
    <i>
      <x v="309"/>
    </i>
    <i>
      <x v="842"/>
    </i>
    <i>
      <x v="517"/>
    </i>
    <i>
      <x v="624"/>
    </i>
    <i>
      <x v="28"/>
    </i>
    <i>
      <x v="946"/>
    </i>
    <i>
      <x v="775"/>
    </i>
    <i>
      <x v="546"/>
    </i>
    <i>
      <x v="543"/>
    </i>
    <i>
      <x v="827"/>
    </i>
    <i>
      <x v="447"/>
    </i>
    <i>
      <x v="504"/>
    </i>
    <i>
      <x v="944"/>
    </i>
    <i>
      <x v="36"/>
    </i>
    <i>
      <x v="291"/>
    </i>
    <i>
      <x v="281"/>
    </i>
    <i>
      <x v="424"/>
    </i>
    <i>
      <x v="208"/>
    </i>
    <i>
      <x v="919"/>
    </i>
    <i>
      <x v="183"/>
    </i>
    <i>
      <x v="346"/>
    </i>
    <i>
      <x v="253"/>
    </i>
    <i>
      <x v="31"/>
    </i>
    <i>
      <x v="163"/>
    </i>
    <i>
      <x v="268"/>
    </i>
    <i>
      <x v="910"/>
    </i>
    <i>
      <x v="35"/>
    </i>
    <i>
      <x v="774"/>
    </i>
    <i>
      <x v="209"/>
    </i>
    <i>
      <x v="166"/>
    </i>
    <i>
      <x v="261"/>
    </i>
    <i>
      <x v="193"/>
    </i>
    <i>
      <x v="356"/>
    </i>
    <i>
      <x v="464"/>
    </i>
    <i>
      <x v="860"/>
    </i>
    <i>
      <x v="24"/>
    </i>
    <i>
      <x v="260"/>
    </i>
    <i>
      <x v="392"/>
    </i>
    <i>
      <x v="586"/>
    </i>
    <i>
      <x v="312"/>
    </i>
    <i>
      <x v="416"/>
    </i>
    <i>
      <x v="167"/>
    </i>
    <i>
      <x v="631"/>
    </i>
    <i>
      <x v="472"/>
    </i>
    <i>
      <x v="585"/>
    </i>
    <i>
      <x v="835"/>
    </i>
    <i>
      <x v="192"/>
    </i>
    <i>
      <x v="650"/>
    </i>
    <i>
      <x v="484"/>
    </i>
    <i>
      <x v="269"/>
    </i>
    <i>
      <x v="158"/>
    </i>
    <i>
      <x v="27"/>
    </i>
    <i>
      <x v="354"/>
    </i>
    <i>
      <x v="328"/>
    </i>
    <i>
      <x v="451"/>
    </i>
    <i>
      <x v="743"/>
    </i>
    <i>
      <x v="777"/>
    </i>
    <i>
      <x v="953"/>
    </i>
    <i>
      <x v="100"/>
    </i>
    <i>
      <x v="693"/>
    </i>
    <i>
      <x v="920"/>
    </i>
    <i>
      <x v="347"/>
    </i>
    <i>
      <x v="265"/>
    </i>
    <i>
      <x v="297"/>
    </i>
    <i>
      <x v="106"/>
    </i>
    <i>
      <x v="921"/>
    </i>
    <i>
      <x v="550"/>
    </i>
    <i>
      <x v="909"/>
    </i>
    <i>
      <x v="440"/>
    </i>
    <i>
      <x v="38"/>
    </i>
    <i>
      <x v="945"/>
    </i>
    <i>
      <x v="95"/>
    </i>
    <i>
      <x v="79"/>
    </i>
    <i>
      <x v="742"/>
    </i>
    <i>
      <x v="512"/>
    </i>
    <i>
      <x v="764"/>
    </i>
    <i>
      <x v="486"/>
    </i>
    <i>
      <x v="19"/>
    </i>
    <i>
      <x v="21"/>
    </i>
    <i>
      <x v="838"/>
    </i>
    <i>
      <x v="276"/>
    </i>
    <i>
      <x v="180"/>
    </i>
    <i>
      <x v="218"/>
    </i>
    <i>
      <x v="773"/>
    </i>
    <i>
      <x v="744"/>
    </i>
    <i>
      <x v="724"/>
    </i>
    <i>
      <x v="294"/>
    </i>
    <i>
      <x v="9"/>
    </i>
    <i>
      <x v="134"/>
    </i>
    <i>
      <x v="84"/>
    </i>
    <i>
      <x v="529"/>
    </i>
    <i>
      <x v="334"/>
    </i>
    <i>
      <x v="531"/>
    </i>
    <i>
      <x v="734"/>
    </i>
    <i>
      <x v="259"/>
    </i>
    <i>
      <x v="12"/>
    </i>
    <i>
      <x v="895"/>
    </i>
    <i>
      <x v="439"/>
    </i>
    <i>
      <x v="263"/>
    </i>
    <i>
      <x v="580"/>
    </i>
    <i>
      <x v="590"/>
    </i>
    <i>
      <x v="87"/>
    </i>
    <i>
      <x v="6"/>
    </i>
    <i>
      <x v="20"/>
    </i>
    <i>
      <x v="555"/>
    </i>
    <i>
      <x v="324"/>
    </i>
    <i>
      <x v="48"/>
    </i>
    <i>
      <x v="228"/>
    </i>
    <i>
      <x v="479"/>
    </i>
    <i>
      <x v="25"/>
    </i>
    <i>
      <x v="616"/>
    </i>
    <i>
      <x v="446"/>
    </i>
    <i>
      <x v="807"/>
    </i>
    <i>
      <x v="914"/>
    </i>
    <i>
      <x v="15"/>
    </i>
    <i>
      <x v="254"/>
    </i>
    <i>
      <x v="540"/>
    </i>
    <i>
      <x v="929"/>
    </i>
    <i>
      <x v="417"/>
    </i>
    <i>
      <x v="93"/>
    </i>
    <i>
      <x v="853"/>
    </i>
    <i>
      <x v="738"/>
    </i>
    <i>
      <x v="239"/>
    </i>
    <i>
      <x v="266"/>
    </i>
    <i>
      <x v="13"/>
    </i>
    <i>
      <x v="505"/>
    </i>
    <i>
      <x v="803"/>
    </i>
    <i>
      <x v="916"/>
    </i>
    <i>
      <x v="92"/>
    </i>
    <i>
      <x v="252"/>
    </i>
    <i>
      <x v="804"/>
    </i>
    <i>
      <x v="834"/>
    </i>
    <i>
      <x v="421"/>
    </i>
    <i>
      <x v="16"/>
    </i>
    <i>
      <x v="275"/>
    </i>
    <i>
      <x v="588"/>
    </i>
    <i>
      <x v="539"/>
    </i>
    <i>
      <x v="733"/>
    </i>
    <i>
      <x v="917"/>
    </i>
    <i>
      <x v="952"/>
    </i>
    <i>
      <x v="432"/>
    </i>
    <i>
      <x v="551"/>
    </i>
    <i>
      <x v="22"/>
    </i>
    <i>
      <x v="450"/>
    </i>
    <i>
      <x v="918"/>
    </i>
    <i>
      <x v="11"/>
    </i>
    <i>
      <x v="532"/>
    </i>
    <i>
      <x v="435"/>
    </i>
    <i>
      <x v="39"/>
    </i>
    <i>
      <x v="509"/>
    </i>
    <i>
      <x v="780"/>
    </i>
    <i>
      <x v="523"/>
    </i>
    <i>
      <x v="787"/>
    </i>
    <i>
      <x v="104"/>
    </i>
    <i>
      <x v="305"/>
    </i>
    <i>
      <x v="245"/>
    </i>
    <i>
      <x v="500"/>
    </i>
    <i>
      <x v="623"/>
    </i>
    <i>
      <x v="18"/>
    </i>
    <i>
      <x v="535"/>
    </i>
    <i>
      <x v="530"/>
    </i>
    <i>
      <x v="43"/>
    </i>
    <i>
      <x v="974"/>
    </i>
    <i>
      <x v="418"/>
    </i>
    <i>
      <x v="423"/>
    </i>
    <i>
      <x v="609"/>
    </i>
    <i>
      <x v="315"/>
    </i>
    <i>
      <x v="45"/>
    </i>
    <i>
      <x v="10"/>
    </i>
    <i>
      <x v="482"/>
    </i>
    <i>
      <x v="474"/>
    </i>
    <i>
      <x v="767"/>
    </i>
    <i>
      <x v="40"/>
    </i>
    <i>
      <x v="483"/>
    </i>
    <i>
      <x v="712"/>
    </i>
    <i>
      <x v="513"/>
    </i>
    <i>
      <x v="717"/>
    </i>
    <i>
      <x v="610"/>
    </i>
    <i>
      <x v="251"/>
    </i>
    <i>
      <x v="4"/>
    </i>
    <i>
      <x v="85"/>
    </i>
    <i>
      <x v="57"/>
    </i>
    <i>
      <x v="925"/>
    </i>
    <i>
      <x v="271"/>
    </i>
    <i>
      <x v="701"/>
    </i>
    <i>
      <x v="815"/>
    </i>
    <i>
      <x v="264"/>
    </i>
    <i>
      <x v="538"/>
    </i>
    <i>
      <x v="630"/>
    </i>
    <i>
      <x v="422"/>
    </i>
    <i>
      <x v="788"/>
    </i>
    <i>
      <x v="503"/>
    </i>
    <i>
      <x v="335"/>
    </i>
    <i>
      <x v="481"/>
    </i>
    <i>
      <x v="454"/>
    </i>
    <i>
      <x v="433"/>
    </i>
    <i>
      <x v="959"/>
    </i>
    <i>
      <x v="179"/>
    </i>
    <i>
      <x v="718"/>
    </i>
    <i>
      <x v="948"/>
    </i>
    <i>
      <x v="537"/>
    </i>
    <i>
      <x v="189"/>
    </i>
    <i>
      <x v="557"/>
    </i>
    <i>
      <x v="584"/>
    </i>
    <i>
      <x v="915"/>
    </i>
    <i>
      <x v="547"/>
    </i>
    <i>
      <x v="808"/>
    </i>
    <i>
      <x v="950"/>
    </i>
    <i>
      <x v="563"/>
    </i>
    <i>
      <x v="955"/>
    </i>
    <i>
      <x v="465"/>
    </i>
    <i>
      <x v="840"/>
    </i>
    <i>
      <x v="865"/>
    </i>
    <i>
      <x v="478"/>
    </i>
    <i>
      <x v="770"/>
    </i>
    <i>
      <x v="518"/>
    </i>
    <i>
      <x v="493"/>
    </i>
    <i>
      <x v="525"/>
    </i>
    <i>
      <x v="250"/>
    </i>
    <i>
      <x v="429"/>
    </i>
    <i>
      <x v="437"/>
    </i>
    <i>
      <x v="942"/>
    </i>
    <i>
      <x v="554"/>
    </i>
    <i>
      <x v="866"/>
    </i>
    <i>
      <x v="83"/>
    </i>
    <i>
      <x v="333"/>
    </i>
    <i>
      <x v="594"/>
    </i>
    <i>
      <x v="947"/>
    </i>
    <i>
      <x v="323"/>
    </i>
    <i>
      <x v="891"/>
    </i>
    <i>
      <x v="779"/>
    </i>
    <i>
      <x v="812"/>
    </i>
    <i>
      <x v="105"/>
    </i>
    <i>
      <x v="133"/>
    </i>
    <i>
      <x v="445"/>
    </i>
    <i>
      <x v="249"/>
    </i>
    <i>
      <x v="224"/>
    </i>
    <i>
      <x v="17"/>
    </i>
    <i>
      <x v="806"/>
    </i>
    <i>
      <x v="771"/>
    </i>
    <i>
      <x v="691"/>
    </i>
    <i>
      <x v="310"/>
    </i>
    <i>
      <x v="499"/>
    </i>
    <i>
      <x v="682"/>
    </i>
    <i>
      <x v="924"/>
    </i>
    <i>
      <x v="169"/>
    </i>
    <i>
      <x v="514"/>
    </i>
    <i>
      <x v="601"/>
    </i>
    <i>
      <x v="204"/>
    </i>
    <i>
      <x v="331"/>
    </i>
    <i>
      <x v="966"/>
    </i>
    <i>
      <x v="515"/>
    </i>
    <i>
      <x v="606"/>
    </i>
    <i>
      <x v="813"/>
    </i>
    <i>
      <x v="44"/>
    </i>
    <i>
      <x v="524"/>
    </i>
    <i>
      <x v="519"/>
    </i>
    <i>
      <x v="700"/>
    </i>
    <i>
      <x v="511"/>
    </i>
    <i>
      <x v="592"/>
    </i>
    <i>
      <x v="911"/>
    </i>
    <i>
      <x v="541"/>
    </i>
    <i>
      <x v="600"/>
    </i>
    <i>
      <x v="951"/>
    </i>
    <i>
      <x v="242"/>
    </i>
    <i>
      <x v="516"/>
    </i>
    <i>
      <x v="591"/>
    </i>
    <i>
      <x v="598"/>
    </i>
    <i>
      <x v="805"/>
    </i>
    <i>
      <x v="587"/>
    </i>
    <i>
      <x v="66"/>
    </i>
    <i>
      <x v="290"/>
    </i>
    <i>
      <x v="7"/>
    </i>
    <i>
      <x v="923"/>
    </i>
    <i>
      <x v="32"/>
    </i>
    <i>
      <x v="949"/>
    </i>
    <i>
      <x v="536"/>
    </i>
    <i>
      <x v="178"/>
    </i>
    <i>
      <x v="595"/>
    </i>
    <i>
      <x v="498"/>
    </i>
    <i>
      <x v="811"/>
    </i>
    <i>
      <x v="769"/>
    </i>
    <i>
      <x v="549"/>
    </i>
    <i>
      <x v="460"/>
    </i>
    <i>
      <x v="101"/>
    </i>
    <i>
      <x v="490"/>
    </i>
    <i>
      <x v="507"/>
    </i>
    <i>
      <x v="8"/>
    </i>
    <i>
      <x v="33"/>
    </i>
    <i>
      <x v="789"/>
    </i>
    <i>
      <x v="37"/>
    </i>
    <i>
      <x v="341"/>
    </i>
    <i>
      <x v="46"/>
    </i>
    <i>
      <x v="854"/>
    </i>
    <i>
      <x v="510"/>
    </i>
    <i>
      <x v="34"/>
    </i>
    <i>
      <x v="506"/>
    </i>
    <i>
      <x v="904"/>
    </i>
    <i>
      <x v="420"/>
    </i>
    <i>
      <x v="571"/>
    </i>
    <i>
      <x v="583"/>
    </i>
    <i>
      <x v="814"/>
    </i>
    <i>
      <x v="244"/>
    </i>
    <i>
      <x v="67"/>
    </i>
    <i>
      <x v="285"/>
    </i>
    <i>
      <x v="453"/>
    </i>
    <i>
      <x v="270"/>
    </i>
    <i>
      <x v="304"/>
    </i>
    <i>
      <x v="870"/>
    </i>
    <i>
      <x v="77"/>
    </i>
    <i>
      <x v="14"/>
    </i>
    <i>
      <x v="477"/>
    </i>
    <i>
      <x v="957"/>
    </i>
    <i>
      <x v="533"/>
    </i>
    <i>
      <x v="577"/>
    </i>
    <i>
      <x v="205"/>
    </i>
    <i>
      <x v="286"/>
    </i>
    <i>
      <x v="810"/>
    </i>
    <i>
      <x v="217"/>
    </i>
    <i>
      <x v="232"/>
    </i>
    <i>
      <x v="799"/>
    </i>
    <i>
      <x v="729"/>
    </i>
    <i>
      <x v="59"/>
    </i>
    <i>
      <x v="596"/>
    </i>
    <i>
      <x v="561"/>
    </i>
    <i>
      <x v="502"/>
    </i>
    <i>
      <x v="604"/>
    </i>
    <i>
      <x v="438"/>
    </i>
    <i>
      <x v="605"/>
    </i>
    <i>
      <x v="86"/>
    </i>
    <i>
      <x v="578"/>
    </i>
    <i>
      <x v="526"/>
    </i>
    <i>
      <x v="393"/>
    </i>
    <i>
      <x v="284"/>
    </i>
    <i>
      <x v="954"/>
    </i>
    <i>
      <x v="833"/>
    </i>
    <i>
      <x v="73"/>
    </i>
    <i>
      <x v="491"/>
    </i>
    <i>
      <x v="314"/>
    </i>
    <i>
      <x v="303"/>
    </i>
    <i>
      <x v="471"/>
    </i>
    <i>
      <x v="174"/>
    </i>
    <i>
      <x v="611"/>
    </i>
    <i>
      <x v="607"/>
    </i>
    <i>
      <x v="177"/>
    </i>
    <i>
      <x v="462"/>
    </i>
    <i>
      <x v="912"/>
    </i>
    <i>
      <x v="930"/>
    </i>
    <i>
      <x v="527"/>
    </i>
    <i>
      <x v="597"/>
    </i>
    <i>
      <x v="778"/>
    </i>
    <i>
      <x v="692"/>
    </i>
    <i>
      <x v="194"/>
    </i>
    <i>
      <x v="49"/>
    </i>
    <i>
      <x v="211"/>
    </i>
    <i>
      <x v="496"/>
    </i>
    <i>
      <x v="78"/>
    </i>
    <i>
      <x v="599"/>
    </i>
    <i>
      <x v="50"/>
    </i>
    <i>
      <x v="287"/>
    </i>
    <i>
      <x v="222"/>
    </i>
    <i>
      <x v="176"/>
    </i>
    <i>
      <x v="709"/>
    </i>
    <i>
      <x v="802"/>
    </i>
    <i>
      <x v="894"/>
    </i>
    <i>
      <x v="960"/>
    </i>
    <i>
      <x v="645"/>
    </i>
    <i>
      <x v="288"/>
    </i>
    <i>
      <x v="809"/>
    </i>
    <i>
      <x v="845"/>
    </i>
    <i>
      <x v="267"/>
    </i>
    <i>
      <x v="103"/>
    </i>
    <i>
      <x v="927"/>
    </i>
    <i>
      <x v="800"/>
    </i>
    <i>
      <x v="102"/>
    </i>
    <i>
      <x v="94"/>
    </i>
    <i>
      <x v="30"/>
    </i>
    <i>
      <x v="508"/>
    </i>
    <i>
      <x v="225"/>
    </i>
    <i>
      <x v="602"/>
    </i>
    <i>
      <x v="928"/>
    </i>
    <i>
      <x v="182"/>
    </i>
    <i>
      <x v="608"/>
    </i>
    <i>
      <x v="750"/>
    </i>
    <i>
      <x v="589"/>
    </i>
    <i>
      <x v="243"/>
    </i>
    <i>
      <x v="262"/>
    </i>
    <i>
      <x v="473"/>
    </i>
    <i>
      <x v="444"/>
    </i>
    <i>
      <x v="316"/>
    </i>
    <i>
      <x v="593"/>
    </i>
    <i>
      <x v="111"/>
    </i>
    <i>
      <x v="302"/>
    </i>
    <i>
      <x v="452"/>
    </i>
    <i>
      <x v="801"/>
    </i>
    <i>
      <x v="342"/>
    </i>
    <i>
      <x v="603"/>
    </i>
    <i>
      <x v="5"/>
    </i>
    <i>
      <x v="520"/>
    </i>
    <i>
      <x v="660"/>
    </i>
    <i>
      <x v="934"/>
    </i>
    <i>
      <x v="855"/>
    </i>
    <i>
      <x v="160"/>
    </i>
    <i>
      <x v="469"/>
    </i>
    <i>
      <x v="956"/>
    </i>
    <i>
      <x v="457"/>
    </i>
    <i>
      <x v="431"/>
    </i>
    <i>
      <x v="468"/>
    </i>
    <i>
      <x v="332"/>
    </i>
    <i>
      <x v="56"/>
    </i>
    <i>
      <x v="419"/>
    </i>
    <i>
      <x v="876"/>
    </i>
    <i>
      <x v="659"/>
    </i>
    <i>
      <x v="688"/>
    </i>
    <i>
      <x v="448"/>
    </i>
    <i>
      <x v="553"/>
    </i>
    <i>
      <x v="501"/>
    </i>
    <i>
      <x v="175"/>
    </i>
    <i>
      <x v="203"/>
    </i>
    <i>
      <x v="162"/>
    </i>
    <i>
      <x v="434"/>
    </i>
    <i>
      <x v="694"/>
    </i>
    <i>
      <x v="221"/>
    </i>
    <i>
      <x v="60"/>
    </i>
    <i>
      <x v="534"/>
    </i>
    <i>
      <x v="430"/>
    </i>
    <i>
      <x v="458"/>
    </i>
    <i>
      <x v="441"/>
    </i>
    <i>
      <x v="888"/>
    </i>
    <i>
      <x v="289"/>
    </i>
    <i>
      <x v="702"/>
    </i>
    <i>
      <x v="110"/>
    </i>
    <i>
      <x v="443"/>
    </i>
    <i>
      <x v="962"/>
    </i>
    <i>
      <x v="353"/>
    </i>
    <i>
      <x v="668"/>
    </i>
    <i>
      <x v="528"/>
    </i>
    <i>
      <x v="749"/>
    </i>
    <i>
      <x v="768"/>
    </i>
    <i>
      <x v="355"/>
    </i>
    <i>
      <x v="343"/>
    </i>
    <i>
      <x v="868"/>
    </i>
    <i>
      <x v="816"/>
    </i>
    <i>
      <x v="223"/>
    </i>
    <i>
      <x v="425"/>
    </i>
    <i>
      <x v="548"/>
    </i>
    <i>
      <x v="459"/>
    </i>
    <i>
      <x v="161"/>
    </i>
    <i>
      <x v="871"/>
    </i>
    <i>
      <x v="731"/>
    </i>
    <i>
      <x v="300"/>
    </i>
    <i>
      <x v="138"/>
    </i>
    <i>
      <x v="822"/>
    </i>
    <i>
      <x v="274"/>
    </i>
    <i>
      <x v="913"/>
    </i>
    <i>
      <x v="62"/>
    </i>
    <i>
      <x v="357"/>
    </i>
    <i>
      <x v="436"/>
    </i>
    <i>
      <x v="522"/>
    </i>
    <i>
      <x v="427"/>
    </i>
    <i>
      <x v="492"/>
    </i>
    <i>
      <x v="897"/>
    </i>
    <i>
      <x v="195"/>
    </i>
    <i>
      <x v="843"/>
    </i>
    <i>
      <x v="873"/>
    </i>
    <i>
      <x v="466"/>
    </i>
    <i>
      <x v="456"/>
    </i>
    <i>
      <x v="461"/>
    </i>
    <i>
      <x v="739"/>
    </i>
    <i>
      <x v="171"/>
    </i>
    <i>
      <x v="326"/>
    </i>
    <i>
      <x v="797"/>
    </i>
    <i>
      <x v="226"/>
    </i>
    <i>
      <x v="413"/>
    </i>
    <i>
      <x v="552"/>
    </i>
    <i>
      <x v="442"/>
    </i>
    <i>
      <x v="560"/>
    </i>
    <i>
      <x v="293"/>
    </i>
    <i>
      <x v="455"/>
    </i>
    <i>
      <x v="172"/>
    </i>
    <i>
      <x v="720"/>
    </i>
    <i>
      <x v="741"/>
    </i>
    <i>
      <x v="663"/>
    </i>
    <i>
      <x v="3"/>
    </i>
    <i>
      <x v="23"/>
    </i>
    <i>
      <x v="29"/>
    </i>
    <i>
      <x v="869"/>
    </i>
    <i>
      <x v="846"/>
    </i>
    <i>
      <x v="344"/>
    </i>
    <i>
      <x v="173"/>
    </i>
    <i>
      <x v="776"/>
    </i>
    <i>
      <x v="495"/>
    </i>
    <i>
      <x v="859"/>
    </i>
    <i>
      <x v="470"/>
    </i>
    <i>
      <x v="877"/>
    </i>
    <i>
      <x v="632"/>
    </i>
    <i>
      <x v="494"/>
    </i>
    <i>
      <x v="856"/>
    </i>
    <i>
      <x v="521"/>
    </i>
    <i>
      <x v="109"/>
    </i>
    <i>
      <x v="181"/>
    </i>
    <i>
      <x v="476"/>
    </i>
    <i>
      <x v="665"/>
    </i>
    <i>
      <x v="544"/>
    </i>
    <i>
      <x v="666"/>
    </i>
    <i>
      <x v="202"/>
    </i>
    <i>
      <x v="467"/>
    </i>
    <i>
      <x v="301"/>
    </i>
    <i>
      <x v="710"/>
    </i>
    <i>
      <x v="829"/>
    </i>
    <i>
      <x v="727"/>
    </i>
    <i>
      <x v="747"/>
    </i>
    <i>
      <x v="545"/>
    </i>
    <i>
      <x v="475"/>
    </i>
    <i>
      <x v="219"/>
    </i>
    <i>
      <x v="463"/>
    </i>
    <i>
      <x v="292"/>
    </i>
    <i>
      <x v="306"/>
    </i>
    <i>
      <x v="298"/>
    </i>
    <i>
      <x v="875"/>
    </i>
    <i>
      <x v="220"/>
    </i>
    <i>
      <x v="155"/>
    </i>
    <i>
      <x v="487"/>
    </i>
    <i>
      <x v="730"/>
    </i>
    <i>
      <x v="559"/>
    </i>
    <i>
      <x v="614"/>
    </i>
    <i>
      <x v="785"/>
    </i>
    <i>
      <x v="200"/>
    </i>
    <i>
      <x v="196"/>
    </i>
    <i>
      <x v="371"/>
    </i>
    <i>
      <x v="47"/>
    </i>
    <i>
      <x v="201"/>
    </i>
    <i>
      <x v="662"/>
    </i>
    <i>
      <x v="844"/>
    </i>
    <i>
      <x v="798"/>
    </i>
    <i>
      <x v="938"/>
    </i>
    <i>
      <x v="635"/>
    </i>
    <i>
      <x v="755"/>
    </i>
    <i>
      <x v="970"/>
    </i>
    <i>
      <x v="634"/>
    </i>
    <i>
      <x v="683"/>
    </i>
    <i>
      <x v="449"/>
    </i>
    <i>
      <x v="556"/>
    </i>
    <i>
      <x v="711"/>
    </i>
    <i>
      <x v="633"/>
    </i>
    <i>
      <x v="748"/>
    </i>
    <i>
      <x v="51"/>
    </i>
    <i>
      <x v="893"/>
    </i>
    <i>
      <x v="311"/>
    </i>
    <i>
      <x v="784"/>
    </i>
    <i>
      <x v="703"/>
    </i>
    <i>
      <x v="159"/>
    </i>
    <i>
      <x v="283"/>
    </i>
    <i>
      <x v="664"/>
    </i>
    <i>
      <x v="325"/>
    </i>
    <i>
      <x v="874"/>
    </i>
    <i>
      <x v="154"/>
    </i>
    <i>
      <x v="647"/>
    </i>
    <i>
      <x v="145"/>
    </i>
    <i>
      <x v="648"/>
    </i>
    <i>
      <x v="937"/>
    </i>
    <i>
      <x v="828"/>
    </i>
    <i>
      <x v="751"/>
    </i>
    <i>
      <x v="157"/>
    </i>
    <i>
      <x v="426"/>
    </i>
    <i>
      <x v="637"/>
    </i>
    <i>
      <x v="726"/>
    </i>
    <i>
      <x v="65"/>
    </i>
    <i>
      <x v="941"/>
    </i>
    <i>
      <x v="836"/>
    </i>
    <i>
      <x v="164"/>
    </i>
    <i>
      <x v="817"/>
    </i>
    <i>
      <x v="385"/>
    </i>
    <i>
      <x v="238"/>
    </i>
    <i>
      <x v="672"/>
    </i>
    <i>
      <x v="233"/>
    </i>
    <i>
      <x v="197"/>
    </i>
    <i>
      <x v="640"/>
    </i>
    <i>
      <x v="406"/>
    </i>
    <i>
      <x v="939"/>
    </i>
    <i>
      <x v="235"/>
    </i>
    <i>
      <x v="480"/>
    </i>
    <i>
      <x v="207"/>
    </i>
    <i>
      <x v="80"/>
    </i>
    <i>
      <x v="58"/>
    </i>
    <i>
      <x v="782"/>
    </i>
    <i>
      <x v="230"/>
    </i>
    <i>
      <x v="725"/>
    </i>
    <i>
      <x v="141"/>
    </i>
    <i>
      <x v="641"/>
    </i>
    <i>
      <x v="732"/>
    </i>
    <i>
      <x v="922"/>
    </i>
    <i>
      <x v="415"/>
    </i>
    <i>
      <x v="761"/>
    </i>
    <i>
      <x v="932"/>
    </i>
    <i>
      <x v="649"/>
    </i>
    <i>
      <x v="350"/>
    </i>
    <i>
      <x v="882"/>
    </i>
    <i>
      <x v="642"/>
    </i>
    <i>
      <x v="936"/>
    </i>
    <i>
      <x v="139"/>
    </i>
    <i>
      <x v="825"/>
    </i>
    <i>
      <x v="831"/>
    </i>
    <i>
      <x v="384"/>
    </i>
    <i>
      <x v="136"/>
    </i>
    <i>
      <x v="55"/>
    </i>
    <i>
      <x v="246"/>
    </i>
    <i>
      <x v="237"/>
    </i>
    <i>
      <x v="53"/>
    </i>
    <i>
      <x v="99"/>
    </i>
    <i>
      <x v="42"/>
    </i>
    <i>
      <x v="98"/>
    </i>
    <i>
      <x v="258"/>
    </i>
    <i>
      <x v="352"/>
    </i>
    <i>
      <x v="935"/>
    </i>
    <i>
      <x v="231"/>
    </i>
    <i>
      <x v="933"/>
    </i>
    <i>
      <x v="372"/>
    </i>
    <i>
      <x v="148"/>
    </i>
    <i>
      <x v="890"/>
    </i>
    <i>
      <x v="348"/>
    </i>
    <i>
      <x v="576"/>
    </i>
    <i>
      <x v="758"/>
    </i>
    <i>
      <x v="719"/>
    </i>
    <i>
      <x v="899"/>
    </i>
    <i>
      <x v="236"/>
    </i>
    <i>
      <x v="615"/>
    </i>
    <i>
      <x v="489"/>
    </i>
    <i>
      <x v="247"/>
    </i>
    <i>
      <x v="965"/>
    </i>
    <i>
      <x v="685"/>
    </i>
    <i>
      <x v="394"/>
    </i>
    <i>
      <x v="858"/>
    </i>
    <i>
      <x v="186"/>
    </i>
    <i>
      <x v="940"/>
    </i>
    <i>
      <x v="52"/>
    </i>
    <i>
      <x v="653"/>
    </i>
    <i>
      <x v="713"/>
    </i>
    <i>
      <x/>
    </i>
    <i>
      <x v="359"/>
    </i>
    <i>
      <x v="81"/>
    </i>
    <i>
      <x v="708"/>
    </i>
    <i>
      <x v="706"/>
    </i>
    <i>
      <x v="71"/>
    </i>
    <i>
      <x v="656"/>
    </i>
    <i>
      <x v="837"/>
    </i>
    <i>
      <x v="317"/>
    </i>
    <i>
      <x v="411"/>
    </i>
    <i>
      <x v="337"/>
    </i>
    <i>
      <x v="781"/>
    </i>
    <i>
      <x v="847"/>
    </i>
    <i>
      <x v="622"/>
    </i>
    <i>
      <x v="707"/>
    </i>
    <i>
      <x v="377"/>
    </i>
    <i>
      <x v="655"/>
    </i>
    <i>
      <x v="901"/>
    </i>
    <i>
      <x v="832"/>
    </i>
    <i>
      <x v="214"/>
    </i>
    <i>
      <x v="848"/>
    </i>
    <i>
      <x v="639"/>
    </i>
    <i>
      <x v="625"/>
    </i>
    <i>
      <x v="156"/>
    </i>
    <i>
      <x v="881"/>
    </i>
    <i>
      <x v="889"/>
    </i>
    <i>
      <x v="654"/>
    </i>
    <i>
      <x v="821"/>
    </i>
    <i>
      <x v="736"/>
    </i>
    <i>
      <x v="558"/>
    </i>
    <i>
      <x v="567"/>
    </i>
    <i>
      <x v="307"/>
    </i>
    <i>
      <x v="151"/>
    </i>
    <i>
      <x v="345"/>
    </i>
    <i>
      <x v="400"/>
    </i>
    <i>
      <x v="657"/>
    </i>
    <i>
      <x v="227"/>
    </i>
    <i>
      <x v="1"/>
    </i>
    <i>
      <x v="64"/>
    </i>
    <i>
      <x v="210"/>
    </i>
    <i>
      <x v="715"/>
    </i>
    <i>
      <x v="408"/>
    </i>
    <i>
      <x v="365"/>
    </i>
    <i>
      <x v="714"/>
    </i>
    <i>
      <x v="407"/>
    </i>
    <i>
      <x v="74"/>
    </i>
    <i>
      <x v="716"/>
    </i>
    <i>
      <x v="661"/>
    </i>
    <i>
      <x v="753"/>
    </i>
    <i>
      <x v="149"/>
    </i>
    <i>
      <x v="185"/>
    </i>
    <i>
      <x v="783"/>
    </i>
    <i>
      <x v="977"/>
    </i>
    <i>
      <x v="132"/>
    </i>
    <i>
      <x v="646"/>
    </i>
    <i>
      <x v="428"/>
    </i>
    <i>
      <x v="819"/>
    </i>
    <i>
      <x v="150"/>
    </i>
    <i>
      <x v="752"/>
    </i>
    <i>
      <x v="867"/>
    </i>
    <i>
      <x v="369"/>
    </i>
    <i>
      <x v="721"/>
    </i>
    <i>
      <x v="187"/>
    </i>
    <i>
      <x v="390"/>
    </i>
    <i>
      <x v="830"/>
    </i>
    <i>
      <x v="570"/>
    </i>
    <i>
      <x v="850"/>
    </i>
    <i>
      <x v="68"/>
    </i>
    <i>
      <x v="368"/>
    </i>
    <i>
      <x v="165"/>
    </i>
    <i>
      <x v="295"/>
    </i>
    <i>
      <x v="574"/>
    </i>
    <i>
      <x v="248"/>
    </i>
    <i>
      <x v="658"/>
    </i>
    <i>
      <x v="213"/>
    </i>
    <i>
      <x v="404"/>
    </i>
    <i>
      <x v="879"/>
    </i>
    <i>
      <x v="97"/>
    </i>
    <i>
      <x v="852"/>
    </i>
    <i>
      <x v="723"/>
    </i>
    <i>
      <x v="70"/>
    </i>
    <i>
      <x v="184"/>
    </i>
    <i>
      <x v="402"/>
    </i>
    <i>
      <x v="892"/>
    </i>
    <i>
      <x v="376"/>
    </i>
    <i>
      <x v="679"/>
    </i>
    <i>
      <x v="168"/>
    </i>
    <i>
      <x v="763"/>
    </i>
    <i>
      <x v="686"/>
    </i>
    <i>
      <x v="152"/>
    </i>
    <i>
      <x v="89"/>
    </i>
    <i>
      <x v="256"/>
    </i>
    <i>
      <x v="841"/>
    </i>
    <i>
      <x v="900"/>
    </i>
    <i>
      <x v="340"/>
    </i>
    <i>
      <x v="118"/>
    </i>
    <i>
      <x v="864"/>
    </i>
    <i>
      <x v="374"/>
    </i>
    <i>
      <x v="351"/>
    </i>
    <i>
      <x v="651"/>
    </i>
    <i>
      <x v="280"/>
    </i>
    <i>
      <x v="403"/>
    </i>
    <i>
      <x v="885"/>
    </i>
    <i>
      <x v="826"/>
    </i>
    <i>
      <x v="241"/>
    </i>
    <i>
      <x v="72"/>
    </i>
    <i>
      <x v="61"/>
    </i>
    <i>
      <x v="902"/>
    </i>
    <i>
      <x v="170"/>
    </i>
    <i>
      <x v="572"/>
    </i>
    <i>
      <x v="617"/>
    </i>
    <i>
      <x v="76"/>
    </i>
    <i>
      <x v="644"/>
    </i>
    <i>
      <x v="961"/>
    </i>
    <i>
      <x v="108"/>
    </i>
    <i>
      <x v="849"/>
    </i>
    <i>
      <x v="308"/>
    </i>
    <i>
      <x v="698"/>
    </i>
    <i>
      <x v="405"/>
    </i>
    <i>
      <x v="234"/>
    </i>
    <i>
      <x v="670"/>
    </i>
    <i>
      <x v="401"/>
    </i>
    <i>
      <x v="652"/>
    </i>
    <i>
      <x v="364"/>
    </i>
    <i>
      <x v="273"/>
    </i>
    <i>
      <x v="212"/>
    </i>
    <i>
      <x v="792"/>
    </i>
    <i>
      <x v="69"/>
    </i>
    <i>
      <x v="88"/>
    </i>
    <i>
      <x v="90"/>
    </i>
    <i>
      <x v="383"/>
    </i>
    <i>
      <x v="971"/>
    </i>
    <i>
      <x v="215"/>
    </i>
    <i>
      <x v="75"/>
    </i>
    <i>
      <x v="296"/>
    </i>
    <i>
      <x v="969"/>
    </i>
    <i>
      <x v="107"/>
    </i>
    <i>
      <x v="366"/>
    </i>
    <i>
      <x v="791"/>
    </i>
    <i>
      <x v="397"/>
    </i>
    <i>
      <x v="206"/>
    </i>
    <i>
      <x v="338"/>
    </i>
    <i>
      <x v="562"/>
    </i>
    <i>
      <x v="96"/>
    </i>
    <i>
      <x v="745"/>
    </i>
    <i>
      <x v="862"/>
    </i>
    <i>
      <x v="135"/>
    </i>
    <i>
      <x v="766"/>
    </i>
    <i>
      <x v="142"/>
    </i>
    <i>
      <x v="63"/>
    </i>
    <i>
      <x v="216"/>
    </i>
    <i>
      <x v="125"/>
    </i>
    <i>
      <x v="626"/>
    </i>
    <i>
      <x v="794"/>
    </i>
    <i>
      <x v="131"/>
    </i>
    <i>
      <x v="128"/>
    </i>
    <i>
      <x v="820"/>
    </i>
    <i>
      <x v="975"/>
    </i>
    <i>
      <x v="191"/>
    </i>
    <i>
      <x v="613"/>
    </i>
    <i>
      <x v="884"/>
    </i>
    <i>
      <x v="320"/>
    </i>
    <i>
      <x v="687"/>
    </i>
    <i>
      <x v="963"/>
    </i>
    <i>
      <x v="573"/>
    </i>
    <i>
      <x v="795"/>
    </i>
    <i>
      <x v="973"/>
    </i>
    <i>
      <x v="968"/>
    </i>
    <i>
      <x v="695"/>
    </i>
    <i>
      <x v="129"/>
    </i>
    <i>
      <x v="190"/>
    </i>
    <i>
      <x v="628"/>
    </i>
    <i>
      <x v="382"/>
    </i>
    <i>
      <x v="629"/>
    </i>
    <i>
      <x v="906"/>
    </i>
    <i>
      <x v="796"/>
    </i>
    <i>
      <x v="568"/>
    </i>
    <i>
      <x v="618"/>
    </i>
    <i>
      <x v="967"/>
    </i>
    <i>
      <x v="329"/>
    </i>
    <i>
      <x v="680"/>
    </i>
    <i>
      <x v="765"/>
    </i>
    <i>
      <x v="857"/>
    </i>
    <i>
      <x v="689"/>
    </i>
    <i>
      <x v="119"/>
    </i>
    <i>
      <x v="722"/>
    </i>
    <i>
      <x v="82"/>
    </i>
    <i>
      <x v="931"/>
    </i>
    <i>
      <x v="272"/>
    </i>
    <i>
      <x v="728"/>
    </i>
    <i>
      <x v="581"/>
    </i>
    <i>
      <x v="760"/>
    </i>
    <i>
      <x v="339"/>
    </i>
    <i>
      <x v="824"/>
    </i>
    <i>
      <x v="699"/>
    </i>
    <i>
      <x v="398"/>
    </i>
    <i>
      <x v="122"/>
    </i>
    <i>
      <x v="322"/>
    </i>
    <i>
      <x v="327"/>
    </i>
    <i>
      <x v="124"/>
    </i>
    <i>
      <x v="117"/>
    </i>
    <i>
      <x v="120"/>
    </i>
    <i>
      <x v="127"/>
    </i>
    <i>
      <x v="367"/>
    </i>
    <i>
      <x v="126"/>
    </i>
    <i>
      <x v="638"/>
    </i>
    <i>
      <x v="140"/>
    </i>
    <i>
      <x v="137"/>
    </i>
    <i>
      <x v="123"/>
    </i>
    <i>
      <x v="674"/>
    </i>
    <i>
      <x v="381"/>
    </i>
    <i>
      <x v="878"/>
    </i>
    <i>
      <x v="488"/>
    </i>
    <i>
      <x v="851"/>
    </i>
    <i>
      <x v="872"/>
    </i>
    <i>
      <x v="358"/>
    </i>
    <i>
      <x v="759"/>
    </i>
    <i>
      <x v="121"/>
    </i>
    <i>
      <x v="678"/>
    </i>
    <i>
      <x v="412"/>
    </i>
    <i>
      <x v="861"/>
    </i>
    <i>
      <x v="113"/>
    </i>
    <i>
      <x v="399"/>
    </i>
    <i>
      <x v="542"/>
    </i>
    <i>
      <x v="887"/>
    </i>
    <i>
      <x v="818"/>
    </i>
    <i>
      <x v="144"/>
    </i>
    <i>
      <x v="282"/>
    </i>
    <i>
      <x v="278"/>
    </i>
    <i>
      <x v="566"/>
    </i>
    <i>
      <x v="54"/>
    </i>
    <i>
      <x v="279"/>
    </i>
    <i>
      <x v="681"/>
    </i>
    <i>
      <x v="378"/>
    </i>
    <i>
      <x v="336"/>
    </i>
    <i>
      <x v="2"/>
    </i>
    <i>
      <x v="898"/>
    </i>
    <i>
      <x v="26"/>
    </i>
    <i>
      <x v="676"/>
    </i>
    <i>
      <x v="485"/>
    </i>
    <i>
      <x v="565"/>
    </i>
    <i>
      <x v="198"/>
    </i>
    <i>
      <x v="388"/>
    </i>
    <i>
      <x v="240"/>
    </i>
    <i>
      <x v="737"/>
    </i>
    <i>
      <x v="575"/>
    </i>
    <i>
      <x v="746"/>
    </i>
    <i>
      <x v="414"/>
    </i>
    <i>
      <x v="669"/>
    </i>
    <i>
      <x v="146"/>
    </i>
    <i>
      <x v="636"/>
    </i>
    <i>
      <x v="627"/>
    </i>
    <i>
      <x v="318"/>
    </i>
    <i>
      <x v="756"/>
    </i>
    <i>
      <x v="153"/>
    </i>
    <i>
      <x v="564"/>
    </i>
    <i>
      <x v="958"/>
    </i>
    <i>
      <x v="321"/>
    </i>
    <i>
      <x v="188"/>
    </i>
    <i>
      <x v="673"/>
    </i>
    <i>
      <x v="379"/>
    </i>
    <i>
      <x v="839"/>
    </i>
    <i>
      <x v="907"/>
    </i>
    <i>
      <x v="277"/>
    </i>
    <i>
      <x v="375"/>
    </i>
    <i>
      <x v="667"/>
    </i>
    <i>
      <x v="409"/>
    </i>
    <i>
      <x v="643"/>
    </i>
    <i>
      <x v="926"/>
    </i>
    <i>
      <x v="772"/>
    </i>
    <i>
      <x v="360"/>
    </i>
    <i>
      <x v="91"/>
    </i>
    <i>
      <x v="41"/>
    </i>
    <i>
      <x v="619"/>
    </i>
    <i>
      <x v="696"/>
    </i>
    <i>
      <x v="147"/>
    </i>
    <i>
      <x v="361"/>
    </i>
    <i>
      <x v="863"/>
    </i>
    <i>
      <x v="363"/>
    </i>
    <i>
      <x v="964"/>
    </i>
    <i>
      <x v="697"/>
    </i>
    <i>
      <x v="362"/>
    </i>
    <i>
      <x v="130"/>
    </i>
    <i>
      <x v="395"/>
    </i>
    <i>
      <x v="880"/>
    </i>
    <i>
      <x v="754"/>
    </i>
    <i>
      <x v="790"/>
    </i>
    <i>
      <x v="740"/>
    </i>
    <i>
      <x v="115"/>
    </i>
    <i>
      <x v="112"/>
    </i>
    <i>
      <x v="903"/>
    </i>
    <i>
      <x v="199"/>
    </i>
    <i>
      <x v="114"/>
    </i>
    <i>
      <x v="677"/>
    </i>
    <i>
      <x v="389"/>
    </i>
    <i>
      <x v="976"/>
    </i>
    <i>
      <x v="349"/>
    </i>
    <i>
      <x v="116"/>
    </i>
    <i>
      <x v="612"/>
    </i>
    <i>
      <x v="621"/>
    </i>
    <i>
      <x v="883"/>
    </i>
    <i>
      <x v="380"/>
    </i>
    <i>
      <x v="143"/>
    </i>
    <i>
      <x v="255"/>
    </i>
    <i>
      <x v="671"/>
    </i>
    <i>
      <x v="762"/>
    </i>
    <i>
      <x v="386"/>
    </i>
    <i>
      <x v="896"/>
    </i>
    <i>
      <x v="886"/>
    </i>
    <i>
      <x v="972"/>
    </i>
    <i>
      <x v="370"/>
    </i>
    <i>
      <x v="410"/>
    </i>
    <i>
      <x v="620"/>
    </i>
    <i>
      <x v="757"/>
    </i>
    <i>
      <x v="908"/>
    </i>
    <i>
      <x v="373"/>
    </i>
    <i>
      <x v="675"/>
    </i>
    <i>
      <x v="330"/>
    </i>
    <i>
      <x v="582"/>
    </i>
    <i>
      <x v="257"/>
    </i>
    <i>
      <x v="690"/>
    </i>
    <i>
      <x v="793"/>
    </i>
    <i>
      <x v="387"/>
    </i>
    <i>
      <x v="735"/>
    </i>
    <i>
      <x v="396"/>
    </i>
    <i>
      <x v="391"/>
    </i>
    <i>
      <x v="704"/>
    </i>
    <i>
      <x v="684"/>
    </i>
    <i>
      <x v="905"/>
    </i>
    <i>
      <x v="705"/>
    </i>
    <i>
      <x v="569"/>
    </i>
    <i>
      <x v="319"/>
    </i>
    <i>
      <x v="229"/>
    </i>
    <i t="grand">
      <x/>
    </i>
  </rowItems>
  <colItems count="1">
    <i/>
  </colItems>
  <dataFields count="1">
    <dataField name="Sum of Likes" fld="3" baseField="0" baseItem="0" numFmtId="2"/>
  </dataFields>
  <formats count="1">
    <format dxfId="1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710BF-38C4-4513-A652-DF356780E58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2" firstHeaderRow="1" firstDataRow="1" firstDataCol="1"/>
  <pivotFields count="16">
    <pivotField axis="axisRow" showAll="0" sortType="descending">
      <items count="979">
        <item x="1"/>
        <item x="4"/>
        <item x="134"/>
        <item x="482"/>
        <item x="258"/>
        <item x="62"/>
        <item x="222"/>
        <item x="508"/>
        <item x="475"/>
        <item x="194"/>
        <item x="99"/>
        <item x="144"/>
        <item x="118"/>
        <item x="155"/>
        <item x="44"/>
        <item x="141"/>
        <item x="407"/>
        <item x="61"/>
        <item x="199"/>
        <item x="219"/>
        <item x="809"/>
        <item x="794"/>
        <item x="469"/>
        <item x="483"/>
        <item x="178"/>
        <item x="180"/>
        <item x="672"/>
        <item x="82"/>
        <item x="94"/>
        <item x="263"/>
        <item x="323"/>
        <item x="366"/>
        <item x="843"/>
        <item x="645"/>
        <item x="647"/>
        <item x="96"/>
        <item x="277"/>
        <item x="511"/>
        <item x="643"/>
        <item x="642"/>
        <item x="901"/>
        <item x="633"/>
        <item x="65"/>
        <item x="410"/>
        <item x="548"/>
        <item x="437"/>
        <item x="414"/>
        <item x="658"/>
        <item x="502"/>
        <item x="510"/>
        <item x="415"/>
        <item x="127"/>
        <item x="243"/>
        <item x="75"/>
        <item x="569"/>
        <item x="662"/>
        <item x="6"/>
        <item x="376"/>
        <item x="47"/>
        <item x="888"/>
        <item x="712"/>
        <item x="90"/>
        <item x="124"/>
        <item x="79"/>
        <item x="693"/>
        <item x="661"/>
        <item x="708"/>
        <item x="478"/>
        <item x="7"/>
        <item x="526"/>
        <item x="598"/>
        <item x="666"/>
        <item x="698"/>
        <item x="184"/>
        <item x="525"/>
        <item x="595"/>
        <item x="11"/>
        <item x="379"/>
        <item x="586"/>
        <item x="372"/>
        <item x="107"/>
        <item x="296"/>
        <item x="571"/>
        <item x="474"/>
        <item x="98"/>
        <item x="160"/>
        <item x="261"/>
        <item x="221"/>
        <item x="833"/>
        <item x="109"/>
        <item x="892"/>
        <item x="496"/>
        <item x="500"/>
        <item x="305"/>
        <item x="319"/>
        <item x="198"/>
        <item x="596"/>
        <item x="830"/>
        <item x="128"/>
        <item x="244"/>
        <item x="216"/>
        <item x="233"/>
        <item x="585"/>
        <item x="781"/>
        <item x="841"/>
        <item x="876"/>
        <item x="255"/>
        <item x="935"/>
        <item x="212"/>
        <item x="238"/>
        <item x="860"/>
        <item x="322"/>
        <item x="497"/>
        <item x="574"/>
        <item x="602"/>
        <item x="924"/>
        <item x="529"/>
        <item x="330"/>
        <item x="34"/>
        <item x="427"/>
        <item x="632"/>
        <item x="599"/>
        <item x="791"/>
        <item x="631"/>
        <item x="747"/>
        <item x="720"/>
        <item x="871"/>
        <item x="152"/>
        <item x="834"/>
        <item x="393"/>
        <item x="851"/>
        <item x="273"/>
        <item x="914"/>
        <item x="161"/>
        <item x="224"/>
        <item x="629"/>
        <item x="882"/>
        <item x="699"/>
        <item x="163"/>
        <item x="453"/>
        <item x="971"/>
        <item x="209"/>
        <item x="972"/>
        <item x="917"/>
        <item x="678"/>
        <item x="292"/>
        <item x="793"/>
        <item x="302"/>
        <item x="742"/>
        <item x="915"/>
        <item x="130"/>
        <item x="941"/>
        <item x="329"/>
        <item x="750"/>
        <item x="357"/>
        <item x="562"/>
        <item x="77"/>
        <item x="0"/>
        <item x="680"/>
        <item x="291"/>
        <item x="480"/>
        <item x="39"/>
        <item x="587"/>
        <item x="533"/>
        <item x="522"/>
        <item x="788"/>
        <item x="195"/>
        <item x="434"/>
        <item x="930"/>
        <item x="162"/>
        <item x="132"/>
        <item x="588"/>
        <item x="655"/>
        <item x="688"/>
        <item x="583"/>
        <item x="889"/>
        <item x="416"/>
        <item x="100"/>
        <item x="142"/>
        <item x="229"/>
        <item x="433"/>
        <item x="149"/>
        <item x="553"/>
        <item x="499"/>
        <item x="108"/>
        <item x="48"/>
        <item x="66"/>
        <item x="33"/>
        <item x="31"/>
        <item x="381"/>
        <item x="35"/>
        <item x="458"/>
        <item x="59"/>
        <item x="304"/>
        <item x="442"/>
        <item x="350"/>
        <item x="449"/>
        <item x="563"/>
        <item x="394"/>
        <item x="113"/>
        <item x="657"/>
        <item x="827"/>
        <item x="561"/>
        <item x="845"/>
        <item x="938"/>
        <item x="962"/>
        <item x="695"/>
        <item x="926"/>
        <item x="278"/>
        <item x="95"/>
        <item x="456"/>
        <item x="584"/>
        <item x="491"/>
        <item x="392"/>
        <item x="64"/>
        <item x="744"/>
        <item x="334"/>
        <item x="317"/>
        <item x="252"/>
        <item x="867"/>
        <item x="714"/>
        <item x="798"/>
        <item x="515"/>
        <item x="620"/>
        <item x="756"/>
        <item x="236"/>
        <item x="763"/>
        <item x="168"/>
        <item x="193"/>
        <item x="167"/>
        <item x="359"/>
        <item x="627"/>
        <item x="615"/>
        <item x="266"/>
        <item x="969"/>
        <item x="386"/>
        <item x="628"/>
        <item x="566"/>
        <item x="293"/>
        <item x="706"/>
        <item x="365"/>
        <item x="848"/>
        <item x="505"/>
        <item x="320"/>
        <item x="156"/>
        <item x="339"/>
        <item x="23"/>
        <item x="677"/>
        <item x="792"/>
        <item x="346"/>
        <item x="256"/>
        <item x="257"/>
        <item x="60"/>
        <item x="97"/>
        <item x="540"/>
        <item x="301"/>
        <item x="151"/>
        <item x="670"/>
        <item x="592"/>
        <item x="893"/>
        <item x="404"/>
        <item x="371"/>
        <item x="861"/>
        <item x="196"/>
        <item x="470"/>
        <item x="406"/>
        <item x="342"/>
        <item x="185"/>
        <item x="303"/>
        <item x="181"/>
        <item x="581"/>
        <item x="312"/>
        <item x="667"/>
        <item x="849"/>
        <item x="654"/>
        <item x="607"/>
        <item x="138"/>
        <item x="726"/>
        <item x="364"/>
        <item x="431"/>
        <item x="457"/>
        <item x="402"/>
        <item x="9"/>
        <item x="590"/>
        <item x="552"/>
        <item x="731"/>
        <item x="441"/>
        <item x="711"/>
        <item x="858"/>
        <item x="481"/>
        <item x="732"/>
        <item x="120"/>
        <item x="898"/>
        <item x="484"/>
        <item x="839"/>
        <item x="425"/>
        <item x="837"/>
        <item x="751"/>
        <item x="767"/>
        <item x="727"/>
        <item x="824"/>
        <item x="866"/>
        <item x="823"/>
        <item x="854"/>
        <item x="820"/>
        <item x="752"/>
        <item x="448"/>
        <item x="30"/>
        <item x="391"/>
        <item x="840"/>
        <item x="145"/>
        <item x="977"/>
        <item x="37"/>
        <item x="117"/>
        <item x="321"/>
        <item x="182"/>
        <item x="54"/>
        <item x="955"/>
        <item x="637"/>
        <item x="881"/>
        <item x="298"/>
        <item x="460"/>
        <item x="133"/>
        <item x="45"/>
        <item x="38"/>
        <item x="804"/>
        <item x="589"/>
        <item x="748"/>
        <item x="370"/>
        <item x="191"/>
        <item x="954"/>
        <item x="179"/>
        <item x="287"/>
        <item x="230"/>
        <item x="280"/>
        <item x="314"/>
        <item x="702"/>
        <item x="743"/>
        <item x="968"/>
        <item x="890"/>
        <item x="916"/>
        <item x="53"/>
        <item x="63"/>
        <item x="765"/>
        <item x="188"/>
        <item x="664"/>
        <item x="537"/>
        <item x="536"/>
        <item x="956"/>
        <item x="635"/>
        <item x="828"/>
        <item x="960"/>
        <item x="770"/>
        <item x="351"/>
        <item x="337"/>
        <item x="863"/>
        <item x="435"/>
        <item x="862"/>
        <item x="567"/>
        <item x="626"/>
        <item x="950"/>
        <item x="572"/>
        <item x="700"/>
        <item x="777"/>
        <item x="267"/>
        <item x="565"/>
        <item x="690"/>
        <item x="774"/>
        <item x="957"/>
        <item x="270"/>
        <item x="873"/>
        <item x="385"/>
        <item x="805"/>
        <item x="746"/>
        <item x="847"/>
        <item x="807"/>
        <item x="922"/>
        <item x="868"/>
        <item x="603"/>
        <item x="432"/>
        <item x="600"/>
        <item x="850"/>
        <item x="773"/>
        <item x="745"/>
        <item x="591"/>
        <item x="902"/>
        <item x="630"/>
        <item x="891"/>
        <item x="498"/>
        <item x="570"/>
        <item x="716"/>
        <item x="723"/>
        <item x="464"/>
        <item x="509"/>
        <item x="452"/>
        <item x="495"/>
        <item x="153"/>
        <item x="852"/>
        <item x="906"/>
        <item x="668"/>
        <item x="269"/>
        <item x="214"/>
        <item x="905"/>
        <item x="832"/>
        <item x="884"/>
        <item x="919"/>
        <item x="829"/>
        <item x="489"/>
        <item x="692"/>
        <item x="953"/>
        <item x="175"/>
        <item x="597"/>
        <item x="966"/>
        <item x="764"/>
        <item x="673"/>
        <item x="451"/>
        <item x="57"/>
        <item x="58"/>
        <item x="467"/>
        <item x="619"/>
        <item x="85"/>
        <item x="307"/>
        <item x="226"/>
        <item x="681"/>
        <item x="575"/>
        <item x="235"/>
        <item x="164"/>
        <item x="383"/>
        <item x="694"/>
        <item x="159"/>
        <item x="761"/>
        <item x="738"/>
        <item x="311"/>
        <item x="684"/>
        <item x="737"/>
        <item x="886"/>
        <item x="801"/>
        <item x="71"/>
        <item x="443"/>
        <item x="544"/>
        <item x="200"/>
        <item x="558"/>
        <item x="739"/>
        <item x="186"/>
        <item x="556"/>
        <item x="547"/>
        <item x="606"/>
        <item x="638"/>
        <item x="782"/>
        <item x="420"/>
        <item x="819"/>
        <item x="367"/>
        <item x="87"/>
        <item x="895"/>
        <item x="318"/>
        <item x="932"/>
        <item x="931"/>
        <item x="880"/>
        <item x="940"/>
        <item x="921"/>
        <item x="479"/>
        <item x="964"/>
        <item x="514"/>
        <item x="289"/>
        <item x="639"/>
        <item x="951"/>
        <item x="713"/>
        <item x="826"/>
        <item x="618"/>
        <item x="939"/>
        <item x="355"/>
        <item x="234"/>
        <item x="340"/>
        <item x="555"/>
        <item x="644"/>
        <item x="846"/>
        <item x="802"/>
        <item x="730"/>
        <item x="549"/>
        <item x="908"/>
        <item x="625"/>
        <item x="471"/>
        <item x="121"/>
        <item x="227"/>
        <item x="306"/>
        <item x="494"/>
        <item x="374"/>
        <item x="88"/>
        <item x="114"/>
        <item x="454"/>
        <item x="345"/>
        <item x="285"/>
        <item x="262"/>
        <item x="70"/>
        <item x="187"/>
        <item x="959"/>
        <item x="19"/>
        <item x="900"/>
        <item x="72"/>
        <item x="282"/>
        <item x="814"/>
        <item x="517"/>
        <item x="513"/>
        <item x="476"/>
        <item x="705"/>
        <item x="609"/>
        <item x="347"/>
        <item x="947"/>
        <item x="617"/>
        <item x="812"/>
        <item x="816"/>
        <item x="43"/>
        <item x="50"/>
        <item x="51"/>
        <item x="754"/>
        <item x="343"/>
        <item x="753"/>
        <item x="369"/>
        <item x="102"/>
        <item x="755"/>
        <item x="735"/>
        <item x="803"/>
        <item x="800"/>
        <item x="545"/>
        <item x="503"/>
        <item x="473"/>
        <item x="687"/>
        <item x="796"/>
        <item x="418"/>
        <item x="254"/>
        <item x="608"/>
        <item x="197"/>
        <item x="543"/>
        <item x="887"/>
        <item x="799"/>
        <item x="728"/>
        <item x="650"/>
        <item x="440"/>
        <item x="811"/>
        <item x="375"/>
        <item x="541"/>
        <item x="683"/>
        <item x="531"/>
        <item x="534"/>
        <item x="204"/>
        <item x="865"/>
        <item x="276"/>
        <item x="709"/>
        <item x="353"/>
        <item x="377"/>
        <item x="577"/>
        <item x="604"/>
        <item x="126"/>
        <item x="656"/>
        <item x="610"/>
        <item x="842"/>
        <item x="660"/>
        <item x="119"/>
        <item x="190"/>
        <item x="40"/>
        <item x="766"/>
        <item x="760"/>
        <item x="14"/>
        <item x="507"/>
        <item x="674"/>
        <item x="970"/>
        <item x="333"/>
        <item x="268"/>
        <item x="395"/>
        <item x="907"/>
        <item x="918"/>
        <item x="344"/>
        <item x="663"/>
        <item x="275"/>
        <item x="488"/>
        <item x="527"/>
        <item x="210"/>
        <item x="232"/>
        <item x="148"/>
        <item x="36"/>
        <item x="281"/>
        <item x="872"/>
        <item x="808"/>
        <item x="283"/>
        <item x="83"/>
        <item x="338"/>
        <item x="368"/>
        <item x="506"/>
        <item x="542"/>
        <item x="759"/>
        <item x="403"/>
        <item x="686"/>
        <item x="550"/>
        <item x="733"/>
        <item x="646"/>
        <item x="894"/>
        <item x="817"/>
        <item x="710"/>
        <item x="612"/>
        <item x="758"/>
        <item x="259"/>
        <item x="925"/>
        <item x="797"/>
        <item x="844"/>
        <item x="378"/>
        <item x="778"/>
        <item x="648"/>
        <item x="477"/>
        <item x="512"/>
        <item x="468"/>
        <item x="707"/>
        <item x="821"/>
        <item x="56"/>
        <item x="853"/>
        <item x="205"/>
        <item x="786"/>
        <item x="201"/>
        <item x="904"/>
        <item x="838"/>
        <item x="15"/>
        <item x="675"/>
        <item x="636"/>
        <item x="787"/>
        <item x="551"/>
        <item x="795"/>
        <item x="360"/>
        <item x="300"/>
        <item x="172"/>
        <item x="835"/>
        <item x="665"/>
        <item x="877"/>
        <item x="140"/>
        <item x="125"/>
        <item x="768"/>
        <item x="623"/>
        <item x="928"/>
        <item x="461"/>
        <item x="55"/>
        <item x="249"/>
        <item x="903"/>
        <item x="715"/>
        <item x="208"/>
        <item x="717"/>
        <item x="22"/>
        <item x="80"/>
        <item x="651"/>
        <item x="29"/>
        <item x="165"/>
        <item x="485"/>
        <item x="771"/>
        <item x="679"/>
        <item x="328"/>
        <item x="13"/>
        <item x="390"/>
        <item x="944"/>
        <item x="949"/>
        <item x="213"/>
        <item x="490"/>
        <item x="110"/>
        <item x="382"/>
        <item x="86"/>
        <item x="297"/>
        <item x="265"/>
        <item x="560"/>
        <item x="32"/>
        <item x="105"/>
        <item x="384"/>
        <item x="112"/>
        <item x="237"/>
        <item x="429"/>
        <item x="78"/>
        <item x="836"/>
        <item x="241"/>
        <item x="173"/>
        <item x="18"/>
        <item x="961"/>
        <item x="463"/>
        <item x="398"/>
        <item x="671"/>
        <item x="20"/>
        <item x="247"/>
        <item x="946"/>
        <item x="685"/>
        <item x="74"/>
        <item x="594"/>
        <item x="388"/>
        <item x="934"/>
        <item x="170"/>
        <item x="444"/>
        <item x="724"/>
        <item x="331"/>
        <item x="309"/>
        <item x="27"/>
        <item x="69"/>
        <item x="652"/>
        <item x="430"/>
        <item x="870"/>
        <item x="459"/>
        <item x="92"/>
        <item x="885"/>
        <item x="316"/>
        <item x="879"/>
        <item x="419"/>
        <item x="106"/>
        <item x="933"/>
        <item x="719"/>
        <item x="455"/>
        <item x="883"/>
        <item x="967"/>
        <item x="260"/>
        <item x="447"/>
        <item x="326"/>
        <item x="408"/>
        <item x="869"/>
        <item x="831"/>
        <item x="899"/>
        <item x="923"/>
        <item x="158"/>
        <item x="202"/>
        <item x="929"/>
        <item x="621"/>
        <item x="10"/>
        <item x="396"/>
        <item x="12"/>
        <item x="218"/>
        <item x="943"/>
        <item x="784"/>
        <item x="976"/>
        <item x="669"/>
        <item x="122"/>
        <item x="975"/>
        <item x="896"/>
        <item x="486"/>
        <item x="411"/>
        <item x="143"/>
        <item x="634"/>
        <item x="76"/>
        <item x="192"/>
        <item x="405"/>
        <item x="518"/>
        <item x="958"/>
        <item x="203"/>
        <item x="279"/>
        <item x="640"/>
        <item x="576"/>
        <item x="115"/>
        <item x="177"/>
        <item x="46"/>
        <item x="659"/>
        <item x="325"/>
        <item x="288"/>
        <item x="166"/>
        <item x="696"/>
        <item x="169"/>
        <item x="26"/>
        <item x="264"/>
        <item x="601"/>
        <item x="965"/>
        <item x="387"/>
        <item x="492"/>
        <item x="530"/>
        <item x="129"/>
        <item x="703"/>
        <item x="246"/>
        <item x="154"/>
        <item x="176"/>
        <item x="945"/>
        <item x="313"/>
        <item x="559"/>
        <item x="614"/>
        <item x="546"/>
        <item x="818"/>
        <item x="215"/>
        <item x="341"/>
        <item x="336"/>
        <item x="401"/>
        <item x="354"/>
        <item x="409"/>
        <item x="909"/>
        <item x="611"/>
        <item x="412"/>
        <item x="3"/>
        <item x="16"/>
        <item x="271"/>
        <item x="523"/>
        <item x="521"/>
        <item x="116"/>
        <item x="223"/>
        <item x="147"/>
        <item x="682"/>
        <item x="174"/>
        <item x="171"/>
        <item x="21"/>
        <item x="135"/>
        <item x="974"/>
        <item x="397"/>
        <item x="332"/>
        <item x="912"/>
        <item x="450"/>
        <item x="757"/>
        <item x="859"/>
        <item x="734"/>
        <item x="910"/>
        <item x="605"/>
        <item x="810"/>
        <item x="616"/>
        <item x="857"/>
        <item x="538"/>
        <item x="813"/>
        <item x="911"/>
        <item x="878"/>
        <item x="815"/>
        <item x="579"/>
        <item x="580"/>
        <item x="729"/>
        <item x="875"/>
        <item x="123"/>
        <item x="28"/>
        <item x="701"/>
        <item x="389"/>
        <item x="462"/>
        <item x="524"/>
        <item x="445"/>
        <item x="335"/>
        <item x="573"/>
        <item x="718"/>
        <item x="963"/>
        <item x="217"/>
        <item x="422"/>
        <item x="290"/>
        <item x="245"/>
        <item x="41"/>
        <item x="424"/>
        <item x="582"/>
        <item x="42"/>
        <item x="67"/>
        <item x="358"/>
        <item x="948"/>
        <item x="436"/>
        <item x="248"/>
        <item x="228"/>
        <item x="2"/>
        <item x="139"/>
        <item x="446"/>
        <item x="239"/>
        <item x="557"/>
        <item x="519"/>
        <item x="487"/>
        <item x="691"/>
        <item x="362"/>
        <item x="789"/>
        <item x="137"/>
        <item x="721"/>
        <item x="52"/>
        <item x="649"/>
        <item x="84"/>
        <item x="520"/>
        <item x="942"/>
        <item x="89"/>
        <item x="740"/>
        <item x="578"/>
        <item x="5"/>
        <item x="426"/>
        <item x="676"/>
        <item x="189"/>
        <item x="231"/>
        <item x="103"/>
        <item x="806"/>
        <item x="762"/>
        <item x="864"/>
        <item x="736"/>
        <item x="825"/>
        <item x="725"/>
        <item x="324"/>
        <item x="783"/>
        <item x="622"/>
        <item x="822"/>
        <item x="741"/>
        <item x="111"/>
        <item x="772"/>
        <item x="937"/>
        <item x="211"/>
        <item x="242"/>
        <item x="81"/>
        <item x="363"/>
        <item x="790"/>
        <item x="528"/>
        <item x="722"/>
        <item x="349"/>
        <item x="91"/>
        <item x="131"/>
        <item x="472"/>
        <item x="361"/>
        <item x="624"/>
        <item x="417"/>
        <item x="251"/>
        <item x="775"/>
        <item x="356"/>
        <item x="749"/>
        <item x="327"/>
        <item x="568"/>
        <item x="689"/>
        <item x="272"/>
        <item x="428"/>
        <item x="286"/>
        <item x="240"/>
        <item x="704"/>
        <item x="927"/>
        <item x="136"/>
        <item x="539"/>
        <item x="400"/>
        <item x="250"/>
        <item x="183"/>
        <item x="897"/>
        <item x="465"/>
        <item x="253"/>
        <item x="157"/>
        <item x="438"/>
        <item x="501"/>
        <item x="220"/>
        <item x="308"/>
        <item x="101"/>
        <item x="913"/>
        <item x="779"/>
        <item x="310"/>
        <item x="68"/>
        <item x="493"/>
        <item x="780"/>
        <item x="380"/>
        <item x="225"/>
        <item x="284"/>
        <item x="93"/>
        <item x="206"/>
        <item x="423"/>
        <item x="352"/>
        <item x="564"/>
        <item x="785"/>
        <item x="769"/>
        <item x="421"/>
        <item x="207"/>
        <item x="593"/>
        <item x="294"/>
        <item x="315"/>
        <item x="532"/>
        <item x="535"/>
        <item x="641"/>
        <item x="399"/>
        <item x="439"/>
        <item x="874"/>
        <item x="856"/>
        <item x="855"/>
        <item x="504"/>
        <item x="466"/>
        <item x="413"/>
        <item x="554"/>
        <item x="613"/>
        <item x="516"/>
        <item x="348"/>
        <item x="776"/>
        <item x="146"/>
        <item x="104"/>
        <item x="274"/>
        <item x="653"/>
        <item x="8"/>
        <item x="49"/>
        <item x="17"/>
        <item x="373"/>
        <item x="697"/>
        <item x="25"/>
        <item x="24"/>
        <item x="150"/>
        <item x="920"/>
        <item x="936"/>
        <item x="952"/>
        <item x="73"/>
        <item x="973"/>
        <item x="299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79">
    <i>
      <x v="533"/>
    </i>
    <i>
      <x v="551"/>
    </i>
    <i>
      <x v="291"/>
    </i>
    <i>
      <x v="500"/>
    </i>
    <i>
      <x v="31"/>
    </i>
    <i>
      <x v="786"/>
    </i>
    <i>
      <x v="239"/>
    </i>
    <i>
      <x v="38"/>
    </i>
    <i>
      <x v="79"/>
    </i>
    <i>
      <x v="21"/>
    </i>
    <i>
      <x v="624"/>
    </i>
    <i>
      <x v="606"/>
    </i>
    <i>
      <x v="439"/>
    </i>
    <i>
      <x v="974"/>
    </i>
    <i>
      <x v="324"/>
    </i>
    <i>
      <x v="529"/>
    </i>
    <i>
      <x v="254"/>
    </i>
    <i>
      <x v="48"/>
    </i>
    <i>
      <x v="588"/>
    </i>
    <i>
      <x v="92"/>
    </i>
    <i>
      <x v="440"/>
    </i>
    <i>
      <x v="418"/>
    </i>
    <i>
      <x v="540"/>
    </i>
    <i>
      <x v="437"/>
    </i>
    <i>
      <x v="294"/>
    </i>
    <i>
      <x v="537"/>
    </i>
    <i>
      <x v="432"/>
    </i>
    <i>
      <x v="479"/>
    </i>
    <i>
      <x v="474"/>
    </i>
    <i>
      <x v="11"/>
    </i>
    <i>
      <x v="433"/>
    </i>
    <i>
      <x v="594"/>
    </i>
    <i>
      <x v="19"/>
    </i>
    <i>
      <x v="435"/>
    </i>
    <i>
      <x v="421"/>
    </i>
    <i>
      <x v="788"/>
    </i>
    <i>
      <x v="77"/>
    </i>
    <i>
      <x v="290"/>
    </i>
    <i>
      <x v="555"/>
    </i>
    <i>
      <x v="591"/>
    </i>
    <i>
      <x v="9"/>
    </i>
    <i>
      <x v="750"/>
    </i>
    <i>
      <x v="450"/>
    </i>
    <i>
      <x v="934"/>
    </i>
    <i>
      <x v="701"/>
    </i>
    <i>
      <x v="12"/>
    </i>
    <i>
      <x v="446"/>
    </i>
    <i>
      <x v="299"/>
    </i>
    <i>
      <x v="39"/>
    </i>
    <i>
      <x v="87"/>
    </i>
    <i>
      <x v="810"/>
    </i>
    <i>
      <x v="950"/>
    </i>
    <i>
      <x v="929"/>
    </i>
    <i>
      <x v="509"/>
    </i>
    <i>
      <x v="917"/>
    </i>
    <i>
      <x v="539"/>
    </i>
    <i>
      <x v="460"/>
    </i>
    <i>
      <x v="691"/>
    </i>
    <i>
      <x v="30"/>
    </i>
    <i>
      <x v="952"/>
    </i>
    <i>
      <x v="66"/>
    </i>
    <i>
      <x v="914"/>
    </i>
    <i>
      <x v="452"/>
    </i>
    <i>
      <x v="423"/>
    </i>
    <i>
      <x v="499"/>
    </i>
    <i>
      <x v="809"/>
    </i>
    <i>
      <x v="13"/>
    </i>
    <i>
      <x v="43"/>
    </i>
    <i>
      <x v="274"/>
    </i>
    <i>
      <x v="526"/>
    </i>
    <i>
      <x v="590"/>
    </i>
    <i>
      <x v="305"/>
    </i>
    <i>
      <x v="78"/>
    </i>
    <i>
      <x v="84"/>
    </i>
    <i>
      <x v="918"/>
    </i>
    <i>
      <x v="853"/>
    </i>
    <i>
      <x v="943"/>
    </i>
    <i>
      <x v="767"/>
    </i>
    <i>
      <x v="22"/>
    </i>
    <i>
      <x v="780"/>
    </i>
    <i>
      <x v="531"/>
    </i>
    <i>
      <x v="429"/>
    </i>
    <i>
      <x v="610"/>
    </i>
    <i>
      <x v="561"/>
    </i>
    <i>
      <x v="733"/>
    </i>
    <i>
      <x v="134"/>
    </i>
    <i>
      <x v="948"/>
    </i>
    <i>
      <x v="481"/>
    </i>
    <i>
      <x v="616"/>
    </i>
    <i>
      <x v="285"/>
    </i>
    <i>
      <x v="67"/>
    </i>
    <i>
      <x v="93"/>
    </i>
    <i>
      <x v="854"/>
    </i>
    <i>
      <x v="271"/>
    </i>
    <i>
      <x v="518"/>
    </i>
    <i>
      <x v="465"/>
    </i>
    <i>
      <x v="530"/>
    </i>
    <i>
      <x v="770"/>
    </i>
    <i>
      <x v="6"/>
    </i>
    <i>
      <x v="250"/>
    </i>
    <i>
      <x v="249"/>
    </i>
    <i>
      <x v="323"/>
    </i>
    <i>
      <x v="104"/>
    </i>
    <i>
      <x v="811"/>
    </i>
    <i>
      <x v="417"/>
    </i>
    <i>
      <x v="682"/>
    </i>
    <i>
      <x v="471"/>
    </i>
    <i>
      <x v="422"/>
    </i>
    <i>
      <x v="15"/>
    </i>
    <i>
      <x v="749"/>
    </i>
    <i>
      <x v="454"/>
    </i>
    <i>
      <x v="507"/>
    </i>
    <i>
      <x v="503"/>
    </i>
    <i>
      <x v="771"/>
    </i>
    <i>
      <x v="505"/>
    </i>
    <i>
      <x v="431"/>
    </i>
    <i>
      <x v="16"/>
    </i>
    <i>
      <x v="803"/>
    </i>
    <i>
      <x v="523"/>
    </i>
    <i>
      <x v="815"/>
    </i>
    <i>
      <x v="525"/>
    </i>
    <i>
      <x v="609"/>
    </i>
    <i>
      <x v="538"/>
    </i>
    <i>
      <x v="807"/>
    </i>
    <i>
      <x v="444"/>
    </i>
    <i>
      <x v="482"/>
    </i>
    <i>
      <x v="86"/>
    </i>
    <i>
      <x v="478"/>
    </i>
    <i>
      <x v="251"/>
    </i>
    <i>
      <x v="813"/>
    </i>
    <i>
      <x v="204"/>
    </i>
    <i>
      <x v="438"/>
    </i>
    <i>
      <x v="580"/>
    </i>
    <i>
      <x v="85"/>
    </i>
    <i>
      <x v="611"/>
    </i>
    <i>
      <x v="498"/>
    </i>
    <i>
      <x v="904"/>
    </i>
    <i>
      <x v="600"/>
    </i>
    <i>
      <x v="876"/>
    </i>
    <i>
      <x v="483"/>
    </i>
    <i>
      <x v="712"/>
    </i>
    <i>
      <x v="45"/>
    </i>
    <i>
      <x v="779"/>
    </i>
    <i>
      <x v="603"/>
    </i>
    <i>
      <x v="103"/>
    </i>
    <i>
      <x v="7"/>
    </i>
    <i>
      <x v="20"/>
    </i>
    <i>
      <x v="232"/>
    </i>
    <i>
      <x v="56"/>
    </i>
    <i>
      <x v="262"/>
    </i>
    <i>
      <x v="804"/>
    </i>
    <i>
      <x v="601"/>
    </i>
    <i>
      <x v="94"/>
    </i>
    <i>
      <x v="777"/>
    </i>
    <i>
      <x v="598"/>
    </i>
    <i>
      <x v="532"/>
    </i>
    <i>
      <x v="955"/>
    </i>
    <i>
      <x v="547"/>
    </i>
    <i>
      <x v="519"/>
    </i>
    <i>
      <x v="49"/>
    </i>
    <i>
      <x v="497"/>
    </i>
    <i>
      <x v="40"/>
    </i>
    <i>
      <x v="845"/>
    </i>
    <i>
      <x v="331"/>
    </i>
    <i>
      <x v="923"/>
    </i>
    <i>
      <x v="947"/>
    </i>
    <i>
      <x v="105"/>
    </i>
    <i>
      <x v="501"/>
    </i>
    <i>
      <x v="133"/>
    </i>
    <i>
      <x v="823"/>
    </i>
    <i>
      <x v="517"/>
    </i>
    <i>
      <x v="592"/>
    </i>
    <i>
      <x v="335"/>
    </i>
    <i>
      <x v="812"/>
    </i>
    <i>
      <x v="605"/>
    </i>
    <i>
      <x v="333"/>
    </i>
    <i>
      <x v="718"/>
    </i>
    <i>
      <x v="524"/>
    </i>
    <i>
      <x v="554"/>
    </i>
    <i>
      <x v="536"/>
    </i>
    <i>
      <x v="242"/>
    </i>
    <i>
      <x v="224"/>
    </i>
    <i>
      <x v="445"/>
    </i>
    <i>
      <x v="563"/>
    </i>
    <i>
      <x v="502"/>
    </i>
    <i>
      <x v="50"/>
    </i>
    <i>
      <x v="160"/>
    </i>
    <i>
      <x v="179"/>
    </i>
    <i>
      <x v="527"/>
    </i>
    <i>
      <x v="842"/>
    </i>
    <i>
      <x v="602"/>
    </i>
    <i>
      <x v="189"/>
    </i>
    <i>
      <x v="814"/>
    </i>
    <i>
      <x v="596"/>
    </i>
    <i>
      <x v="468"/>
    </i>
    <i>
      <x v="949"/>
    </i>
    <i>
      <x v="553"/>
    </i>
    <i>
      <x v="717"/>
    </i>
    <i>
      <x v="514"/>
    </i>
    <i>
      <x v="808"/>
    </i>
    <i>
      <x v="289"/>
    </i>
    <i>
      <x v="871"/>
    </i>
    <i>
      <x v="101"/>
    </i>
    <i>
      <x v="434"/>
    </i>
    <i>
      <x v="286"/>
    </i>
    <i>
      <x v="473"/>
    </i>
    <i>
      <x v="930"/>
    </i>
    <i>
      <x v="549"/>
    </i>
    <i>
      <x v="203"/>
    </i>
    <i>
      <x v="769"/>
    </i>
    <i>
      <x v="205"/>
    </i>
    <i>
      <x v="34"/>
    </i>
    <i>
      <x v="595"/>
    </i>
    <i>
      <x v="493"/>
    </i>
    <i>
      <x v="604"/>
    </i>
    <i>
      <x v="865"/>
    </i>
    <i>
      <x v="451"/>
    </i>
    <i>
      <x v="287"/>
    </i>
    <i>
      <x v="510"/>
    </i>
    <i>
      <x v="419"/>
    </i>
    <i>
      <x v="504"/>
    </i>
    <i>
      <x v="211"/>
    </i>
    <i>
      <x v="17"/>
    </i>
    <i>
      <x v="469"/>
    </i>
    <i>
      <x v="10"/>
    </i>
    <i>
      <x v="802"/>
    </i>
    <i>
      <x v="508"/>
    </i>
    <i>
      <x v="515"/>
    </i>
    <i>
      <x v="535"/>
    </i>
    <i>
      <x v="550"/>
    </i>
    <i>
      <x v="462"/>
    </i>
    <i>
      <x v="589"/>
    </i>
    <i>
      <x v="731"/>
    </i>
    <i>
      <x v="516"/>
    </i>
    <i>
      <x v="607"/>
    </i>
    <i>
      <x v="195"/>
    </i>
    <i>
      <x v="928"/>
    </i>
    <i>
      <x v="18"/>
    </i>
    <i>
      <x v="587"/>
    </i>
    <i>
      <x v="477"/>
    </i>
    <i>
      <x v="309"/>
    </i>
    <i>
      <x v="490"/>
    </i>
    <i>
      <x v="860"/>
    </i>
    <i>
      <x v="173"/>
    </i>
    <i>
      <x v="833"/>
    </i>
    <i>
      <x v="541"/>
    </i>
    <i>
      <x v="800"/>
    </i>
    <i>
      <x v="630"/>
    </i>
    <i>
      <x v="583"/>
    </i>
    <i>
      <x v="579"/>
    </i>
    <i>
      <x v="768"/>
    </i>
    <i>
      <x v="458"/>
    </i>
    <i>
      <x v="927"/>
    </i>
    <i>
      <x v="46"/>
    </i>
    <i>
      <x v="158"/>
    </i>
    <i>
      <x v="693"/>
    </i>
    <i>
      <x v="57"/>
    </i>
    <i>
      <x v="346"/>
    </i>
    <i>
      <x v="32"/>
    </i>
    <i>
      <x v="33"/>
    </i>
    <i>
      <x v="221"/>
    </i>
    <i>
      <x v="313"/>
    </i>
    <i>
      <x v="253"/>
    </i>
    <i>
      <x v="304"/>
    </i>
    <i>
      <x v="659"/>
    </i>
    <i>
      <x v="288"/>
    </i>
    <i>
      <x v="312"/>
    </i>
    <i>
      <x v="225"/>
    </i>
    <i>
      <x v="599"/>
    </i>
    <i>
      <x v="441"/>
    </i>
    <i>
      <x v="924"/>
    </i>
    <i>
      <x v="806"/>
    </i>
    <i>
      <x v="801"/>
    </i>
    <i>
      <x v="59"/>
    </i>
    <i>
      <x v="913"/>
    </i>
    <i>
      <x v="688"/>
    </i>
    <i>
      <x v="174"/>
    </i>
    <i>
      <x v="284"/>
    </i>
    <i>
      <x v="302"/>
    </i>
    <i>
      <x v="597"/>
    </i>
    <i>
      <x v="775"/>
    </i>
    <i>
      <x v="827"/>
    </i>
    <i>
      <x v="608"/>
    </i>
    <i>
      <x v="466"/>
    </i>
    <i>
      <x v="868"/>
    </i>
    <i>
      <x v="546"/>
    </i>
    <i>
      <x v="355"/>
    </i>
    <i>
      <x v="805"/>
    </i>
    <i>
      <x v="951"/>
    </i>
    <i>
      <x v="593"/>
    </i>
    <i>
      <x v="822"/>
    </i>
    <i>
      <x v="28"/>
    </i>
    <i>
      <x v="548"/>
    </i>
    <i>
      <x v="222"/>
    </i>
    <i>
      <x v="60"/>
    </i>
    <i>
      <x v="424"/>
    </i>
    <i>
      <x v="506"/>
    </i>
    <i>
      <x v="281"/>
    </i>
    <i>
      <x v="632"/>
    </i>
    <i>
      <x v="645"/>
    </i>
    <i>
      <x v="859"/>
    </i>
    <i>
      <x v="276"/>
    </i>
    <i>
      <x v="183"/>
    </i>
    <i>
      <x v="457"/>
    </i>
    <i>
      <x v="843"/>
    </i>
    <i>
      <x v="343"/>
    </i>
    <i>
      <x v="447"/>
    </i>
    <i>
      <x v="919"/>
    </i>
    <i>
      <x v="742"/>
    </i>
    <i>
      <x v="8"/>
    </i>
    <i>
      <x v="946"/>
    </i>
    <i>
      <x v="167"/>
    </i>
    <i>
      <x v="459"/>
    </i>
    <i>
      <x v="326"/>
    </i>
    <i>
      <x v="869"/>
    </i>
    <i>
      <x v="427"/>
    </i>
    <i>
      <x v="166"/>
    </i>
    <i>
      <x v="966"/>
    </i>
    <i>
      <x v="175"/>
    </i>
    <i>
      <x v="472"/>
    </i>
    <i>
      <x v="873"/>
    </i>
    <i>
      <x v="543"/>
    </i>
    <i>
      <x v="778"/>
    </i>
    <i>
      <x v="244"/>
    </i>
    <i>
      <x v="171"/>
    </i>
    <i>
      <x v="95"/>
    </i>
    <i>
      <x v="226"/>
    </i>
    <i>
      <x v="921"/>
    </i>
    <i>
      <x v="494"/>
    </i>
    <i>
      <x v="192"/>
    </i>
    <i>
      <x v="83"/>
    </i>
    <i>
      <x v="962"/>
    </i>
    <i>
      <x v="430"/>
    </i>
    <i>
      <x v="102"/>
    </i>
    <i>
      <x v="663"/>
    </i>
    <i>
      <x v="694"/>
    </i>
    <i>
      <x v="702"/>
    </i>
    <i>
      <x v="100"/>
    </i>
    <i>
      <x v="260"/>
    </i>
    <i>
      <x v="35"/>
    </i>
    <i>
      <x v="354"/>
    </i>
    <i>
      <x v="293"/>
    </i>
    <i>
      <x v="743"/>
    </i>
    <i>
      <x v="344"/>
    </i>
    <i>
      <x v="36"/>
    </i>
    <i>
      <x v="161"/>
    </i>
    <i>
      <x v="522"/>
    </i>
    <i>
      <x v="413"/>
    </i>
    <i>
      <x v="866"/>
    </i>
    <i>
      <x v="528"/>
    </i>
    <i>
      <x v="764"/>
    </i>
    <i>
      <x v="393"/>
    </i>
    <i>
      <x v="315"/>
    </i>
    <i>
      <x v="261"/>
    </i>
    <i>
      <x v="110"/>
    </i>
    <i>
      <x v="300"/>
    </i>
    <i>
      <x v="476"/>
    </i>
    <i>
      <x v="945"/>
    </i>
    <i>
      <x v="193"/>
    </i>
    <i>
      <x v="953"/>
    </i>
    <i>
      <x v="464"/>
    </i>
    <i>
      <x v="470"/>
    </i>
    <i>
      <x v="208"/>
    </i>
    <i>
      <x v="774"/>
    </i>
    <i>
      <x v="44"/>
    </i>
    <i>
      <x v="944"/>
    </i>
    <i>
      <x v="275"/>
    </i>
    <i>
      <x v="520"/>
    </i>
    <i>
      <x v="631"/>
    </i>
    <i>
      <x v="356"/>
    </i>
    <i>
      <x v="29"/>
    </i>
    <i>
      <x v="920"/>
    </i>
    <i>
      <x v="245"/>
    </i>
    <i>
      <x v="461"/>
    </i>
    <i>
      <x v="856"/>
    </i>
    <i>
      <x v="959"/>
    </i>
    <i>
      <x v="138"/>
    </i>
    <i>
      <x v="209"/>
    </i>
    <i>
      <x v="357"/>
    </i>
    <i>
      <x v="259"/>
    </i>
    <i>
      <x v="838"/>
    </i>
    <i>
      <x v="942"/>
    </i>
    <i>
      <x v="789"/>
    </i>
    <i>
      <x v="23"/>
    </i>
    <i>
      <x v="436"/>
    </i>
    <i>
      <x v="484"/>
    </i>
    <i>
      <x v="727"/>
    </i>
    <i>
      <x v="456"/>
    </i>
    <i>
      <x v="202"/>
    </i>
    <i>
      <x v="172"/>
    </i>
    <i>
      <x v="27"/>
    </i>
    <i>
      <x v="301"/>
    </i>
    <i>
      <x v="448"/>
    </i>
    <i>
      <x v="62"/>
    </i>
    <i>
      <x v="442"/>
    </i>
    <i>
      <x v="734"/>
    </i>
    <i>
      <x v="416"/>
    </i>
    <i>
      <x v="392"/>
    </i>
    <i>
      <x v="180"/>
    </i>
    <i>
      <x v="911"/>
    </i>
    <i>
      <x v="292"/>
    </i>
    <i>
      <x v="455"/>
    </i>
    <i>
      <x v="73"/>
    </i>
    <i>
      <x v="314"/>
    </i>
    <i>
      <x v="521"/>
    </i>
    <i>
      <x v="177"/>
    </i>
    <i>
      <x v="467"/>
    </i>
    <i>
      <x v="4"/>
    </i>
    <i>
      <x v="24"/>
    </i>
    <i>
      <x v="925"/>
    </i>
    <i>
      <x v="668"/>
    </i>
    <i>
      <x v="266"/>
    </i>
    <i>
      <x v="223"/>
    </i>
    <i>
      <x v="486"/>
    </i>
    <i>
      <x v="710"/>
    </i>
    <i>
      <x v="895"/>
    </i>
    <i>
      <x v="491"/>
    </i>
    <i>
      <x v="544"/>
    </i>
    <i>
      <x v="342"/>
    </i>
    <i>
      <x v="196"/>
    </i>
    <i>
      <x v="475"/>
    </i>
    <i>
      <x v="298"/>
    </i>
    <i>
      <x v="665"/>
    </i>
    <i>
      <x v="492"/>
    </i>
    <i>
      <x v="720"/>
    </i>
    <i>
      <x v="585"/>
    </i>
    <i>
      <x v="797"/>
    </i>
    <i>
      <x v="829"/>
    </i>
    <i>
      <x v="3"/>
    </i>
    <i>
      <x v="799"/>
    </i>
    <i>
      <x v="877"/>
    </i>
    <i>
      <x v="912"/>
    </i>
    <i>
      <x v="552"/>
    </i>
    <i>
      <x v="220"/>
    </i>
    <i>
      <x v="163"/>
    </i>
    <i>
      <x v="739"/>
    </i>
    <i>
      <x v="106"/>
    </i>
    <i>
      <x v="660"/>
    </i>
    <i>
      <x v="463"/>
    </i>
    <i>
      <x v="496"/>
    </i>
    <i>
      <x v="268"/>
    </i>
    <i>
      <x v="560"/>
    </i>
    <i>
      <x v="443"/>
    </i>
    <i>
      <x v="741"/>
    </i>
    <i>
      <x v="910"/>
    </i>
    <i>
      <x v="916"/>
    </i>
    <i>
      <x v="495"/>
    </i>
    <i>
      <x v="264"/>
    </i>
    <i>
      <x v="219"/>
    </i>
    <i>
      <x v="915"/>
    </i>
    <i>
      <x v="297"/>
    </i>
    <i>
      <x v="347"/>
    </i>
    <i>
      <x v="511"/>
    </i>
    <i>
      <x v="846"/>
    </i>
    <i>
      <x v="162"/>
    </i>
    <i>
      <x v="633"/>
    </i>
    <i>
      <x v="5"/>
    </i>
    <i>
      <x v="747"/>
    </i>
    <i>
      <x v="14"/>
    </i>
    <i>
      <x v="787"/>
    </i>
    <i>
      <x v="816"/>
    </i>
    <i>
      <x v="487"/>
    </i>
    <i>
      <x v="265"/>
    </i>
    <i>
      <x v="303"/>
    </i>
    <i>
      <x v="353"/>
    </i>
    <i>
      <x v="328"/>
    </i>
    <i>
      <x v="218"/>
    </i>
    <i>
      <x v="692"/>
    </i>
    <i>
      <x v="252"/>
    </i>
    <i>
      <x v="534"/>
    </i>
    <i>
      <x v="650"/>
    </i>
    <i>
      <x v="217"/>
    </i>
    <i>
      <x v="709"/>
    </i>
    <i>
      <x v="178"/>
    </i>
    <i>
      <x v="578"/>
    </i>
    <i>
      <x v="169"/>
    </i>
    <i>
      <x v="662"/>
    </i>
    <i>
      <x v="269"/>
    </i>
    <i>
      <x v="855"/>
    </i>
    <i>
      <x v="897"/>
    </i>
    <i>
      <x v="970"/>
    </i>
    <i>
      <x v="512"/>
    </i>
    <i>
      <x v="201"/>
    </i>
    <i>
      <x v="37"/>
    </i>
    <i>
      <x v="182"/>
    </i>
    <i>
      <x v="888"/>
    </i>
    <i>
      <x v="785"/>
    </i>
    <i>
      <x v="545"/>
    </i>
    <i>
      <x v="513"/>
    </i>
    <i>
      <x v="109"/>
    </i>
    <i>
      <x v="228"/>
    </i>
    <i>
      <x v="176"/>
    </i>
    <i>
      <x v="730"/>
    </i>
    <i>
      <x v="956"/>
    </i>
    <i>
      <x v="724"/>
    </i>
    <i>
      <x v="586"/>
    </i>
    <i>
      <x v="744"/>
    </i>
    <i>
      <x v="334"/>
    </i>
    <i>
      <x v="729"/>
    </i>
    <i>
      <x v="954"/>
    </i>
    <i>
      <x v="270"/>
    </i>
    <i>
      <x v="891"/>
    </i>
    <i>
      <x v="834"/>
    </i>
    <i>
      <x v="306"/>
    </i>
    <i>
      <x v="310"/>
    </i>
    <i>
      <x v="875"/>
    </i>
    <i>
      <x v="614"/>
    </i>
    <i>
      <x v="194"/>
    </i>
    <i>
      <x v="319"/>
    </i>
    <i>
      <x v="332"/>
    </i>
    <i>
      <x v="571"/>
    </i>
    <i>
      <x v="700"/>
    </i>
    <i>
      <x v="559"/>
    </i>
    <i>
      <x v="835"/>
    </i>
    <i>
      <x v="263"/>
    </i>
    <i>
      <x v="748"/>
    </i>
    <i>
      <x v="341"/>
    </i>
    <i>
      <x v="957"/>
    </i>
    <i>
      <x v="243"/>
    </i>
    <i>
      <x v="683"/>
    </i>
    <i>
      <x v="623"/>
    </i>
    <i>
      <x v="584"/>
    </i>
    <i>
      <x v="181"/>
    </i>
    <i>
      <x v="449"/>
    </i>
    <i>
      <x v="894"/>
    </i>
    <i>
      <x v="267"/>
    </i>
    <i>
      <x v="557"/>
    </i>
    <i>
      <x v="51"/>
    </i>
    <i>
      <x v="635"/>
    </i>
    <i>
      <x v="874"/>
    </i>
    <i>
      <x v="909"/>
    </i>
    <i>
      <x v="425"/>
    </i>
    <i>
      <x v="776"/>
    </i>
    <i>
      <x v="773"/>
    </i>
    <i>
      <x v="420"/>
    </i>
    <i>
      <x v="844"/>
    </i>
    <i>
      <x v="666"/>
    </i>
    <i>
      <x v="577"/>
    </i>
    <i>
      <x v="556"/>
    </i>
    <i>
      <x v="111"/>
    </i>
    <i>
      <x v="453"/>
    </i>
    <i>
      <x v="755"/>
    </i>
    <i>
      <x v="316"/>
    </i>
    <i>
      <x v="200"/>
    </i>
    <i>
      <x v="960"/>
    </i>
    <i>
      <x v="47"/>
    </i>
    <i>
      <x v="828"/>
    </i>
    <i>
      <x v="25"/>
    </i>
    <i>
      <x v="840"/>
    </i>
    <i>
      <x v="634"/>
    </i>
    <i>
      <x v="371"/>
    </i>
    <i>
      <x v="664"/>
    </i>
    <i>
      <x v="937"/>
    </i>
    <i>
      <x v="311"/>
    </i>
    <i>
      <x v="155"/>
    </i>
    <i>
      <x v="325"/>
    </i>
    <i>
      <x v="159"/>
    </i>
    <i>
      <x v="836"/>
    </i>
    <i>
      <x v="65"/>
    </i>
    <i>
      <x v="798"/>
    </i>
    <i>
      <x v="238"/>
    </i>
    <i>
      <x v="647"/>
    </i>
    <i>
      <x v="648"/>
    </i>
    <i>
      <x v="784"/>
    </i>
    <i>
      <x v="58"/>
    </i>
    <i>
      <x v="893"/>
    </i>
    <i>
      <x v="932"/>
    </i>
    <i>
      <x v="732"/>
    </i>
    <i>
      <x v="80"/>
    </i>
    <i>
      <x v="938"/>
    </i>
    <i>
      <x v="751"/>
    </i>
    <i>
      <x v="283"/>
    </i>
    <i>
      <x v="247"/>
    </i>
    <i>
      <x v="154"/>
    </i>
    <i>
      <x v="145"/>
    </i>
    <i>
      <x v="711"/>
    </i>
    <i>
      <x v="52"/>
    </i>
    <i>
      <x v="426"/>
    </i>
    <i>
      <x v="157"/>
    </i>
    <i>
      <x v="164"/>
    </i>
    <i>
      <x v="197"/>
    </i>
    <i>
      <x v="350"/>
    </i>
    <i>
      <x v="738"/>
    </i>
    <i>
      <x v="726"/>
    </i>
    <i>
      <x v="703"/>
    </i>
    <i>
      <x v="640"/>
    </i>
    <i>
      <x v="637"/>
    </i>
    <i>
      <x v="672"/>
    </i>
    <i>
      <x v="233"/>
    </i>
    <i>
      <x v="235"/>
    </i>
    <i>
      <x v="348"/>
    </i>
    <i>
      <x v="406"/>
    </i>
    <i>
      <x v="141"/>
    </i>
    <i>
      <x v="641"/>
    </i>
    <i>
      <x v="385"/>
    </i>
    <i>
      <x v="415"/>
    </i>
    <i>
      <x v="229"/>
    </i>
    <i>
      <x v="825"/>
    </i>
    <i>
      <x v="207"/>
    </i>
    <i>
      <x v="649"/>
    </i>
    <i>
      <x v="42"/>
    </i>
    <i>
      <x v="725"/>
    </i>
    <i>
      <x v="905"/>
    </i>
    <i>
      <x v="359"/>
    </i>
    <i>
      <x v="761"/>
    </i>
    <i>
      <x v="230"/>
    </i>
    <i>
      <x v="817"/>
    </i>
    <i>
      <x v="231"/>
    </i>
    <i>
      <x v="706"/>
    </i>
    <i>
      <x v="53"/>
    </i>
    <i>
      <x v="941"/>
    </i>
    <i>
      <x v="922"/>
    </i>
    <i>
      <x v="831"/>
    </i>
    <i>
      <x/>
    </i>
    <i>
      <x v="782"/>
    </i>
    <i>
      <x v="935"/>
    </i>
    <i>
      <x v="384"/>
    </i>
    <i>
      <x v="684"/>
    </i>
    <i>
      <x v="642"/>
    </i>
    <i>
      <x v="889"/>
    </i>
    <i>
      <x v="832"/>
    </i>
    <i>
      <x v="936"/>
    </i>
    <i>
      <x v="407"/>
    </i>
    <i>
      <x v="791"/>
    </i>
    <i>
      <x v="99"/>
    </i>
    <i>
      <x v="933"/>
    </i>
    <i>
      <x v="576"/>
    </i>
    <i>
      <x v="704"/>
    </i>
    <i>
      <x v="708"/>
    </i>
    <i>
      <x v="156"/>
    </i>
    <i>
      <x v="246"/>
    </i>
    <i>
      <x v="882"/>
    </i>
    <i>
      <x v="653"/>
    </i>
    <i>
      <x v="890"/>
    </i>
    <i>
      <x v="783"/>
    </i>
    <i>
      <x v="480"/>
    </i>
    <i>
      <x v="236"/>
    </i>
    <i>
      <x v="939"/>
    </i>
    <i>
      <x v="705"/>
    </i>
    <i>
      <x v="796"/>
    </i>
    <i>
      <x v="716"/>
    </i>
    <i>
      <x v="792"/>
    </i>
    <i>
      <x v="837"/>
    </i>
    <i>
      <x v="715"/>
    </i>
    <i>
      <x v="64"/>
    </i>
    <i>
      <x v="858"/>
    </i>
    <i>
      <x v="615"/>
    </i>
    <i>
      <x v="685"/>
    </i>
    <i>
      <x v="337"/>
    </i>
    <i>
      <x v="70"/>
    </i>
    <i>
      <x v="622"/>
    </i>
    <i>
      <x v="713"/>
    </i>
    <i>
      <x v="714"/>
    </i>
    <i>
      <x v="781"/>
    </i>
    <i>
      <x v="148"/>
    </i>
    <i>
      <x v="74"/>
    </i>
    <i>
      <x v="186"/>
    </i>
    <i>
      <x v="139"/>
    </i>
    <i>
      <x v="862"/>
    </i>
    <i>
      <x v="237"/>
    </i>
    <i>
      <x v="248"/>
    </i>
    <i>
      <x v="723"/>
    </i>
    <i>
      <x v="719"/>
    </i>
    <i>
      <x v="89"/>
    </i>
    <i>
      <x v="152"/>
    </i>
    <i>
      <x v="824"/>
    </i>
    <i>
      <x v="639"/>
    </i>
    <i>
      <x v="317"/>
    </i>
    <i>
      <x v="1"/>
    </i>
    <i>
      <x v="55"/>
    </i>
    <i>
      <x v="707"/>
    </i>
    <i>
      <x v="150"/>
    </i>
    <i>
      <x v="352"/>
    </i>
    <i>
      <x v="151"/>
    </i>
    <i>
      <x v="850"/>
    </i>
    <i>
      <x v="81"/>
    </i>
    <i>
      <x v="975"/>
    </i>
    <i>
      <x v="136"/>
    </i>
    <i>
      <x v="901"/>
    </i>
    <i>
      <x v="971"/>
    </i>
    <i>
      <x v="372"/>
    </i>
    <i>
      <x v="214"/>
    </i>
    <i>
      <x v="71"/>
    </i>
    <i>
      <x v="118"/>
    </i>
    <i>
      <x v="558"/>
    </i>
    <i>
      <x v="129"/>
    </i>
    <i>
      <x v="655"/>
    </i>
    <i>
      <x v="489"/>
    </i>
    <i>
      <x v="670"/>
    </i>
    <i>
      <x v="753"/>
    </i>
    <i>
      <x v="345"/>
    </i>
    <i>
      <x v="404"/>
    </i>
    <i>
      <x v="98"/>
    </i>
    <i>
      <x v="258"/>
    </i>
    <i>
      <x v="628"/>
    </i>
    <i>
      <x v="567"/>
    </i>
    <i>
      <x v="613"/>
    </i>
    <i>
      <x v="394"/>
    </i>
    <i>
      <x v="570"/>
    </i>
    <i>
      <x v="113"/>
    </i>
    <i>
      <x v="68"/>
    </i>
    <i>
      <x v="758"/>
    </i>
    <i>
      <x v="746"/>
    </i>
    <i>
      <x v="848"/>
    </i>
    <i>
      <x v="369"/>
    </i>
    <i>
      <x v="403"/>
    </i>
    <i>
      <x v="721"/>
    </i>
    <i>
      <x v="488"/>
    </i>
    <i>
      <x v="572"/>
    </i>
    <i>
      <x v="899"/>
    </i>
    <i>
      <x v="212"/>
    </i>
    <i>
      <x v="210"/>
    </i>
    <i>
      <x v="185"/>
    </i>
    <i>
      <x v="849"/>
    </i>
    <i>
      <x v="654"/>
    </i>
    <i>
      <x v="149"/>
    </i>
    <i>
      <x v="881"/>
    </i>
    <i>
      <x v="377"/>
    </i>
    <i>
      <x v="968"/>
    </i>
    <i>
      <x v="168"/>
    </i>
    <i>
      <x v="795"/>
    </i>
    <i>
      <x v="307"/>
    </i>
    <i>
      <x v="400"/>
    </i>
    <i>
      <x v="428"/>
    </i>
    <i>
      <x v="625"/>
    </i>
    <i>
      <x v="351"/>
    </i>
    <i>
      <x v="296"/>
    </i>
    <i>
      <x v="568"/>
    </i>
    <i>
      <x v="790"/>
    </i>
    <i>
      <x v="618"/>
    </i>
    <i>
      <x v="977"/>
    </i>
    <i>
      <x v="542"/>
    </i>
    <i>
      <x v="411"/>
    </i>
    <i>
      <x v="656"/>
    </i>
    <i>
      <x v="76"/>
    </i>
    <i>
      <x v="864"/>
    </i>
    <i>
      <x v="821"/>
    </i>
    <i>
      <x v="847"/>
    </i>
    <i>
      <x v="137"/>
    </i>
    <i>
      <x v="736"/>
    </i>
    <i>
      <x v="760"/>
    </i>
    <i>
      <x v="170"/>
    </i>
    <i>
      <x v="745"/>
    </i>
    <i>
      <x v="63"/>
    </i>
    <i>
      <x v="940"/>
    </i>
    <i>
      <x v="184"/>
    </i>
    <i>
      <x v="879"/>
    </i>
    <i>
      <x v="765"/>
    </i>
    <i>
      <x v="336"/>
    </i>
    <i>
      <x v="867"/>
    </i>
    <i>
      <x v="97"/>
    </i>
    <i>
      <x v="340"/>
    </i>
    <i>
      <x v="657"/>
    </i>
    <i>
      <x v="687"/>
    </i>
    <i>
      <x v="128"/>
    </i>
    <i>
      <x v="402"/>
    </i>
    <i>
      <x v="818"/>
    </i>
    <i>
      <x v="398"/>
    </i>
    <i>
      <x v="61"/>
    </i>
    <i>
      <x v="887"/>
    </i>
    <i>
      <x v="90"/>
    </i>
    <i>
      <x v="227"/>
    </i>
    <i>
      <x v="412"/>
    </i>
    <i>
      <x v="722"/>
    </i>
    <i>
      <x v="295"/>
    </i>
    <i>
      <x v="676"/>
    </i>
    <i>
      <x v="752"/>
    </i>
    <i>
      <x v="830"/>
    </i>
    <i>
      <x v="365"/>
    </i>
    <i>
      <x v="165"/>
    </i>
    <i>
      <x v="279"/>
    </i>
    <i>
      <x v="282"/>
    </i>
    <i>
      <x v="681"/>
    </i>
    <i>
      <x v="841"/>
    </i>
    <i>
      <x v="256"/>
    </i>
    <i>
      <x v="280"/>
    </i>
    <i>
      <x v="124"/>
    </i>
    <i>
      <x v="273"/>
    </i>
    <i>
      <x v="374"/>
    </i>
    <i>
      <x v="368"/>
    </i>
    <i>
      <x v="965"/>
    </i>
    <i>
      <x v="661"/>
    </i>
    <i>
      <x v="187"/>
    </i>
    <i>
      <x v="900"/>
    </i>
    <i>
      <x v="82"/>
    </i>
    <i>
      <x v="108"/>
    </i>
    <i>
      <x v="679"/>
    </i>
    <i>
      <x v="153"/>
    </i>
    <i>
      <x v="728"/>
    </i>
    <i>
      <x v="892"/>
    </i>
    <i>
      <x v="408"/>
    </i>
    <i>
      <x v="872"/>
    </i>
    <i>
      <x v="646"/>
    </i>
    <i>
      <x v="69"/>
    </i>
    <i>
      <x v="198"/>
    </i>
    <i>
      <x v="308"/>
    </i>
    <i>
      <x v="318"/>
    </i>
    <i>
      <x v="91"/>
    </i>
    <i>
      <x v="131"/>
    </i>
    <i>
      <x v="322"/>
    </i>
    <i>
      <x v="826"/>
    </i>
    <i>
      <x v="213"/>
    </i>
    <i>
      <x v="363"/>
    </i>
    <i>
      <x v="146"/>
    </i>
    <i>
      <x v="188"/>
    </i>
    <i>
      <x v="72"/>
    </i>
    <i>
      <x v="698"/>
    </i>
    <i>
      <x v="644"/>
    </i>
    <i>
      <x v="388"/>
    </i>
    <i>
      <x v="737"/>
    </i>
    <i>
      <x v="820"/>
    </i>
    <i>
      <x v="277"/>
    </i>
    <i>
      <x v="566"/>
    </i>
    <i>
      <x v="375"/>
    </i>
    <i>
      <x v="569"/>
    </i>
    <i>
      <x v="651"/>
    </i>
    <i>
      <x v="485"/>
    </i>
    <i>
      <x v="863"/>
    </i>
    <i>
      <x v="114"/>
    </i>
    <i>
      <x v="851"/>
    </i>
    <i>
      <x v="819"/>
    </i>
    <i>
      <x v="132"/>
    </i>
    <i>
      <x v="123"/>
    </i>
    <i>
      <x v="680"/>
    </i>
    <i>
      <x v="120"/>
    </i>
    <i>
      <x v="88"/>
    </i>
    <i>
      <x v="883"/>
    </i>
    <i>
      <x v="621"/>
    </i>
    <i>
      <x v="861"/>
    </i>
    <i>
      <x v="626"/>
    </i>
    <i>
      <x v="140"/>
    </i>
    <i>
      <x v="699"/>
    </i>
    <i>
      <x v="383"/>
    </i>
    <i>
      <x v="135"/>
    </i>
    <i>
      <x v="125"/>
    </i>
    <i>
      <x v="376"/>
    </i>
    <i>
      <x v="378"/>
    </i>
    <i>
      <x v="117"/>
    </i>
    <i>
      <x v="191"/>
    </i>
    <i>
      <x v="562"/>
    </i>
    <i>
      <x v="115"/>
    </i>
    <i>
      <x v="116"/>
    </i>
    <i>
      <x v="902"/>
    </i>
    <i>
      <x v="119"/>
    </i>
    <i>
      <x v="686"/>
    </i>
    <i>
      <x v="234"/>
    </i>
    <i>
      <x v="199"/>
    </i>
    <i>
      <x v="107"/>
    </i>
    <i>
      <x v="127"/>
    </i>
    <i>
      <x v="885"/>
    </i>
    <i>
      <x v="401"/>
    </i>
    <i>
      <x v="255"/>
    </i>
    <i>
      <x v="906"/>
    </i>
    <i>
      <x v="395"/>
    </i>
    <i>
      <x v="144"/>
    </i>
    <i>
      <x v="756"/>
    </i>
    <i>
      <x v="409"/>
    </i>
    <i>
      <x v="122"/>
    </i>
    <i>
      <x v="121"/>
    </i>
    <i>
      <x v="405"/>
    </i>
    <i>
      <x v="379"/>
    </i>
    <i>
      <x v="794"/>
    </i>
    <i>
      <x v="575"/>
    </i>
    <i>
      <x v="689"/>
    </i>
    <i>
      <x v="147"/>
    </i>
    <i>
      <x v="216"/>
    </i>
    <i>
      <x v="329"/>
    </i>
    <i>
      <x v="360"/>
    </i>
    <i>
      <x v="565"/>
    </i>
    <i>
      <x v="619"/>
    </i>
    <i>
      <x v="381"/>
    </i>
    <i>
      <x v="190"/>
    </i>
    <i>
      <x v="759"/>
    </i>
    <i>
      <x v="126"/>
    </i>
    <i>
      <x v="852"/>
    </i>
    <i>
      <x v="612"/>
    </i>
    <i>
      <x v="958"/>
    </i>
    <i>
      <x v="339"/>
    </i>
    <i>
      <x v="390"/>
    </i>
    <i>
      <x v="677"/>
    </i>
    <i>
      <x v="898"/>
    </i>
    <i>
      <x v="320"/>
    </i>
    <i>
      <x v="241"/>
    </i>
    <i>
      <x v="961"/>
    </i>
    <i>
      <x v="574"/>
    </i>
    <i>
      <x v="652"/>
    </i>
    <i>
      <x v="766"/>
    </i>
    <i>
      <x v="762"/>
    </i>
    <i>
      <x v="636"/>
    </i>
    <i>
      <x v="240"/>
    </i>
    <i>
      <x v="754"/>
    </i>
    <i>
      <x v="142"/>
    </i>
    <i>
      <x v="397"/>
    </i>
    <i>
      <x v="581"/>
    </i>
    <i>
      <x v="361"/>
    </i>
    <i>
      <x v="772"/>
    </i>
    <i>
      <x v="75"/>
    </i>
    <i>
      <x v="658"/>
    </i>
    <i>
      <x v="278"/>
    </i>
    <i>
      <x v="321"/>
    </i>
    <i>
      <x v="740"/>
    </i>
    <i>
      <x v="695"/>
    </i>
    <i>
      <x v="857"/>
    </i>
    <i>
      <x v="358"/>
    </i>
    <i>
      <x v="362"/>
    </i>
    <i>
      <x v="793"/>
    </i>
    <i>
      <x v="886"/>
    </i>
    <i>
      <x v="112"/>
    </i>
    <i>
      <x v="675"/>
    </i>
    <i>
      <x v="272"/>
    </i>
    <i>
      <x v="367"/>
    </i>
    <i>
      <x v="387"/>
    </i>
    <i>
      <x v="382"/>
    </i>
    <i>
      <x v="617"/>
    </i>
    <i>
      <x v="582"/>
    </i>
    <i>
      <x v="414"/>
    </i>
    <i>
      <x v="206"/>
    </i>
    <i>
      <x v="671"/>
    </i>
    <i>
      <x v="573"/>
    </i>
    <i>
      <x v="884"/>
    </i>
    <i>
      <x v="26"/>
    </i>
    <i>
      <x v="674"/>
    </i>
    <i>
      <x v="389"/>
    </i>
    <i>
      <x v="366"/>
    </i>
    <i>
      <x v="327"/>
    </i>
    <i>
      <x v="963"/>
    </i>
    <i>
      <x v="2"/>
    </i>
    <i>
      <x v="349"/>
    </i>
    <i>
      <x v="969"/>
    </i>
    <i>
      <x v="620"/>
    </i>
    <i>
      <x v="96"/>
    </i>
    <i>
      <x v="667"/>
    </i>
    <i>
      <x v="364"/>
    </i>
    <i>
      <x v="638"/>
    </i>
    <i>
      <x v="967"/>
    </i>
    <i>
      <x v="696"/>
    </i>
    <i>
      <x v="386"/>
    </i>
    <i>
      <x v="908"/>
    </i>
    <i>
      <x v="669"/>
    </i>
    <i>
      <x v="627"/>
    </i>
    <i>
      <x v="338"/>
    </i>
    <i>
      <x v="370"/>
    </i>
    <i>
      <x v="839"/>
    </i>
    <i>
      <x v="907"/>
    </i>
    <i>
      <x v="673"/>
    </i>
    <i>
      <x v="964"/>
    </i>
    <i>
      <x v="697"/>
    </i>
    <i>
      <x v="564"/>
    </i>
    <i>
      <x v="399"/>
    </i>
    <i>
      <x v="973"/>
    </i>
    <i>
      <x v="396"/>
    </i>
    <i>
      <x v="903"/>
    </i>
    <i>
      <x v="972"/>
    </i>
    <i>
      <x v="763"/>
    </i>
    <i>
      <x v="878"/>
    </i>
    <i>
      <x v="410"/>
    </i>
    <i>
      <x v="130"/>
    </i>
    <i>
      <x v="373"/>
    </i>
    <i>
      <x v="931"/>
    </i>
    <i>
      <x v="757"/>
    </i>
    <i>
      <x v="880"/>
    </i>
    <i>
      <x v="896"/>
    </i>
    <i>
      <x v="643"/>
    </i>
    <i>
      <x v="330"/>
    </i>
    <i>
      <x v="391"/>
    </i>
    <i>
      <x v="54"/>
    </i>
    <i>
      <x v="215"/>
    </i>
    <i>
      <x v="690"/>
    </i>
    <i>
      <x v="41"/>
    </i>
    <i>
      <x v="735"/>
    </i>
    <i>
      <x v="380"/>
    </i>
    <i>
      <x v="976"/>
    </i>
    <i>
      <x v="926"/>
    </i>
    <i>
      <x v="257"/>
    </i>
    <i>
      <x v="629"/>
    </i>
    <i>
      <x v="678"/>
    </i>
    <i>
      <x v="143"/>
    </i>
    <i>
      <x v="870"/>
    </i>
    <i t="grand">
      <x/>
    </i>
  </rowItems>
  <colItems count="1">
    <i/>
  </colItems>
  <dataFields count="1">
    <dataField name="Sum of Comments" fld="4" baseField="0" baseItem="0" numFmtId="2"/>
  </dataFields>
  <formats count="1">
    <format dxfId="18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3347D-04C0-4C41-AB05-555D00E6FA1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">
  <location ref="A2:B18" firstHeaderRow="1" firstDataRow="1" firstDataCol="1"/>
  <pivotFields count="16">
    <pivotField showAll="0"/>
    <pivotField numFmtId="14" showAll="0"/>
    <pivotField dataField="1" numFmtId="2" showAll="0"/>
    <pivotField numFmtId="2" showAll="0"/>
    <pivotField numFmtId="2" showAll="0"/>
    <pivotField axis="axisRow" showAll="0">
      <items count="16">
        <item x="14"/>
        <item x="3"/>
        <item x="1"/>
        <item x="0"/>
        <item x="2"/>
        <item x="8"/>
        <item x="13"/>
        <item x="11"/>
        <item x="7"/>
        <item x="12"/>
        <item x="10"/>
        <item x="6"/>
        <item x="9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_Views" fld="2" baseField="5" baseItem="0" numFmtId="2"/>
  </dataFields>
  <formats count="1">
    <format dxfId="17">
      <pivotArea collapsedLevelsAreSubtotals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B001E-7BAE-407E-A515-365BD0A0FC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3:B19" firstHeaderRow="1" firstDataRow="1" firstDataCol="1"/>
  <pivotFields count="16">
    <pivotField dataField="1" showAll="0"/>
    <pivotField numFmtId="14" showAll="0"/>
    <pivotField numFmtId="2" showAll="0"/>
    <pivotField numFmtId="2" showAll="0"/>
    <pivotField numFmtId="2" showAll="0"/>
    <pivotField axis="axisRow" showAll="0">
      <items count="16">
        <item x="14"/>
        <item x="3"/>
        <item x="1"/>
        <item x="0"/>
        <item x="2"/>
        <item x="8"/>
        <item x="13"/>
        <item x="11"/>
        <item x="7"/>
        <item x="12"/>
        <item x="10"/>
        <item x="6"/>
        <item x="9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EA845-2B09-4C50-B420-AACCD04E3C7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16">
    <pivotField showAll="0"/>
    <pivotField numFmtId="14" showAll="0"/>
    <pivotField dataField="1" numFmtId="2" showAll="0"/>
    <pivotField numFmtId="2" showAll="0"/>
    <pivotField numFmtId="2" showAll="0"/>
    <pivotField showAll="0"/>
    <pivotField axis="axisRow" showAll="0">
      <items count="13">
        <item x="8"/>
        <item x="5"/>
        <item x="2"/>
        <item x="1"/>
        <item x="6"/>
        <item x="4"/>
        <item x="3"/>
        <item x="0"/>
        <item x="9"/>
        <item x="10"/>
        <item x="1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Views" fld="2" baseField="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8BA99-7152-4146-B60B-384EEC103FB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>
  <location ref="A3:B11" firstHeaderRow="1" firstDataRow="1" firstDataCol="1"/>
  <pivotFields count="16">
    <pivotField showAll="0"/>
    <pivotField numFmtId="14" showAll="0"/>
    <pivotField dataField="1" numFmtId="2" showAll="0"/>
    <pivotField numFmtId="2" showAll="0"/>
    <pivotField numFmtId="2" showAll="0"/>
    <pivotField showAll="0"/>
    <pivotField showAll="0"/>
    <pivotField axis="axisRow"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Views" fld="2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07DDF-4C73-4AEE-8BCC-A294B0BFD33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op 10 Videos">
  <location ref="A3:B14" firstHeaderRow="1" firstDataRow="1" firstDataCol="1"/>
  <pivotFields count="16">
    <pivotField axis="axisRow" showAll="0" measureFilter="1" sortType="descending">
      <items count="979">
        <item x="1"/>
        <item x="4"/>
        <item x="134"/>
        <item x="482"/>
        <item x="258"/>
        <item x="62"/>
        <item x="222"/>
        <item x="508"/>
        <item x="475"/>
        <item x="194"/>
        <item x="99"/>
        <item x="144"/>
        <item x="118"/>
        <item x="155"/>
        <item x="44"/>
        <item x="141"/>
        <item x="407"/>
        <item x="61"/>
        <item x="199"/>
        <item x="219"/>
        <item x="809"/>
        <item x="794"/>
        <item x="469"/>
        <item x="483"/>
        <item x="178"/>
        <item x="180"/>
        <item x="672"/>
        <item x="82"/>
        <item x="94"/>
        <item x="263"/>
        <item x="323"/>
        <item x="366"/>
        <item x="843"/>
        <item x="645"/>
        <item x="647"/>
        <item x="96"/>
        <item x="277"/>
        <item x="511"/>
        <item x="643"/>
        <item x="642"/>
        <item x="901"/>
        <item x="633"/>
        <item x="65"/>
        <item x="410"/>
        <item x="548"/>
        <item x="437"/>
        <item x="414"/>
        <item x="658"/>
        <item x="502"/>
        <item x="510"/>
        <item x="415"/>
        <item x="127"/>
        <item x="243"/>
        <item x="75"/>
        <item x="569"/>
        <item x="662"/>
        <item x="6"/>
        <item x="376"/>
        <item x="47"/>
        <item x="888"/>
        <item x="712"/>
        <item x="90"/>
        <item x="124"/>
        <item x="79"/>
        <item x="693"/>
        <item x="661"/>
        <item x="708"/>
        <item x="478"/>
        <item x="7"/>
        <item x="526"/>
        <item x="598"/>
        <item x="666"/>
        <item x="698"/>
        <item x="184"/>
        <item x="525"/>
        <item x="595"/>
        <item x="11"/>
        <item x="379"/>
        <item x="586"/>
        <item x="372"/>
        <item x="107"/>
        <item x="296"/>
        <item x="571"/>
        <item x="474"/>
        <item x="98"/>
        <item x="160"/>
        <item x="261"/>
        <item x="221"/>
        <item x="833"/>
        <item x="109"/>
        <item x="892"/>
        <item x="496"/>
        <item x="500"/>
        <item x="305"/>
        <item x="319"/>
        <item x="198"/>
        <item x="596"/>
        <item x="830"/>
        <item x="128"/>
        <item x="244"/>
        <item x="216"/>
        <item x="233"/>
        <item x="585"/>
        <item x="781"/>
        <item x="841"/>
        <item x="876"/>
        <item x="255"/>
        <item x="935"/>
        <item x="212"/>
        <item x="238"/>
        <item x="860"/>
        <item x="322"/>
        <item x="497"/>
        <item x="574"/>
        <item x="602"/>
        <item x="924"/>
        <item x="529"/>
        <item x="330"/>
        <item x="34"/>
        <item x="427"/>
        <item x="632"/>
        <item x="599"/>
        <item x="791"/>
        <item x="631"/>
        <item x="747"/>
        <item x="720"/>
        <item x="871"/>
        <item x="152"/>
        <item x="834"/>
        <item x="393"/>
        <item x="851"/>
        <item x="273"/>
        <item x="914"/>
        <item x="161"/>
        <item x="224"/>
        <item x="629"/>
        <item x="882"/>
        <item x="699"/>
        <item x="163"/>
        <item x="453"/>
        <item x="971"/>
        <item x="209"/>
        <item x="972"/>
        <item x="917"/>
        <item x="678"/>
        <item x="292"/>
        <item x="793"/>
        <item x="302"/>
        <item x="742"/>
        <item x="915"/>
        <item x="130"/>
        <item x="941"/>
        <item x="329"/>
        <item x="750"/>
        <item x="357"/>
        <item x="562"/>
        <item x="77"/>
        <item x="0"/>
        <item x="680"/>
        <item x="291"/>
        <item x="480"/>
        <item x="39"/>
        <item x="587"/>
        <item x="533"/>
        <item x="522"/>
        <item x="788"/>
        <item x="195"/>
        <item x="434"/>
        <item x="930"/>
        <item x="162"/>
        <item x="132"/>
        <item x="588"/>
        <item x="655"/>
        <item x="688"/>
        <item x="583"/>
        <item x="889"/>
        <item x="416"/>
        <item x="100"/>
        <item x="142"/>
        <item x="229"/>
        <item x="433"/>
        <item x="149"/>
        <item x="553"/>
        <item x="499"/>
        <item x="108"/>
        <item x="48"/>
        <item x="66"/>
        <item x="33"/>
        <item x="31"/>
        <item x="381"/>
        <item x="35"/>
        <item x="458"/>
        <item x="59"/>
        <item x="304"/>
        <item x="442"/>
        <item x="350"/>
        <item x="449"/>
        <item x="563"/>
        <item x="394"/>
        <item x="113"/>
        <item x="657"/>
        <item x="827"/>
        <item x="561"/>
        <item x="845"/>
        <item x="938"/>
        <item x="962"/>
        <item x="695"/>
        <item x="926"/>
        <item x="278"/>
        <item x="95"/>
        <item x="456"/>
        <item x="584"/>
        <item x="491"/>
        <item x="392"/>
        <item x="64"/>
        <item x="744"/>
        <item x="334"/>
        <item x="317"/>
        <item x="252"/>
        <item x="867"/>
        <item x="714"/>
        <item x="798"/>
        <item x="515"/>
        <item x="620"/>
        <item x="756"/>
        <item x="236"/>
        <item x="763"/>
        <item x="168"/>
        <item x="193"/>
        <item x="167"/>
        <item x="359"/>
        <item x="627"/>
        <item x="615"/>
        <item x="266"/>
        <item x="969"/>
        <item x="386"/>
        <item x="628"/>
        <item x="566"/>
        <item x="293"/>
        <item x="706"/>
        <item x="365"/>
        <item x="848"/>
        <item x="505"/>
        <item x="320"/>
        <item x="156"/>
        <item x="339"/>
        <item x="23"/>
        <item x="677"/>
        <item x="792"/>
        <item x="346"/>
        <item x="256"/>
        <item x="257"/>
        <item x="60"/>
        <item x="97"/>
        <item x="540"/>
        <item x="301"/>
        <item x="151"/>
        <item x="670"/>
        <item x="592"/>
        <item x="893"/>
        <item x="404"/>
        <item x="371"/>
        <item x="861"/>
        <item x="196"/>
        <item x="470"/>
        <item x="406"/>
        <item x="342"/>
        <item x="185"/>
        <item x="303"/>
        <item x="181"/>
        <item x="581"/>
        <item x="312"/>
        <item x="667"/>
        <item x="849"/>
        <item x="654"/>
        <item x="607"/>
        <item x="138"/>
        <item x="726"/>
        <item x="364"/>
        <item x="431"/>
        <item x="457"/>
        <item x="402"/>
        <item x="9"/>
        <item x="590"/>
        <item x="552"/>
        <item x="731"/>
        <item x="441"/>
        <item x="711"/>
        <item x="858"/>
        <item x="481"/>
        <item x="732"/>
        <item x="120"/>
        <item x="898"/>
        <item x="484"/>
        <item x="839"/>
        <item x="425"/>
        <item x="837"/>
        <item x="751"/>
        <item x="767"/>
        <item x="727"/>
        <item x="824"/>
        <item x="866"/>
        <item x="823"/>
        <item x="854"/>
        <item x="820"/>
        <item x="752"/>
        <item x="448"/>
        <item x="30"/>
        <item x="391"/>
        <item x="840"/>
        <item x="145"/>
        <item x="977"/>
        <item x="37"/>
        <item x="117"/>
        <item x="321"/>
        <item x="182"/>
        <item x="54"/>
        <item x="955"/>
        <item x="637"/>
        <item x="881"/>
        <item x="298"/>
        <item x="460"/>
        <item x="133"/>
        <item x="45"/>
        <item x="38"/>
        <item x="804"/>
        <item x="589"/>
        <item x="748"/>
        <item x="370"/>
        <item x="191"/>
        <item x="954"/>
        <item x="179"/>
        <item x="287"/>
        <item x="230"/>
        <item x="280"/>
        <item x="314"/>
        <item x="702"/>
        <item x="743"/>
        <item x="968"/>
        <item x="890"/>
        <item x="916"/>
        <item x="53"/>
        <item x="63"/>
        <item x="765"/>
        <item x="188"/>
        <item x="664"/>
        <item x="537"/>
        <item x="536"/>
        <item x="956"/>
        <item x="635"/>
        <item x="828"/>
        <item x="960"/>
        <item x="770"/>
        <item x="351"/>
        <item x="337"/>
        <item x="863"/>
        <item x="435"/>
        <item x="862"/>
        <item x="567"/>
        <item x="626"/>
        <item x="950"/>
        <item x="572"/>
        <item x="700"/>
        <item x="777"/>
        <item x="267"/>
        <item x="565"/>
        <item x="690"/>
        <item x="774"/>
        <item x="957"/>
        <item x="270"/>
        <item x="873"/>
        <item x="385"/>
        <item x="805"/>
        <item x="746"/>
        <item x="847"/>
        <item x="807"/>
        <item x="922"/>
        <item x="868"/>
        <item x="603"/>
        <item x="432"/>
        <item x="600"/>
        <item x="850"/>
        <item x="773"/>
        <item x="745"/>
        <item x="591"/>
        <item x="902"/>
        <item x="630"/>
        <item x="891"/>
        <item x="498"/>
        <item x="570"/>
        <item x="716"/>
        <item x="723"/>
        <item x="464"/>
        <item x="509"/>
        <item x="452"/>
        <item x="495"/>
        <item x="153"/>
        <item x="852"/>
        <item x="906"/>
        <item x="668"/>
        <item x="269"/>
        <item x="214"/>
        <item x="905"/>
        <item x="832"/>
        <item x="884"/>
        <item x="919"/>
        <item x="829"/>
        <item x="489"/>
        <item x="692"/>
        <item x="953"/>
        <item x="175"/>
        <item x="597"/>
        <item x="966"/>
        <item x="764"/>
        <item x="673"/>
        <item x="451"/>
        <item x="57"/>
        <item x="58"/>
        <item x="467"/>
        <item x="619"/>
        <item x="85"/>
        <item x="307"/>
        <item x="226"/>
        <item x="681"/>
        <item x="575"/>
        <item x="235"/>
        <item x="164"/>
        <item x="383"/>
        <item x="694"/>
        <item x="159"/>
        <item x="761"/>
        <item x="738"/>
        <item x="311"/>
        <item x="684"/>
        <item x="737"/>
        <item x="886"/>
        <item x="801"/>
        <item x="71"/>
        <item x="443"/>
        <item x="544"/>
        <item x="200"/>
        <item x="558"/>
        <item x="739"/>
        <item x="186"/>
        <item x="556"/>
        <item x="547"/>
        <item x="606"/>
        <item x="638"/>
        <item x="782"/>
        <item x="420"/>
        <item x="819"/>
        <item x="367"/>
        <item x="87"/>
        <item x="895"/>
        <item x="318"/>
        <item x="932"/>
        <item x="931"/>
        <item x="880"/>
        <item x="940"/>
        <item x="921"/>
        <item x="479"/>
        <item x="964"/>
        <item x="514"/>
        <item x="289"/>
        <item x="639"/>
        <item x="951"/>
        <item x="713"/>
        <item x="826"/>
        <item x="618"/>
        <item x="939"/>
        <item x="355"/>
        <item x="234"/>
        <item x="340"/>
        <item x="555"/>
        <item x="644"/>
        <item x="846"/>
        <item x="802"/>
        <item x="730"/>
        <item x="549"/>
        <item x="908"/>
        <item x="625"/>
        <item x="471"/>
        <item x="121"/>
        <item x="227"/>
        <item x="306"/>
        <item x="494"/>
        <item x="374"/>
        <item x="88"/>
        <item x="114"/>
        <item x="454"/>
        <item x="345"/>
        <item x="285"/>
        <item x="262"/>
        <item x="70"/>
        <item x="187"/>
        <item x="959"/>
        <item x="19"/>
        <item x="900"/>
        <item x="72"/>
        <item x="282"/>
        <item x="814"/>
        <item x="517"/>
        <item x="513"/>
        <item x="476"/>
        <item x="705"/>
        <item x="609"/>
        <item x="347"/>
        <item x="947"/>
        <item x="617"/>
        <item x="812"/>
        <item x="816"/>
        <item x="43"/>
        <item x="50"/>
        <item x="51"/>
        <item x="754"/>
        <item x="343"/>
        <item x="753"/>
        <item x="369"/>
        <item x="102"/>
        <item x="755"/>
        <item x="735"/>
        <item x="803"/>
        <item x="800"/>
        <item x="545"/>
        <item x="503"/>
        <item x="473"/>
        <item x="687"/>
        <item x="796"/>
        <item x="418"/>
        <item x="254"/>
        <item x="608"/>
        <item x="197"/>
        <item x="543"/>
        <item x="887"/>
        <item x="799"/>
        <item x="728"/>
        <item x="650"/>
        <item x="440"/>
        <item x="811"/>
        <item x="375"/>
        <item x="541"/>
        <item x="683"/>
        <item x="531"/>
        <item x="534"/>
        <item x="204"/>
        <item x="865"/>
        <item x="276"/>
        <item x="709"/>
        <item x="353"/>
        <item x="377"/>
        <item x="577"/>
        <item x="604"/>
        <item x="126"/>
        <item x="656"/>
        <item x="610"/>
        <item x="842"/>
        <item x="660"/>
        <item x="119"/>
        <item x="190"/>
        <item x="40"/>
        <item x="766"/>
        <item x="760"/>
        <item x="14"/>
        <item x="507"/>
        <item x="674"/>
        <item x="970"/>
        <item x="333"/>
        <item x="268"/>
        <item x="395"/>
        <item x="907"/>
        <item x="918"/>
        <item x="344"/>
        <item x="663"/>
        <item x="275"/>
        <item x="488"/>
        <item x="527"/>
        <item x="210"/>
        <item x="232"/>
        <item x="148"/>
        <item x="36"/>
        <item x="281"/>
        <item x="872"/>
        <item x="808"/>
        <item x="283"/>
        <item x="83"/>
        <item x="338"/>
        <item x="368"/>
        <item x="506"/>
        <item x="542"/>
        <item x="759"/>
        <item x="403"/>
        <item x="686"/>
        <item x="550"/>
        <item x="733"/>
        <item x="646"/>
        <item x="894"/>
        <item x="817"/>
        <item x="710"/>
        <item x="612"/>
        <item x="758"/>
        <item x="259"/>
        <item x="925"/>
        <item x="797"/>
        <item x="844"/>
        <item x="378"/>
        <item x="778"/>
        <item x="648"/>
        <item x="477"/>
        <item x="512"/>
        <item x="468"/>
        <item x="707"/>
        <item x="821"/>
        <item x="56"/>
        <item x="853"/>
        <item x="205"/>
        <item x="786"/>
        <item x="201"/>
        <item x="904"/>
        <item x="838"/>
        <item x="15"/>
        <item x="675"/>
        <item x="636"/>
        <item x="787"/>
        <item x="551"/>
        <item x="795"/>
        <item x="360"/>
        <item x="300"/>
        <item x="172"/>
        <item x="835"/>
        <item x="665"/>
        <item x="877"/>
        <item x="140"/>
        <item x="125"/>
        <item x="768"/>
        <item x="623"/>
        <item x="928"/>
        <item x="461"/>
        <item x="55"/>
        <item x="249"/>
        <item x="903"/>
        <item x="715"/>
        <item x="208"/>
        <item x="717"/>
        <item x="22"/>
        <item x="80"/>
        <item x="651"/>
        <item x="29"/>
        <item x="165"/>
        <item x="485"/>
        <item x="771"/>
        <item x="679"/>
        <item x="328"/>
        <item x="13"/>
        <item x="390"/>
        <item x="944"/>
        <item x="949"/>
        <item x="213"/>
        <item x="490"/>
        <item x="110"/>
        <item x="382"/>
        <item x="86"/>
        <item x="297"/>
        <item x="265"/>
        <item x="560"/>
        <item x="32"/>
        <item x="105"/>
        <item x="384"/>
        <item x="112"/>
        <item x="237"/>
        <item x="429"/>
        <item x="78"/>
        <item x="836"/>
        <item x="241"/>
        <item x="173"/>
        <item x="18"/>
        <item x="961"/>
        <item x="463"/>
        <item x="398"/>
        <item x="671"/>
        <item x="20"/>
        <item x="247"/>
        <item x="946"/>
        <item x="685"/>
        <item x="74"/>
        <item x="594"/>
        <item x="388"/>
        <item x="934"/>
        <item x="170"/>
        <item x="444"/>
        <item x="724"/>
        <item x="331"/>
        <item x="309"/>
        <item x="27"/>
        <item x="69"/>
        <item x="652"/>
        <item x="430"/>
        <item x="870"/>
        <item x="459"/>
        <item x="92"/>
        <item x="885"/>
        <item x="316"/>
        <item x="879"/>
        <item x="419"/>
        <item x="106"/>
        <item x="933"/>
        <item x="719"/>
        <item x="455"/>
        <item x="883"/>
        <item x="967"/>
        <item x="260"/>
        <item x="447"/>
        <item x="326"/>
        <item x="408"/>
        <item x="869"/>
        <item x="831"/>
        <item x="899"/>
        <item x="923"/>
        <item x="158"/>
        <item x="202"/>
        <item x="929"/>
        <item x="621"/>
        <item x="10"/>
        <item x="396"/>
        <item x="12"/>
        <item x="218"/>
        <item x="943"/>
        <item x="784"/>
        <item x="976"/>
        <item x="669"/>
        <item x="122"/>
        <item x="975"/>
        <item x="896"/>
        <item x="486"/>
        <item x="411"/>
        <item x="143"/>
        <item x="634"/>
        <item x="76"/>
        <item x="192"/>
        <item x="405"/>
        <item x="518"/>
        <item x="958"/>
        <item x="203"/>
        <item x="279"/>
        <item x="640"/>
        <item x="576"/>
        <item x="115"/>
        <item x="177"/>
        <item x="46"/>
        <item x="659"/>
        <item x="325"/>
        <item x="288"/>
        <item x="166"/>
        <item x="696"/>
        <item x="169"/>
        <item x="26"/>
        <item x="264"/>
        <item x="601"/>
        <item x="965"/>
        <item x="387"/>
        <item x="492"/>
        <item x="530"/>
        <item x="129"/>
        <item x="703"/>
        <item x="246"/>
        <item x="154"/>
        <item x="176"/>
        <item x="945"/>
        <item x="313"/>
        <item x="559"/>
        <item x="614"/>
        <item x="546"/>
        <item x="818"/>
        <item x="215"/>
        <item x="341"/>
        <item x="336"/>
        <item x="401"/>
        <item x="354"/>
        <item x="409"/>
        <item x="909"/>
        <item x="611"/>
        <item x="412"/>
        <item x="3"/>
        <item x="16"/>
        <item x="271"/>
        <item x="523"/>
        <item x="521"/>
        <item x="116"/>
        <item x="223"/>
        <item x="147"/>
        <item x="682"/>
        <item x="174"/>
        <item x="171"/>
        <item x="21"/>
        <item x="135"/>
        <item x="974"/>
        <item x="397"/>
        <item x="332"/>
        <item x="912"/>
        <item x="450"/>
        <item x="757"/>
        <item x="859"/>
        <item x="734"/>
        <item x="910"/>
        <item x="605"/>
        <item x="810"/>
        <item x="616"/>
        <item x="857"/>
        <item x="538"/>
        <item x="813"/>
        <item x="911"/>
        <item x="878"/>
        <item x="815"/>
        <item x="579"/>
        <item x="580"/>
        <item x="729"/>
        <item x="875"/>
        <item x="123"/>
        <item x="28"/>
        <item x="701"/>
        <item x="389"/>
        <item x="462"/>
        <item x="524"/>
        <item x="445"/>
        <item x="335"/>
        <item x="573"/>
        <item x="718"/>
        <item x="963"/>
        <item x="217"/>
        <item x="422"/>
        <item x="290"/>
        <item x="245"/>
        <item x="41"/>
        <item x="424"/>
        <item x="582"/>
        <item x="42"/>
        <item x="67"/>
        <item x="358"/>
        <item x="948"/>
        <item x="436"/>
        <item x="248"/>
        <item x="228"/>
        <item x="2"/>
        <item x="139"/>
        <item x="446"/>
        <item x="239"/>
        <item x="557"/>
        <item x="519"/>
        <item x="487"/>
        <item x="691"/>
        <item x="362"/>
        <item x="789"/>
        <item x="137"/>
        <item x="721"/>
        <item x="52"/>
        <item x="649"/>
        <item x="84"/>
        <item x="520"/>
        <item x="942"/>
        <item x="89"/>
        <item x="740"/>
        <item x="578"/>
        <item x="5"/>
        <item x="426"/>
        <item x="676"/>
        <item x="189"/>
        <item x="231"/>
        <item x="103"/>
        <item x="806"/>
        <item x="762"/>
        <item x="864"/>
        <item x="736"/>
        <item x="825"/>
        <item x="725"/>
        <item x="324"/>
        <item x="783"/>
        <item x="622"/>
        <item x="822"/>
        <item x="741"/>
        <item x="111"/>
        <item x="772"/>
        <item x="937"/>
        <item x="211"/>
        <item x="242"/>
        <item x="81"/>
        <item x="363"/>
        <item x="790"/>
        <item x="528"/>
        <item x="722"/>
        <item x="349"/>
        <item x="91"/>
        <item x="131"/>
        <item x="472"/>
        <item x="361"/>
        <item x="624"/>
        <item x="417"/>
        <item x="251"/>
        <item x="775"/>
        <item x="356"/>
        <item x="749"/>
        <item x="327"/>
        <item x="568"/>
        <item x="689"/>
        <item x="272"/>
        <item x="428"/>
        <item x="286"/>
        <item x="240"/>
        <item x="704"/>
        <item x="927"/>
        <item x="136"/>
        <item x="539"/>
        <item x="400"/>
        <item x="250"/>
        <item x="183"/>
        <item x="897"/>
        <item x="465"/>
        <item x="253"/>
        <item x="157"/>
        <item x="438"/>
        <item x="501"/>
        <item x="220"/>
        <item x="308"/>
        <item x="101"/>
        <item x="913"/>
        <item x="779"/>
        <item x="310"/>
        <item x="68"/>
        <item x="493"/>
        <item x="780"/>
        <item x="380"/>
        <item x="225"/>
        <item x="284"/>
        <item x="93"/>
        <item x="206"/>
        <item x="423"/>
        <item x="352"/>
        <item x="564"/>
        <item x="785"/>
        <item x="769"/>
        <item x="421"/>
        <item x="207"/>
        <item x="593"/>
        <item x="294"/>
        <item x="315"/>
        <item x="532"/>
        <item x="535"/>
        <item x="641"/>
        <item x="399"/>
        <item x="439"/>
        <item x="874"/>
        <item x="856"/>
        <item x="855"/>
        <item x="504"/>
        <item x="466"/>
        <item x="413"/>
        <item x="554"/>
        <item x="613"/>
        <item x="516"/>
        <item x="348"/>
        <item x="776"/>
        <item x="146"/>
        <item x="104"/>
        <item x="274"/>
        <item x="653"/>
        <item x="8"/>
        <item x="49"/>
        <item x="17"/>
        <item x="373"/>
        <item x="697"/>
        <item x="25"/>
        <item x="24"/>
        <item x="150"/>
        <item x="920"/>
        <item x="936"/>
        <item x="952"/>
        <item x="73"/>
        <item x="973"/>
        <item x="299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99"/>
    </i>
    <i>
      <x v="943"/>
    </i>
    <i>
      <x v="313"/>
    </i>
    <i>
      <x v="786"/>
    </i>
    <i>
      <x v="28"/>
    </i>
    <i>
      <x v="312"/>
    </i>
    <i>
      <x v="294"/>
    </i>
    <i>
      <x v="100"/>
    </i>
    <i>
      <x v="579"/>
    </i>
    <i>
      <x v="276"/>
    </i>
    <i t="grand">
      <x/>
    </i>
  </rowItems>
  <colItems count="1">
    <i/>
  </colItems>
  <dataFields count="1">
    <dataField name="Total Views" fld="2" baseField="0" baseItem="299" numFmtId="2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1037D-8A5C-4F6F-ABA3-EEC2156B51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Video_Categories">
  <location ref="A3:B9" firstHeaderRow="1" firstDataRow="1" firstDataCol="1"/>
  <pivotFields count="16">
    <pivotField showAll="0"/>
    <pivotField numFmtId="14" showAll="0"/>
    <pivotField dataField="1"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iews" fld="2" subtotal="average" baseField="14" baseItem="0" numFmtId="1"/>
  </dataFields>
  <formats count="3">
    <format dxfId="16">
      <pivotArea collapsedLevelsAreSubtotals="1" fieldPosition="0">
        <references count="1">
          <reference field="14" count="1">
            <x v="0"/>
          </reference>
        </references>
      </pivotArea>
    </format>
    <format dxfId="15">
      <pivotArea outline="0" collapsedLevelsAreSubtotals="1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D8834-BF09-4B66-8DD0-EB5EFD6215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Video_Category">
  <location ref="A1:B7" firstHeaderRow="1" firstDataRow="1" firstDataCol="1"/>
  <pivotFields count="16">
    <pivotField showAll="0"/>
    <pivotField numFmtId="14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ikes" fld="3" subtotal="average" baseField="14" baseItem="0" numFmtId="2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A8E4E-85AA-4695-A5EB-58C03B1032F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Video_Category">
  <location ref="A3:B9" firstHeaderRow="1" firstDataRow="1" firstDataCol="1"/>
  <pivotFields count="16">
    <pivotField showAll="0"/>
    <pivotField numFmtId="14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mments" fld="4" subtotal="average" baseField="14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BE56D-E8E8-42E3-9BA4-313D20CAC3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9" firstHeaderRow="1" firstDataRow="1" firstDataCol="1"/>
  <pivotFields count="16">
    <pivotField dataField="1" showAll="0"/>
    <pivotField numFmtId="14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tle" fld="0" subtotal="count" baseField="1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B3FA5-DEB8-43A9-9EBB-18D0AD6478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9" firstHeaderRow="1" firstDataRow="1" firstDataCol="1"/>
  <pivotFields count="16">
    <pivotField showAll="0"/>
    <pivotField numFmtId="14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dataField="1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_Rate" fld="15" subtotal="average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C421E-849B-411A-A38E-65474B15ED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C9" firstHeaderRow="0" firstDataRow="1" firstDataCol="1"/>
  <pivotFields count="16">
    <pivotField showAll="0"/>
    <pivotField numFmtId="14" showAll="0"/>
    <pivotField dataField="1" numFmtId="2" showAll="0"/>
    <pivotField numFmtId="2"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g Views" fld="2" subtotal="average" baseField="14" baseItem="0" numFmtId="2"/>
    <dataField name="Avg Engament Rate" fld="8" subtotal="average" baseField="14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D8AA1-8554-48A5-904E-9E3369DDE159}" name="Table1" displayName="Table1" ref="A1:O988" totalsRowShown="0">
  <autoFilter ref="A1:O988" xr:uid="{C36D8AA1-8554-48A5-904E-9E3369DDE159}">
    <filterColumn colId="5">
      <filters>
        <filter val="2026"/>
      </filters>
    </filterColumn>
  </autoFilter>
  <sortState xmlns:xlrd2="http://schemas.microsoft.com/office/spreadsheetml/2017/richdata2" ref="A6:O528">
    <sortCondition descending="1" ref="K1:K988"/>
  </sortState>
  <tableColumns count="15">
    <tableColumn id="1" xr3:uid="{5E7A5465-5910-4E56-A0E1-4B13F8C8D026}" name="Title"/>
    <tableColumn id="2" xr3:uid="{34150884-43F0-4B1F-972A-869D07504CC4}" name="Published_Date" dataDxfId="13"/>
    <tableColumn id="3" xr3:uid="{1A02C16F-8CA6-4CA4-96F0-99DA9349D75C}" name="Views" dataDxfId="12" dataCellStyle="Comma"/>
    <tableColumn id="4" xr3:uid="{BE17A290-81F7-4208-A1FC-3393C3772569}" name="Likes" dataDxfId="11"/>
    <tableColumn id="5" xr3:uid="{5FCBFAB5-7AE7-47A7-83B1-4E9AA23DD366}" name="Comments" dataDxfId="10"/>
    <tableColumn id="9" xr3:uid="{16C4C766-3EC6-40F1-A350-5DAAA131BB26}" name="Year" dataDxfId="9">
      <calculatedColumnFormula>YEAR(B2)</calculatedColumnFormula>
    </tableColumn>
    <tableColumn id="10" xr3:uid="{E4BBEEA1-AA64-435E-84AD-C51CAFE5A2D4}" name="Month" dataDxfId="8">
      <calculatedColumnFormula>TEXT(B2,"MMMM")</calculatedColumnFormula>
    </tableColumn>
    <tableColumn id="11" xr3:uid="{A1097D16-93E3-4454-BBBD-77D1E6F0699F}" name="Day" dataDxfId="7">
      <calculatedColumnFormula>TEXT(B2, "DDDD")</calculatedColumnFormula>
    </tableColumn>
    <tableColumn id="12" xr3:uid="{AFF44771-1A37-4275-89AA-2E9D15722A3E}" name="Engament Rate" dataDxfId="6">
      <calculatedColumnFormula>((D2+E2)/C2)*100</calculatedColumnFormula>
    </tableColumn>
    <tableColumn id="13" xr3:uid="{DD68DD60-A5AC-47B6-90F5-5F9B1E553570}" name="Likes per 1000 Views" dataDxfId="5">
      <calculatedColumnFormula>(D2/C2)*1000</calculatedColumnFormula>
    </tableColumn>
    <tableColumn id="14" xr3:uid="{6386ECAF-4F1F-4559-BCFF-6231ECF1C5DE}" name="Comments per 1000  Views" dataDxfId="4">
      <calculatedColumnFormula>(E2/C2)*1000</calculatedColumnFormula>
    </tableColumn>
    <tableColumn id="6" xr3:uid="{948023F4-C720-4CDF-A122-DD181EB5B36D}" name="Correlation Analysis Views vs Likes" dataDxfId="3">
      <calculatedColumnFormula>CORREL(C2:C500, D2:D500)</calculatedColumnFormula>
    </tableColumn>
    <tableColumn id="7" xr3:uid="{C836F387-9088-4CD3-BA3D-273734D1C64B}" name="Correlation Views Vs Comments" dataDxfId="2">
      <calculatedColumnFormula>CORREL(C2:C500,E2:E500)</calculatedColumnFormula>
    </tableColumn>
    <tableColumn id="8" xr3:uid="{2715ED2C-B916-422B-9105-FFDDF117AB15}" name="Title Length" dataDxfId="1">
      <calculatedColumnFormula>LEN(A2)</calculatedColumnFormula>
    </tableColumn>
    <tableColumn id="23" xr3:uid="{494A03DB-6BEA-4A3B-B8C0-570AF34C9B12}" name="Video_Category" dataDxfId="0">
      <calculatedColumnFormula>IF(ISNUMBER(SEARCH("$",A2)), "Money", IF(ISNUMBER(SEARCH("Win",A2)), "Challenge",IF(ISNUMBER(SEARCH("Challenge",A2)), "Challenge",IF(ISNUMBER(SEARCH("Last To Leave",A2)),"Challenge",IF(ISNUMBER(SEARCH("Giving Away", A2)),"Giveaway",IF(ISNUMBER(SEARCH("Stranded",A2)),"Survival", IF(ISNUMBER(SEARCH("Survive",A2)), "Survival", IF(ISNUMBER(SEARCH("Days",A2)),"Endurance","Other"))))))))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1E12-159D-42C9-82D9-B305DE790D95}">
  <dimension ref="A1:B983"/>
  <sheetViews>
    <sheetView workbookViewId="0">
      <selection activeCell="C18" sqref="C18"/>
    </sheetView>
  </sheetViews>
  <sheetFormatPr defaultRowHeight="14.4" x14ac:dyDescent="0.3"/>
  <cols>
    <col min="1" max="1" width="90.21875" bestFit="1" customWidth="1"/>
    <col min="2" max="2" width="16.33203125" bestFit="1" customWidth="1"/>
  </cols>
  <sheetData>
    <row r="1" spans="1:2" ht="18" x14ac:dyDescent="0.35">
      <c r="A1" s="7"/>
    </row>
    <row r="2" spans="1:2" ht="25.8" x14ac:dyDescent="0.5">
      <c r="A2" s="9" t="s">
        <v>992</v>
      </c>
    </row>
    <row r="3" spans="1:2" ht="25.8" x14ac:dyDescent="0.5">
      <c r="A3" s="9"/>
    </row>
    <row r="4" spans="1:2" x14ac:dyDescent="0.3">
      <c r="A4" s="5" t="s">
        <v>0</v>
      </c>
      <c r="B4" t="s">
        <v>989</v>
      </c>
    </row>
    <row r="5" spans="1:2" x14ac:dyDescent="0.3">
      <c r="A5" s="6" t="s">
        <v>273</v>
      </c>
      <c r="B5" s="8">
        <v>1816848204</v>
      </c>
    </row>
    <row r="6" spans="1:2" x14ac:dyDescent="0.3">
      <c r="A6" s="6" t="s">
        <v>269</v>
      </c>
      <c r="B6" s="8">
        <v>1763457596</v>
      </c>
    </row>
    <row r="7" spans="1:2" x14ac:dyDescent="0.3">
      <c r="A7" s="6" t="s">
        <v>201</v>
      </c>
      <c r="B7" s="8">
        <v>1660965595</v>
      </c>
    </row>
    <row r="8" spans="1:2" x14ac:dyDescent="0.3">
      <c r="A8" s="6" t="s">
        <v>54</v>
      </c>
      <c r="B8" s="8">
        <v>1516831635</v>
      </c>
    </row>
    <row r="9" spans="1:2" x14ac:dyDescent="0.3">
      <c r="A9" s="6" t="s">
        <v>236</v>
      </c>
      <c r="B9" s="8">
        <v>1329975358</v>
      </c>
    </row>
    <row r="10" spans="1:2" x14ac:dyDescent="0.3">
      <c r="A10" s="6" t="s">
        <v>18</v>
      </c>
      <c r="B10" s="8">
        <v>1246650395</v>
      </c>
    </row>
    <row r="11" spans="1:2" x14ac:dyDescent="0.3">
      <c r="A11" s="6" t="s">
        <v>59</v>
      </c>
      <c r="B11" s="8">
        <v>1221190093</v>
      </c>
    </row>
    <row r="12" spans="1:2" x14ac:dyDescent="0.3">
      <c r="A12" s="6" t="s">
        <v>91</v>
      </c>
      <c r="B12" s="8">
        <v>1211809470</v>
      </c>
    </row>
    <row r="13" spans="1:2" x14ac:dyDescent="0.3">
      <c r="A13" s="6" t="s">
        <v>239</v>
      </c>
      <c r="B13" s="8">
        <v>1181331718</v>
      </c>
    </row>
    <row r="14" spans="1:2" x14ac:dyDescent="0.3">
      <c r="A14" s="6" t="s">
        <v>50</v>
      </c>
      <c r="B14" s="8">
        <v>1150823786</v>
      </c>
    </row>
    <row r="15" spans="1:2" x14ac:dyDescent="0.3">
      <c r="A15" s="6" t="s">
        <v>258</v>
      </c>
      <c r="B15" s="8">
        <v>991961264</v>
      </c>
    </row>
    <row r="16" spans="1:2" x14ac:dyDescent="0.3">
      <c r="A16" s="6" t="s">
        <v>195</v>
      </c>
      <c r="B16" s="8">
        <v>977075193</v>
      </c>
    </row>
    <row r="17" spans="1:2" x14ac:dyDescent="0.3">
      <c r="A17" s="6" t="s">
        <v>289</v>
      </c>
      <c r="B17" s="8">
        <v>936855846</v>
      </c>
    </row>
    <row r="18" spans="1:2" x14ac:dyDescent="0.3">
      <c r="A18" s="6" t="s">
        <v>123</v>
      </c>
      <c r="B18" s="8">
        <v>902456203</v>
      </c>
    </row>
    <row r="19" spans="1:2" x14ac:dyDescent="0.3">
      <c r="A19" s="6" t="s">
        <v>119</v>
      </c>
      <c r="B19" s="8">
        <v>899833123</v>
      </c>
    </row>
    <row r="20" spans="1:2" x14ac:dyDescent="0.3">
      <c r="A20" s="6" t="s">
        <v>271</v>
      </c>
      <c r="B20" s="8">
        <v>875442677</v>
      </c>
    </row>
    <row r="21" spans="1:2" x14ac:dyDescent="0.3">
      <c r="A21" s="6" t="s">
        <v>164</v>
      </c>
      <c r="B21" s="8">
        <v>816189699</v>
      </c>
    </row>
    <row r="22" spans="1:2" x14ac:dyDescent="0.3">
      <c r="A22" s="6" t="s">
        <v>145</v>
      </c>
      <c r="B22" s="8">
        <v>810548135</v>
      </c>
    </row>
    <row r="23" spans="1:2" x14ac:dyDescent="0.3">
      <c r="A23" s="6" t="s">
        <v>89</v>
      </c>
      <c r="B23" s="8">
        <v>800425043</v>
      </c>
    </row>
    <row r="24" spans="1:2" x14ac:dyDescent="0.3">
      <c r="A24" s="6" t="s">
        <v>210</v>
      </c>
      <c r="B24" s="8">
        <v>784124610</v>
      </c>
    </row>
    <row r="25" spans="1:2" x14ac:dyDescent="0.3">
      <c r="A25" s="6" t="s">
        <v>259</v>
      </c>
      <c r="B25" s="8">
        <v>775049947</v>
      </c>
    </row>
    <row r="26" spans="1:2" x14ac:dyDescent="0.3">
      <c r="A26" s="6" t="s">
        <v>176</v>
      </c>
      <c r="B26" s="8">
        <v>772670894</v>
      </c>
    </row>
    <row r="27" spans="1:2" x14ac:dyDescent="0.3">
      <c r="A27" s="6" t="s">
        <v>156</v>
      </c>
      <c r="B27" s="8">
        <v>770102891</v>
      </c>
    </row>
    <row r="28" spans="1:2" x14ac:dyDescent="0.3">
      <c r="A28" s="6" t="s">
        <v>264</v>
      </c>
      <c r="B28" s="8">
        <v>761620739</v>
      </c>
    </row>
    <row r="29" spans="1:2" x14ac:dyDescent="0.3">
      <c r="A29" s="6" t="s">
        <v>250</v>
      </c>
      <c r="B29" s="8">
        <v>758607878</v>
      </c>
    </row>
    <row r="30" spans="1:2" x14ac:dyDescent="0.3">
      <c r="A30" s="6" t="s">
        <v>154</v>
      </c>
      <c r="B30" s="8">
        <v>747520413</v>
      </c>
    </row>
    <row r="31" spans="1:2" x14ac:dyDescent="0.3">
      <c r="A31" s="6" t="s">
        <v>262</v>
      </c>
      <c r="B31" s="8">
        <v>745892791</v>
      </c>
    </row>
    <row r="32" spans="1:2" x14ac:dyDescent="0.3">
      <c r="A32" s="6" t="s">
        <v>226</v>
      </c>
      <c r="B32" s="8">
        <v>738096987</v>
      </c>
    </row>
    <row r="33" spans="1:2" x14ac:dyDescent="0.3">
      <c r="A33" s="6" t="s">
        <v>163</v>
      </c>
      <c r="B33" s="8">
        <v>734694473</v>
      </c>
    </row>
    <row r="34" spans="1:2" x14ac:dyDescent="0.3">
      <c r="A34" s="6" t="s">
        <v>199</v>
      </c>
      <c r="B34" s="8">
        <v>731923375</v>
      </c>
    </row>
    <row r="35" spans="1:2" x14ac:dyDescent="0.3">
      <c r="A35" s="6" t="s">
        <v>275</v>
      </c>
      <c r="B35" s="8">
        <v>728659862</v>
      </c>
    </row>
    <row r="36" spans="1:2" x14ac:dyDescent="0.3">
      <c r="A36" s="6" t="s">
        <v>232</v>
      </c>
      <c r="B36" s="8">
        <v>724271269</v>
      </c>
    </row>
    <row r="37" spans="1:2" x14ac:dyDescent="0.3">
      <c r="A37" s="6" t="s">
        <v>33</v>
      </c>
      <c r="B37" s="8">
        <v>706173056</v>
      </c>
    </row>
    <row r="38" spans="1:2" x14ac:dyDescent="0.3">
      <c r="A38" s="6" t="s">
        <v>181</v>
      </c>
      <c r="B38" s="8">
        <v>691776126</v>
      </c>
    </row>
    <row r="39" spans="1:2" x14ac:dyDescent="0.3">
      <c r="A39" s="6" t="s">
        <v>143</v>
      </c>
      <c r="B39" s="8">
        <v>680873257</v>
      </c>
    </row>
    <row r="40" spans="1:2" x14ac:dyDescent="0.3">
      <c r="A40" s="6" t="s">
        <v>17</v>
      </c>
      <c r="B40" s="8">
        <v>679847266</v>
      </c>
    </row>
    <row r="41" spans="1:2" x14ac:dyDescent="0.3">
      <c r="A41" s="6" t="s">
        <v>31</v>
      </c>
      <c r="B41" s="8">
        <v>675992847</v>
      </c>
    </row>
    <row r="42" spans="1:2" x14ac:dyDescent="0.3">
      <c r="A42" s="6" t="s">
        <v>96</v>
      </c>
      <c r="B42" s="8">
        <v>659158821</v>
      </c>
    </row>
    <row r="43" spans="1:2" x14ac:dyDescent="0.3">
      <c r="A43" s="6" t="s">
        <v>153</v>
      </c>
      <c r="B43" s="8">
        <v>650067550</v>
      </c>
    </row>
    <row r="44" spans="1:2" x14ac:dyDescent="0.3">
      <c r="A44" s="6" t="s">
        <v>149</v>
      </c>
      <c r="B44" s="8">
        <v>648512206</v>
      </c>
    </row>
    <row r="45" spans="1:2" x14ac:dyDescent="0.3">
      <c r="A45" s="6" t="s">
        <v>15</v>
      </c>
      <c r="B45" s="8">
        <v>634740319</v>
      </c>
    </row>
    <row r="46" spans="1:2" x14ac:dyDescent="0.3">
      <c r="A46" s="6" t="s">
        <v>130</v>
      </c>
      <c r="B46" s="8">
        <v>634149354</v>
      </c>
    </row>
    <row r="47" spans="1:2" x14ac:dyDescent="0.3">
      <c r="A47" s="6" t="s">
        <v>218</v>
      </c>
      <c r="B47" s="8">
        <v>633026108</v>
      </c>
    </row>
    <row r="48" spans="1:2" x14ac:dyDescent="0.3">
      <c r="A48" s="6" t="s">
        <v>167</v>
      </c>
      <c r="B48" s="8">
        <v>631406756</v>
      </c>
    </row>
    <row r="49" spans="1:2" x14ac:dyDescent="0.3">
      <c r="A49" s="6" t="s">
        <v>137</v>
      </c>
      <c r="B49" s="8">
        <v>631272285</v>
      </c>
    </row>
    <row r="50" spans="1:2" x14ac:dyDescent="0.3">
      <c r="A50" s="6" t="s">
        <v>265</v>
      </c>
      <c r="B50" s="8">
        <v>612882497</v>
      </c>
    </row>
    <row r="51" spans="1:2" x14ac:dyDescent="0.3">
      <c r="A51" s="6" t="s">
        <v>94</v>
      </c>
      <c r="B51" s="8">
        <v>612079232</v>
      </c>
    </row>
    <row r="52" spans="1:2" x14ac:dyDescent="0.3">
      <c r="A52" s="6" t="s">
        <v>246</v>
      </c>
      <c r="B52" s="8">
        <v>600816252</v>
      </c>
    </row>
    <row r="53" spans="1:2" x14ac:dyDescent="0.3">
      <c r="A53" s="6" t="s">
        <v>146</v>
      </c>
      <c r="B53" s="8">
        <v>599313395</v>
      </c>
    </row>
    <row r="54" spans="1:2" x14ac:dyDescent="0.3">
      <c r="A54" s="6" t="s">
        <v>260</v>
      </c>
      <c r="B54" s="8">
        <v>596738610</v>
      </c>
    </row>
    <row r="55" spans="1:2" x14ac:dyDescent="0.3">
      <c r="A55" s="6" t="s">
        <v>234</v>
      </c>
      <c r="B55" s="8">
        <v>591984955</v>
      </c>
    </row>
    <row r="56" spans="1:2" x14ac:dyDescent="0.3">
      <c r="A56" s="6" t="s">
        <v>161</v>
      </c>
      <c r="B56" s="8">
        <v>582483781</v>
      </c>
    </row>
    <row r="57" spans="1:2" x14ac:dyDescent="0.3">
      <c r="A57" s="6" t="s">
        <v>131</v>
      </c>
      <c r="B57" s="8">
        <v>569381470</v>
      </c>
    </row>
    <row r="58" spans="1:2" x14ac:dyDescent="0.3">
      <c r="A58" s="6" t="s">
        <v>237</v>
      </c>
      <c r="B58" s="8">
        <v>565310414</v>
      </c>
    </row>
    <row r="59" spans="1:2" x14ac:dyDescent="0.3">
      <c r="A59" s="6" t="s">
        <v>261</v>
      </c>
      <c r="B59" s="8">
        <v>564954489</v>
      </c>
    </row>
    <row r="60" spans="1:2" x14ac:dyDescent="0.3">
      <c r="A60" s="6" t="s">
        <v>227</v>
      </c>
      <c r="B60" s="8">
        <v>560260485</v>
      </c>
    </row>
    <row r="61" spans="1:2" x14ac:dyDescent="0.3">
      <c r="A61" s="6" t="s">
        <v>248</v>
      </c>
      <c r="B61" s="8">
        <v>559313193</v>
      </c>
    </row>
    <row r="62" spans="1:2" x14ac:dyDescent="0.3">
      <c r="A62" s="6" t="s">
        <v>294</v>
      </c>
      <c r="B62" s="8">
        <v>558041959</v>
      </c>
    </row>
    <row r="63" spans="1:2" x14ac:dyDescent="0.3">
      <c r="A63" s="6" t="s">
        <v>253</v>
      </c>
      <c r="B63" s="8">
        <v>555433781</v>
      </c>
    </row>
    <row r="64" spans="1:2" x14ac:dyDescent="0.3">
      <c r="A64" s="6" t="s">
        <v>192</v>
      </c>
      <c r="B64" s="8">
        <v>553404359</v>
      </c>
    </row>
    <row r="65" spans="1:2" x14ac:dyDescent="0.3">
      <c r="A65" s="6" t="s">
        <v>185</v>
      </c>
      <c r="B65" s="8">
        <v>548557553</v>
      </c>
    </row>
    <row r="66" spans="1:2" x14ac:dyDescent="0.3">
      <c r="A66" s="6" t="s">
        <v>252</v>
      </c>
      <c r="B66" s="8">
        <v>539238972</v>
      </c>
    </row>
    <row r="67" spans="1:2" x14ac:dyDescent="0.3">
      <c r="A67" s="6" t="s">
        <v>235</v>
      </c>
      <c r="B67" s="8">
        <v>538569877</v>
      </c>
    </row>
    <row r="68" spans="1:2" x14ac:dyDescent="0.3">
      <c r="A68" s="6" t="s">
        <v>244</v>
      </c>
      <c r="B68" s="8">
        <v>538185052</v>
      </c>
    </row>
    <row r="69" spans="1:2" x14ac:dyDescent="0.3">
      <c r="A69" s="6" t="s">
        <v>197</v>
      </c>
      <c r="B69" s="8">
        <v>531706665</v>
      </c>
    </row>
    <row r="70" spans="1:2" x14ac:dyDescent="0.3">
      <c r="A70" s="6" t="s">
        <v>105</v>
      </c>
      <c r="B70" s="8">
        <v>529630320</v>
      </c>
    </row>
    <row r="71" spans="1:2" x14ac:dyDescent="0.3">
      <c r="A71" s="6" t="s">
        <v>220</v>
      </c>
      <c r="B71" s="8">
        <v>527904203</v>
      </c>
    </row>
    <row r="72" spans="1:2" x14ac:dyDescent="0.3">
      <c r="A72" s="6" t="s">
        <v>240</v>
      </c>
      <c r="B72" s="8">
        <v>527154335</v>
      </c>
    </row>
    <row r="73" spans="1:2" x14ac:dyDescent="0.3">
      <c r="A73" s="6" t="s">
        <v>114</v>
      </c>
      <c r="B73" s="8">
        <v>526764521</v>
      </c>
    </row>
    <row r="74" spans="1:2" x14ac:dyDescent="0.3">
      <c r="A74" s="6" t="s">
        <v>117</v>
      </c>
      <c r="B74" s="8">
        <v>522328986</v>
      </c>
    </row>
    <row r="75" spans="1:2" x14ac:dyDescent="0.3">
      <c r="A75" s="6" t="s">
        <v>100</v>
      </c>
      <c r="B75" s="8">
        <v>513025476</v>
      </c>
    </row>
    <row r="76" spans="1:2" x14ac:dyDescent="0.3">
      <c r="A76" s="6" t="s">
        <v>219</v>
      </c>
      <c r="B76" s="8">
        <v>511827924</v>
      </c>
    </row>
    <row r="77" spans="1:2" x14ac:dyDescent="0.3">
      <c r="A77" s="6" t="s">
        <v>204</v>
      </c>
      <c r="B77" s="8">
        <v>498944989</v>
      </c>
    </row>
    <row r="78" spans="1:2" x14ac:dyDescent="0.3">
      <c r="A78" s="6" t="s">
        <v>209</v>
      </c>
      <c r="B78" s="8">
        <v>494324020</v>
      </c>
    </row>
    <row r="79" spans="1:2" x14ac:dyDescent="0.3">
      <c r="A79" s="6" t="s">
        <v>211</v>
      </c>
      <c r="B79" s="8">
        <v>477519959</v>
      </c>
    </row>
    <row r="80" spans="1:2" x14ac:dyDescent="0.3">
      <c r="A80" s="6" t="s">
        <v>120</v>
      </c>
      <c r="B80" s="8">
        <v>475938855</v>
      </c>
    </row>
    <row r="81" spans="1:2" x14ac:dyDescent="0.3">
      <c r="A81" s="6" t="s">
        <v>254</v>
      </c>
      <c r="B81" s="8">
        <v>472227647</v>
      </c>
    </row>
    <row r="82" spans="1:2" x14ac:dyDescent="0.3">
      <c r="A82" s="6" t="s">
        <v>183</v>
      </c>
      <c r="B82" s="8">
        <v>472174213</v>
      </c>
    </row>
    <row r="83" spans="1:2" x14ac:dyDescent="0.3">
      <c r="A83" s="6" t="s">
        <v>255</v>
      </c>
      <c r="B83" s="8">
        <v>466906979</v>
      </c>
    </row>
    <row r="84" spans="1:2" x14ac:dyDescent="0.3">
      <c r="A84" s="6" t="s">
        <v>179</v>
      </c>
      <c r="B84" s="8">
        <v>464460790</v>
      </c>
    </row>
    <row r="85" spans="1:2" x14ac:dyDescent="0.3">
      <c r="A85" s="6" t="s">
        <v>128</v>
      </c>
      <c r="B85" s="8">
        <v>460500616</v>
      </c>
    </row>
    <row r="86" spans="1:2" x14ac:dyDescent="0.3">
      <c r="A86" s="6" t="s">
        <v>217</v>
      </c>
      <c r="B86" s="8">
        <v>458998051</v>
      </c>
    </row>
    <row r="87" spans="1:2" x14ac:dyDescent="0.3">
      <c r="A87" s="6" t="s">
        <v>274</v>
      </c>
      <c r="B87" s="8">
        <v>449482142</v>
      </c>
    </row>
    <row r="88" spans="1:2" x14ac:dyDescent="0.3">
      <c r="A88" s="6" t="s">
        <v>247</v>
      </c>
      <c r="B88" s="8">
        <v>445122218</v>
      </c>
    </row>
    <row r="89" spans="1:2" x14ac:dyDescent="0.3">
      <c r="A89" s="6" t="s">
        <v>166</v>
      </c>
      <c r="B89" s="8">
        <v>442862242</v>
      </c>
    </row>
    <row r="90" spans="1:2" x14ac:dyDescent="0.3">
      <c r="A90" s="6" t="s">
        <v>238</v>
      </c>
      <c r="B90" s="8">
        <v>442228882</v>
      </c>
    </row>
    <row r="91" spans="1:2" x14ac:dyDescent="0.3">
      <c r="A91" s="6" t="s">
        <v>73</v>
      </c>
      <c r="B91" s="8">
        <v>438719795</v>
      </c>
    </row>
    <row r="92" spans="1:2" x14ac:dyDescent="0.3">
      <c r="A92" s="6" t="s">
        <v>187</v>
      </c>
      <c r="B92" s="8">
        <v>435083886</v>
      </c>
    </row>
    <row r="93" spans="1:2" x14ac:dyDescent="0.3">
      <c r="A93" s="6" t="s">
        <v>224</v>
      </c>
      <c r="B93" s="8">
        <v>435071761</v>
      </c>
    </row>
    <row r="94" spans="1:2" x14ac:dyDescent="0.3">
      <c r="A94" s="6" t="s">
        <v>249</v>
      </c>
      <c r="B94" s="8">
        <v>431041411</v>
      </c>
    </row>
    <row r="95" spans="1:2" x14ac:dyDescent="0.3">
      <c r="A95" s="6" t="s">
        <v>231</v>
      </c>
      <c r="B95" s="8">
        <v>430236651</v>
      </c>
    </row>
    <row r="96" spans="1:2" x14ac:dyDescent="0.3">
      <c r="A96" s="6" t="s">
        <v>242</v>
      </c>
      <c r="B96" s="8">
        <v>422830495</v>
      </c>
    </row>
    <row r="97" spans="1:2" x14ac:dyDescent="0.3">
      <c r="A97" s="6" t="s">
        <v>162</v>
      </c>
      <c r="B97" s="8">
        <v>421407377</v>
      </c>
    </row>
    <row r="98" spans="1:2" x14ac:dyDescent="0.3">
      <c r="A98" s="6" t="s">
        <v>169</v>
      </c>
      <c r="B98" s="8">
        <v>421092888</v>
      </c>
    </row>
    <row r="99" spans="1:2" x14ac:dyDescent="0.3">
      <c r="A99" s="6" t="s">
        <v>276</v>
      </c>
      <c r="B99" s="8">
        <v>419236868</v>
      </c>
    </row>
    <row r="100" spans="1:2" x14ac:dyDescent="0.3">
      <c r="A100" s="6" t="s">
        <v>139</v>
      </c>
      <c r="B100" s="8">
        <v>412890266</v>
      </c>
    </row>
    <row r="101" spans="1:2" x14ac:dyDescent="0.3">
      <c r="A101" s="6" t="s">
        <v>158</v>
      </c>
      <c r="B101" s="8">
        <v>412413088</v>
      </c>
    </row>
    <row r="102" spans="1:2" x14ac:dyDescent="0.3">
      <c r="A102" s="6" t="s">
        <v>170</v>
      </c>
      <c r="B102" s="8">
        <v>407288459</v>
      </c>
    </row>
    <row r="103" spans="1:2" x14ac:dyDescent="0.3">
      <c r="A103" s="6" t="s">
        <v>303</v>
      </c>
      <c r="B103" s="8">
        <v>406183182</v>
      </c>
    </row>
    <row r="104" spans="1:2" x14ac:dyDescent="0.3">
      <c r="A104" s="6" t="s">
        <v>216</v>
      </c>
      <c r="B104" s="8">
        <v>401580019</v>
      </c>
    </row>
    <row r="105" spans="1:2" x14ac:dyDescent="0.3">
      <c r="A105" s="6" t="s">
        <v>144</v>
      </c>
      <c r="B105" s="8">
        <v>400158289</v>
      </c>
    </row>
    <row r="106" spans="1:2" x14ac:dyDescent="0.3">
      <c r="A106" s="6" t="s">
        <v>213</v>
      </c>
      <c r="B106" s="8">
        <v>399154956</v>
      </c>
    </row>
    <row r="107" spans="1:2" x14ac:dyDescent="0.3">
      <c r="A107" s="6" t="s">
        <v>190</v>
      </c>
      <c r="B107" s="8">
        <v>393938176</v>
      </c>
    </row>
    <row r="108" spans="1:2" x14ac:dyDescent="0.3">
      <c r="A108" s="6" t="s">
        <v>106</v>
      </c>
      <c r="B108" s="8">
        <v>393764062</v>
      </c>
    </row>
    <row r="109" spans="1:2" x14ac:dyDescent="0.3">
      <c r="A109" s="6" t="s">
        <v>212</v>
      </c>
      <c r="B109" s="8">
        <v>390692211</v>
      </c>
    </row>
    <row r="110" spans="1:2" x14ac:dyDescent="0.3">
      <c r="A110" s="6" t="s">
        <v>230</v>
      </c>
      <c r="B110" s="8">
        <v>387921769</v>
      </c>
    </row>
    <row r="111" spans="1:2" x14ac:dyDescent="0.3">
      <c r="A111" s="6" t="s">
        <v>188</v>
      </c>
      <c r="B111" s="8">
        <v>387111248</v>
      </c>
    </row>
    <row r="112" spans="1:2" x14ac:dyDescent="0.3">
      <c r="A112" s="6" t="s">
        <v>173</v>
      </c>
      <c r="B112" s="8">
        <v>385309922</v>
      </c>
    </row>
    <row r="113" spans="1:2" x14ac:dyDescent="0.3">
      <c r="A113" s="6" t="s">
        <v>71</v>
      </c>
      <c r="B113" s="8">
        <v>379533891</v>
      </c>
    </row>
    <row r="114" spans="1:2" x14ac:dyDescent="0.3">
      <c r="A114" s="6" t="s">
        <v>282</v>
      </c>
      <c r="B114" s="8">
        <v>378733676</v>
      </c>
    </row>
    <row r="115" spans="1:2" x14ac:dyDescent="0.3">
      <c r="A115" s="6" t="s">
        <v>159</v>
      </c>
      <c r="B115" s="8">
        <v>377030112</v>
      </c>
    </row>
    <row r="116" spans="1:2" x14ac:dyDescent="0.3">
      <c r="A116" s="6" t="s">
        <v>223</v>
      </c>
      <c r="B116" s="8">
        <v>371302133</v>
      </c>
    </row>
    <row r="117" spans="1:2" x14ac:dyDescent="0.3">
      <c r="A117" s="6" t="s">
        <v>316</v>
      </c>
      <c r="B117" s="8">
        <v>366548012</v>
      </c>
    </row>
    <row r="118" spans="1:2" x14ac:dyDescent="0.3">
      <c r="A118" s="6" t="s">
        <v>174</v>
      </c>
      <c r="B118" s="8">
        <v>363330621</v>
      </c>
    </row>
    <row r="119" spans="1:2" x14ac:dyDescent="0.3">
      <c r="A119" s="6" t="s">
        <v>47</v>
      </c>
      <c r="B119" s="8">
        <v>362606510</v>
      </c>
    </row>
    <row r="120" spans="1:2" x14ac:dyDescent="0.3">
      <c r="A120" s="6" t="s">
        <v>180</v>
      </c>
      <c r="B120" s="8">
        <v>359777547</v>
      </c>
    </row>
    <row r="121" spans="1:2" x14ac:dyDescent="0.3">
      <c r="A121" s="6" t="s">
        <v>207</v>
      </c>
      <c r="B121" s="8">
        <v>355486399</v>
      </c>
    </row>
    <row r="122" spans="1:2" x14ac:dyDescent="0.3">
      <c r="A122" s="6" t="s">
        <v>12</v>
      </c>
      <c r="B122" s="8">
        <v>354422379</v>
      </c>
    </row>
    <row r="123" spans="1:2" x14ac:dyDescent="0.3">
      <c r="A123" s="6" t="s">
        <v>127</v>
      </c>
      <c r="B123" s="8">
        <v>352451133</v>
      </c>
    </row>
    <row r="124" spans="1:2" x14ac:dyDescent="0.3">
      <c r="A124" s="6" t="s">
        <v>233</v>
      </c>
      <c r="B124" s="8">
        <v>351886259</v>
      </c>
    </row>
    <row r="125" spans="1:2" x14ac:dyDescent="0.3">
      <c r="A125" s="6" t="s">
        <v>202</v>
      </c>
      <c r="B125" s="8">
        <v>350715704</v>
      </c>
    </row>
    <row r="126" spans="1:2" x14ac:dyDescent="0.3">
      <c r="A126" s="6" t="s">
        <v>67</v>
      </c>
      <c r="B126" s="8">
        <v>347377311</v>
      </c>
    </row>
    <row r="127" spans="1:2" x14ac:dyDescent="0.3">
      <c r="A127" s="6" t="s">
        <v>86</v>
      </c>
      <c r="B127" s="8">
        <v>345199596</v>
      </c>
    </row>
    <row r="128" spans="1:2" x14ac:dyDescent="0.3">
      <c r="A128" s="6" t="s">
        <v>335</v>
      </c>
      <c r="B128" s="8">
        <v>343662042</v>
      </c>
    </row>
    <row r="129" spans="1:2" x14ac:dyDescent="0.3">
      <c r="A129" s="6" t="s">
        <v>270</v>
      </c>
      <c r="B129" s="8">
        <v>342989045</v>
      </c>
    </row>
    <row r="130" spans="1:2" x14ac:dyDescent="0.3">
      <c r="A130" s="6" t="s">
        <v>305</v>
      </c>
      <c r="B130" s="8">
        <v>342403337</v>
      </c>
    </row>
    <row r="131" spans="1:2" x14ac:dyDescent="0.3">
      <c r="A131" s="6" t="s">
        <v>343</v>
      </c>
      <c r="B131" s="8">
        <v>340008740</v>
      </c>
    </row>
    <row r="132" spans="1:2" x14ac:dyDescent="0.3">
      <c r="A132" s="6" t="s">
        <v>329</v>
      </c>
      <c r="B132" s="8">
        <v>337597152</v>
      </c>
    </row>
    <row r="133" spans="1:2" x14ac:dyDescent="0.3">
      <c r="A133" s="6" t="s">
        <v>263</v>
      </c>
      <c r="B133" s="8">
        <v>337551519</v>
      </c>
    </row>
    <row r="134" spans="1:2" x14ac:dyDescent="0.3">
      <c r="A134" s="6" t="s">
        <v>16</v>
      </c>
      <c r="B134" s="8">
        <v>336785327</v>
      </c>
    </row>
    <row r="135" spans="1:2" x14ac:dyDescent="0.3">
      <c r="A135" s="6" t="s">
        <v>200</v>
      </c>
      <c r="B135" s="8">
        <v>326556913</v>
      </c>
    </row>
    <row r="136" spans="1:2" x14ac:dyDescent="0.3">
      <c r="A136" s="6" t="s">
        <v>42</v>
      </c>
      <c r="B136" s="8">
        <v>325367332</v>
      </c>
    </row>
    <row r="137" spans="1:2" x14ac:dyDescent="0.3">
      <c r="A137" s="6" t="s">
        <v>189</v>
      </c>
      <c r="B137" s="8">
        <v>324443137</v>
      </c>
    </row>
    <row r="138" spans="1:2" x14ac:dyDescent="0.3">
      <c r="A138" s="6" t="s">
        <v>256</v>
      </c>
      <c r="B138" s="8">
        <v>324430397</v>
      </c>
    </row>
    <row r="139" spans="1:2" x14ac:dyDescent="0.3">
      <c r="A139" s="6" t="s">
        <v>11</v>
      </c>
      <c r="B139" s="8">
        <v>320768587</v>
      </c>
    </row>
    <row r="140" spans="1:2" x14ac:dyDescent="0.3">
      <c r="A140" s="6" t="s">
        <v>221</v>
      </c>
      <c r="B140" s="8">
        <v>319781391</v>
      </c>
    </row>
    <row r="141" spans="1:2" x14ac:dyDescent="0.3">
      <c r="A141" s="6" t="s">
        <v>367</v>
      </c>
      <c r="B141" s="8">
        <v>319505425</v>
      </c>
    </row>
    <row r="142" spans="1:2" x14ac:dyDescent="0.3">
      <c r="A142" s="6" t="s">
        <v>13</v>
      </c>
      <c r="B142" s="8">
        <v>318642383</v>
      </c>
    </row>
    <row r="143" spans="1:2" x14ac:dyDescent="0.3">
      <c r="A143" s="6" t="s">
        <v>203</v>
      </c>
      <c r="B143" s="8">
        <v>316956354</v>
      </c>
    </row>
    <row r="144" spans="1:2" x14ac:dyDescent="0.3">
      <c r="A144" s="6" t="s">
        <v>222</v>
      </c>
      <c r="B144" s="8">
        <v>316045759</v>
      </c>
    </row>
    <row r="145" spans="1:2" x14ac:dyDescent="0.3">
      <c r="A145" s="6" t="s">
        <v>228</v>
      </c>
      <c r="B145" s="8">
        <v>314301634</v>
      </c>
    </row>
    <row r="146" spans="1:2" x14ac:dyDescent="0.3">
      <c r="A146" s="6" t="s">
        <v>157</v>
      </c>
      <c r="B146" s="8">
        <v>313296891</v>
      </c>
    </row>
    <row r="147" spans="1:2" x14ac:dyDescent="0.3">
      <c r="A147" s="6" t="s">
        <v>309</v>
      </c>
      <c r="B147" s="8">
        <v>308022049</v>
      </c>
    </row>
    <row r="148" spans="1:2" x14ac:dyDescent="0.3">
      <c r="A148" s="6" t="s">
        <v>280</v>
      </c>
      <c r="B148" s="8">
        <v>306988519</v>
      </c>
    </row>
    <row r="149" spans="1:2" x14ac:dyDescent="0.3">
      <c r="A149" s="6" t="s">
        <v>304</v>
      </c>
      <c r="B149" s="8">
        <v>305117841</v>
      </c>
    </row>
    <row r="150" spans="1:2" x14ac:dyDescent="0.3">
      <c r="A150" s="6" t="s">
        <v>251</v>
      </c>
      <c r="B150" s="8">
        <v>303111032</v>
      </c>
    </row>
    <row r="151" spans="1:2" x14ac:dyDescent="0.3">
      <c r="A151" s="6" t="s">
        <v>298</v>
      </c>
      <c r="B151" s="8">
        <v>301221038</v>
      </c>
    </row>
    <row r="152" spans="1:2" x14ac:dyDescent="0.3">
      <c r="A152" s="6" t="s">
        <v>326</v>
      </c>
      <c r="B152" s="8">
        <v>298054352</v>
      </c>
    </row>
    <row r="153" spans="1:2" x14ac:dyDescent="0.3">
      <c r="A153" s="6" t="s">
        <v>191</v>
      </c>
      <c r="B153" s="8">
        <v>295291401</v>
      </c>
    </row>
    <row r="154" spans="1:2" x14ac:dyDescent="0.3">
      <c r="A154" s="6" t="s">
        <v>215</v>
      </c>
      <c r="B154" s="8">
        <v>294054003</v>
      </c>
    </row>
    <row r="155" spans="1:2" x14ac:dyDescent="0.3">
      <c r="A155" s="6" t="s">
        <v>285</v>
      </c>
      <c r="B155" s="8">
        <v>291313835</v>
      </c>
    </row>
    <row r="156" spans="1:2" x14ac:dyDescent="0.3">
      <c r="A156" s="6" t="s">
        <v>184</v>
      </c>
      <c r="B156" s="8">
        <v>290429368</v>
      </c>
    </row>
    <row r="157" spans="1:2" x14ac:dyDescent="0.3">
      <c r="A157" s="6" t="s">
        <v>333</v>
      </c>
      <c r="B157" s="8">
        <v>290206874</v>
      </c>
    </row>
    <row r="158" spans="1:2" x14ac:dyDescent="0.3">
      <c r="A158" s="6" t="s">
        <v>160</v>
      </c>
      <c r="B158" s="8">
        <v>290059348</v>
      </c>
    </row>
    <row r="159" spans="1:2" x14ac:dyDescent="0.3">
      <c r="A159" s="6" t="s">
        <v>344</v>
      </c>
      <c r="B159" s="8">
        <v>287098041</v>
      </c>
    </row>
    <row r="160" spans="1:2" x14ac:dyDescent="0.3">
      <c r="A160" s="6" t="s">
        <v>194</v>
      </c>
      <c r="B160" s="8">
        <v>286845575</v>
      </c>
    </row>
    <row r="161" spans="1:2" x14ac:dyDescent="0.3">
      <c r="A161" s="6" t="s">
        <v>171</v>
      </c>
      <c r="B161" s="8">
        <v>286579964</v>
      </c>
    </row>
    <row r="162" spans="1:2" x14ac:dyDescent="0.3">
      <c r="A162" s="6" t="s">
        <v>229</v>
      </c>
      <c r="B162" s="8">
        <v>286275332</v>
      </c>
    </row>
    <row r="163" spans="1:2" x14ac:dyDescent="0.3">
      <c r="A163" s="6" t="s">
        <v>330</v>
      </c>
      <c r="B163" s="8">
        <v>283574603</v>
      </c>
    </row>
    <row r="164" spans="1:2" x14ac:dyDescent="0.3">
      <c r="A164" s="6" t="s">
        <v>165</v>
      </c>
      <c r="B164" s="8">
        <v>282132360</v>
      </c>
    </row>
    <row r="165" spans="1:2" x14ac:dyDescent="0.3">
      <c r="A165" s="6" t="s">
        <v>241</v>
      </c>
      <c r="B165" s="8">
        <v>280028059</v>
      </c>
    </row>
    <row r="166" spans="1:2" x14ac:dyDescent="0.3">
      <c r="A166" s="6" t="s">
        <v>268</v>
      </c>
      <c r="B166" s="8">
        <v>276128869</v>
      </c>
    </row>
    <row r="167" spans="1:2" x14ac:dyDescent="0.3">
      <c r="A167" s="6" t="s">
        <v>107</v>
      </c>
      <c r="B167" s="8">
        <v>275736632</v>
      </c>
    </row>
    <row r="168" spans="1:2" x14ac:dyDescent="0.3">
      <c r="A168" s="6" t="s">
        <v>362</v>
      </c>
      <c r="B168" s="8">
        <v>275554980</v>
      </c>
    </row>
    <row r="169" spans="1:2" x14ac:dyDescent="0.3">
      <c r="A169" s="6" t="s">
        <v>177</v>
      </c>
      <c r="B169" s="8">
        <v>274325711</v>
      </c>
    </row>
    <row r="170" spans="1:2" x14ac:dyDescent="0.3">
      <c r="A170" s="6" t="s">
        <v>302</v>
      </c>
      <c r="B170" s="8">
        <v>273350070</v>
      </c>
    </row>
    <row r="171" spans="1:2" x14ac:dyDescent="0.3">
      <c r="A171" s="6" t="s">
        <v>277</v>
      </c>
      <c r="B171" s="8">
        <v>272733404</v>
      </c>
    </row>
    <row r="172" spans="1:2" x14ac:dyDescent="0.3">
      <c r="A172" s="6" t="s">
        <v>300</v>
      </c>
      <c r="B172" s="8">
        <v>272233354</v>
      </c>
    </row>
    <row r="173" spans="1:2" x14ac:dyDescent="0.3">
      <c r="A173" s="6" t="s">
        <v>245</v>
      </c>
      <c r="B173" s="8">
        <v>271012467</v>
      </c>
    </row>
    <row r="174" spans="1:2" x14ac:dyDescent="0.3">
      <c r="A174" s="6" t="s">
        <v>295</v>
      </c>
      <c r="B174" s="8">
        <v>271009576</v>
      </c>
    </row>
    <row r="175" spans="1:2" x14ac:dyDescent="0.3">
      <c r="A175" s="6" t="s">
        <v>206</v>
      </c>
      <c r="B175" s="8">
        <v>270549447</v>
      </c>
    </row>
    <row r="176" spans="1:2" x14ac:dyDescent="0.3">
      <c r="A176" s="6" t="s">
        <v>296</v>
      </c>
      <c r="B176" s="8">
        <v>270522146</v>
      </c>
    </row>
    <row r="177" spans="1:2" x14ac:dyDescent="0.3">
      <c r="A177" s="6" t="s">
        <v>391</v>
      </c>
      <c r="B177" s="8">
        <v>269523910</v>
      </c>
    </row>
    <row r="178" spans="1:2" x14ac:dyDescent="0.3">
      <c r="A178" s="6" t="s">
        <v>331</v>
      </c>
      <c r="B178" s="8">
        <v>268612574</v>
      </c>
    </row>
    <row r="179" spans="1:2" x14ac:dyDescent="0.3">
      <c r="A179" s="6" t="s">
        <v>288</v>
      </c>
      <c r="B179" s="8">
        <v>267713914</v>
      </c>
    </row>
    <row r="180" spans="1:2" x14ac:dyDescent="0.3">
      <c r="A180" s="6" t="s">
        <v>225</v>
      </c>
      <c r="B180" s="8">
        <v>267106963</v>
      </c>
    </row>
    <row r="181" spans="1:2" x14ac:dyDescent="0.3">
      <c r="A181" s="6" t="s">
        <v>319</v>
      </c>
      <c r="B181" s="8">
        <v>266217282</v>
      </c>
    </row>
    <row r="182" spans="1:2" x14ac:dyDescent="0.3">
      <c r="A182" s="6" t="s">
        <v>186</v>
      </c>
      <c r="B182" s="8">
        <v>265101789</v>
      </c>
    </row>
    <row r="183" spans="1:2" x14ac:dyDescent="0.3">
      <c r="A183" s="6" t="s">
        <v>279</v>
      </c>
      <c r="B183" s="8">
        <v>262186052</v>
      </c>
    </row>
    <row r="184" spans="1:2" x14ac:dyDescent="0.3">
      <c r="A184" s="6" t="s">
        <v>267</v>
      </c>
      <c r="B184" s="8">
        <v>259791034</v>
      </c>
    </row>
    <row r="185" spans="1:2" x14ac:dyDescent="0.3">
      <c r="A185" s="6" t="s">
        <v>122</v>
      </c>
      <c r="B185" s="8">
        <v>259323347</v>
      </c>
    </row>
    <row r="186" spans="1:2" x14ac:dyDescent="0.3">
      <c r="A186" s="6" t="s">
        <v>115</v>
      </c>
      <c r="B186" s="8">
        <v>257737612</v>
      </c>
    </row>
    <row r="187" spans="1:2" x14ac:dyDescent="0.3">
      <c r="A187" s="6" t="s">
        <v>428</v>
      </c>
      <c r="B187" s="8">
        <v>256791139</v>
      </c>
    </row>
    <row r="188" spans="1:2" x14ac:dyDescent="0.3">
      <c r="A188" s="6" t="s">
        <v>75</v>
      </c>
      <c r="B188" s="8">
        <v>254494203</v>
      </c>
    </row>
    <row r="189" spans="1:2" x14ac:dyDescent="0.3">
      <c r="A189" s="6" t="s">
        <v>208</v>
      </c>
      <c r="B189" s="8">
        <v>253878389</v>
      </c>
    </row>
    <row r="190" spans="1:2" x14ac:dyDescent="0.3">
      <c r="A190" s="6" t="s">
        <v>272</v>
      </c>
      <c r="B190" s="8">
        <v>249317506</v>
      </c>
    </row>
    <row r="191" spans="1:2" x14ac:dyDescent="0.3">
      <c r="A191" s="6" t="s">
        <v>152</v>
      </c>
      <c r="B191" s="8">
        <v>248244770</v>
      </c>
    </row>
    <row r="192" spans="1:2" x14ac:dyDescent="0.3">
      <c r="A192" s="6" t="s">
        <v>283</v>
      </c>
      <c r="B192" s="8">
        <v>248180619</v>
      </c>
    </row>
    <row r="193" spans="1:2" x14ac:dyDescent="0.3">
      <c r="A193" s="6" t="s">
        <v>61</v>
      </c>
      <c r="B193" s="8">
        <v>245032170</v>
      </c>
    </row>
    <row r="194" spans="1:2" x14ac:dyDescent="0.3">
      <c r="A194" s="6" t="s">
        <v>314</v>
      </c>
      <c r="B194" s="8">
        <v>244933762</v>
      </c>
    </row>
    <row r="195" spans="1:2" x14ac:dyDescent="0.3">
      <c r="A195" s="6" t="s">
        <v>182</v>
      </c>
      <c r="B195" s="8">
        <v>240640112</v>
      </c>
    </row>
    <row r="196" spans="1:2" x14ac:dyDescent="0.3">
      <c r="A196" s="6" t="s">
        <v>301</v>
      </c>
      <c r="B196" s="8">
        <v>240172906</v>
      </c>
    </row>
    <row r="197" spans="1:2" x14ac:dyDescent="0.3">
      <c r="A197" s="6" t="s">
        <v>409</v>
      </c>
      <c r="B197" s="8">
        <v>239776679</v>
      </c>
    </row>
    <row r="198" spans="1:2" x14ac:dyDescent="0.3">
      <c r="A198" s="6" t="s">
        <v>147</v>
      </c>
      <c r="B198" s="8">
        <v>239704746</v>
      </c>
    </row>
    <row r="199" spans="1:2" x14ac:dyDescent="0.3">
      <c r="A199" s="6" t="s">
        <v>92</v>
      </c>
      <c r="B199" s="8">
        <v>239048736</v>
      </c>
    </row>
    <row r="200" spans="1:2" x14ac:dyDescent="0.3">
      <c r="A200" s="6" t="s">
        <v>112</v>
      </c>
      <c r="B200" s="8">
        <v>238172070</v>
      </c>
    </row>
    <row r="201" spans="1:2" x14ac:dyDescent="0.3">
      <c r="A201" s="6" t="s">
        <v>366</v>
      </c>
      <c r="B201" s="8">
        <v>237604154</v>
      </c>
    </row>
    <row r="202" spans="1:2" x14ac:dyDescent="0.3">
      <c r="A202" s="6" t="s">
        <v>175</v>
      </c>
      <c r="B202" s="8">
        <v>237566185</v>
      </c>
    </row>
    <row r="203" spans="1:2" x14ac:dyDescent="0.3">
      <c r="A203" s="6" t="s">
        <v>293</v>
      </c>
      <c r="B203" s="8">
        <v>235239446</v>
      </c>
    </row>
    <row r="204" spans="1:2" x14ac:dyDescent="0.3">
      <c r="A204" s="6" t="s">
        <v>325</v>
      </c>
      <c r="B204" s="8">
        <v>235015335</v>
      </c>
    </row>
    <row r="205" spans="1:2" x14ac:dyDescent="0.3">
      <c r="A205" s="6" t="s">
        <v>385</v>
      </c>
      <c r="B205" s="8">
        <v>234932962</v>
      </c>
    </row>
    <row r="206" spans="1:2" x14ac:dyDescent="0.3">
      <c r="A206" s="6" t="s">
        <v>196</v>
      </c>
      <c r="B206" s="8">
        <v>234775722</v>
      </c>
    </row>
    <row r="207" spans="1:2" x14ac:dyDescent="0.3">
      <c r="A207" s="6" t="s">
        <v>278</v>
      </c>
      <c r="B207" s="8">
        <v>233909250</v>
      </c>
    </row>
    <row r="208" spans="1:2" x14ac:dyDescent="0.3">
      <c r="A208" s="6" t="s">
        <v>315</v>
      </c>
      <c r="B208" s="8">
        <v>232578487</v>
      </c>
    </row>
    <row r="209" spans="1:2" x14ac:dyDescent="0.3">
      <c r="A209" s="6" t="s">
        <v>336</v>
      </c>
      <c r="B209" s="8">
        <v>230119996</v>
      </c>
    </row>
    <row r="210" spans="1:2" x14ac:dyDescent="0.3">
      <c r="A210" s="6" t="s">
        <v>339</v>
      </c>
      <c r="B210" s="8">
        <v>230048313</v>
      </c>
    </row>
    <row r="211" spans="1:2" x14ac:dyDescent="0.3">
      <c r="A211" s="6" t="s">
        <v>10</v>
      </c>
      <c r="B211" s="8">
        <v>230044635</v>
      </c>
    </row>
    <row r="212" spans="1:2" x14ac:dyDescent="0.3">
      <c r="A212" s="6" t="s">
        <v>299</v>
      </c>
      <c r="B212" s="8">
        <v>224856339</v>
      </c>
    </row>
    <row r="213" spans="1:2" x14ac:dyDescent="0.3">
      <c r="A213" s="6" t="s">
        <v>334</v>
      </c>
      <c r="B213" s="8">
        <v>222444880</v>
      </c>
    </row>
    <row r="214" spans="1:2" x14ac:dyDescent="0.3">
      <c r="A214" s="6" t="s">
        <v>257</v>
      </c>
      <c r="B214" s="8">
        <v>220057069</v>
      </c>
    </row>
    <row r="215" spans="1:2" x14ac:dyDescent="0.3">
      <c r="A215" s="6" t="s">
        <v>266</v>
      </c>
      <c r="B215" s="8">
        <v>217481323</v>
      </c>
    </row>
    <row r="216" spans="1:2" x14ac:dyDescent="0.3">
      <c r="A216" s="6" t="s">
        <v>375</v>
      </c>
      <c r="B216" s="8">
        <v>217437479</v>
      </c>
    </row>
    <row r="217" spans="1:2" x14ac:dyDescent="0.3">
      <c r="A217" s="6" t="s">
        <v>310</v>
      </c>
      <c r="B217" s="8">
        <v>216892002</v>
      </c>
    </row>
    <row r="218" spans="1:2" x14ac:dyDescent="0.3">
      <c r="A218" s="6" t="s">
        <v>292</v>
      </c>
      <c r="B218" s="8">
        <v>216443681</v>
      </c>
    </row>
    <row r="219" spans="1:2" x14ac:dyDescent="0.3">
      <c r="A219" s="6" t="s">
        <v>322</v>
      </c>
      <c r="B219" s="8">
        <v>215454832</v>
      </c>
    </row>
    <row r="220" spans="1:2" x14ac:dyDescent="0.3">
      <c r="A220" s="6" t="s">
        <v>129</v>
      </c>
      <c r="B220" s="8">
        <v>212879003</v>
      </c>
    </row>
    <row r="221" spans="1:2" x14ac:dyDescent="0.3">
      <c r="A221" s="6" t="s">
        <v>332</v>
      </c>
      <c r="B221" s="8">
        <v>212171978</v>
      </c>
    </row>
    <row r="222" spans="1:2" x14ac:dyDescent="0.3">
      <c r="A222" s="6" t="s">
        <v>352</v>
      </c>
      <c r="B222" s="8">
        <v>210997555</v>
      </c>
    </row>
    <row r="223" spans="1:2" x14ac:dyDescent="0.3">
      <c r="A223" s="6" t="s">
        <v>321</v>
      </c>
      <c r="B223" s="8">
        <v>209202510</v>
      </c>
    </row>
    <row r="224" spans="1:2" x14ac:dyDescent="0.3">
      <c r="A224" s="6" t="s">
        <v>142</v>
      </c>
      <c r="B224" s="8">
        <v>207750259</v>
      </c>
    </row>
    <row r="225" spans="1:2" x14ac:dyDescent="0.3">
      <c r="A225" s="6" t="s">
        <v>284</v>
      </c>
      <c r="B225" s="8">
        <v>207180299</v>
      </c>
    </row>
    <row r="226" spans="1:2" x14ac:dyDescent="0.3">
      <c r="A226" s="6" t="s">
        <v>313</v>
      </c>
      <c r="B226" s="8">
        <v>207174741</v>
      </c>
    </row>
    <row r="227" spans="1:2" x14ac:dyDescent="0.3">
      <c r="A227" s="6" t="s">
        <v>396</v>
      </c>
      <c r="B227" s="8">
        <v>206559058</v>
      </c>
    </row>
    <row r="228" spans="1:2" x14ac:dyDescent="0.3">
      <c r="A228" s="6" t="s">
        <v>78</v>
      </c>
      <c r="B228" s="8">
        <v>206102085</v>
      </c>
    </row>
    <row r="229" spans="1:2" x14ac:dyDescent="0.3">
      <c r="A229" s="6" t="s">
        <v>172</v>
      </c>
      <c r="B229" s="8">
        <v>203770574</v>
      </c>
    </row>
    <row r="230" spans="1:2" x14ac:dyDescent="0.3">
      <c r="A230" s="6" t="s">
        <v>346</v>
      </c>
      <c r="B230" s="8">
        <v>203332081</v>
      </c>
    </row>
    <row r="231" spans="1:2" x14ac:dyDescent="0.3">
      <c r="A231" s="6" t="s">
        <v>291</v>
      </c>
      <c r="B231" s="8">
        <v>202095557</v>
      </c>
    </row>
    <row r="232" spans="1:2" x14ac:dyDescent="0.3">
      <c r="A232" s="6" t="s">
        <v>155</v>
      </c>
      <c r="B232" s="8">
        <v>202042205</v>
      </c>
    </row>
    <row r="233" spans="1:2" x14ac:dyDescent="0.3">
      <c r="A233" s="6" t="s">
        <v>90</v>
      </c>
      <c r="B233" s="8">
        <v>199258935</v>
      </c>
    </row>
    <row r="234" spans="1:2" x14ac:dyDescent="0.3">
      <c r="A234" s="6" t="s">
        <v>379</v>
      </c>
      <c r="B234" s="8">
        <v>199179185</v>
      </c>
    </row>
    <row r="235" spans="1:2" x14ac:dyDescent="0.3">
      <c r="A235" s="6" t="s">
        <v>214</v>
      </c>
      <c r="B235" s="8">
        <v>196948826</v>
      </c>
    </row>
    <row r="236" spans="1:2" x14ac:dyDescent="0.3">
      <c r="A236" s="6" t="s">
        <v>60</v>
      </c>
      <c r="B236" s="8">
        <v>196769691</v>
      </c>
    </row>
    <row r="237" spans="1:2" x14ac:dyDescent="0.3">
      <c r="A237" s="6" t="s">
        <v>392</v>
      </c>
      <c r="B237" s="8">
        <v>192874173</v>
      </c>
    </row>
    <row r="238" spans="1:2" x14ac:dyDescent="0.3">
      <c r="A238" s="6" t="s">
        <v>401</v>
      </c>
      <c r="B238" s="8">
        <v>191435982</v>
      </c>
    </row>
    <row r="239" spans="1:2" x14ac:dyDescent="0.3">
      <c r="A239" s="6" t="s">
        <v>297</v>
      </c>
      <c r="B239" s="8">
        <v>190915303</v>
      </c>
    </row>
    <row r="240" spans="1:2" x14ac:dyDescent="0.3">
      <c r="A240" s="6" t="s">
        <v>422</v>
      </c>
      <c r="B240" s="8">
        <v>190677455</v>
      </c>
    </row>
    <row r="241" spans="1:2" x14ac:dyDescent="0.3">
      <c r="A241" s="6" t="s">
        <v>134</v>
      </c>
      <c r="B241" s="8">
        <v>190125569</v>
      </c>
    </row>
    <row r="242" spans="1:2" x14ac:dyDescent="0.3">
      <c r="A242" s="6" t="s">
        <v>307</v>
      </c>
      <c r="B242" s="8">
        <v>189959380</v>
      </c>
    </row>
    <row r="243" spans="1:2" x14ac:dyDescent="0.3">
      <c r="A243" s="6" t="s">
        <v>377</v>
      </c>
      <c r="B243" s="8">
        <v>189791887</v>
      </c>
    </row>
    <row r="244" spans="1:2" x14ac:dyDescent="0.3">
      <c r="A244" s="6" t="s">
        <v>341</v>
      </c>
      <c r="B244" s="8">
        <v>189158865</v>
      </c>
    </row>
    <row r="245" spans="1:2" x14ac:dyDescent="0.3">
      <c r="A245" s="6" t="s">
        <v>374</v>
      </c>
      <c r="B245" s="8">
        <v>188398376</v>
      </c>
    </row>
    <row r="246" spans="1:2" x14ac:dyDescent="0.3">
      <c r="A246" s="6" t="s">
        <v>118</v>
      </c>
      <c r="B246" s="8">
        <v>187000357</v>
      </c>
    </row>
    <row r="247" spans="1:2" x14ac:dyDescent="0.3">
      <c r="A247" s="6" t="s">
        <v>327</v>
      </c>
      <c r="B247" s="8">
        <v>186585400</v>
      </c>
    </row>
    <row r="248" spans="1:2" x14ac:dyDescent="0.3">
      <c r="A248" s="6" t="s">
        <v>138</v>
      </c>
      <c r="B248" s="8">
        <v>186541093</v>
      </c>
    </row>
    <row r="249" spans="1:2" x14ac:dyDescent="0.3">
      <c r="A249" s="6" t="s">
        <v>178</v>
      </c>
      <c r="B249" s="8">
        <v>185104411</v>
      </c>
    </row>
    <row r="250" spans="1:2" x14ac:dyDescent="0.3">
      <c r="A250" s="6" t="s">
        <v>205</v>
      </c>
      <c r="B250" s="8">
        <v>184935258</v>
      </c>
    </row>
    <row r="251" spans="1:2" x14ac:dyDescent="0.3">
      <c r="A251" s="6" t="s">
        <v>317</v>
      </c>
      <c r="B251" s="8">
        <v>184488770</v>
      </c>
    </row>
    <row r="252" spans="1:2" x14ac:dyDescent="0.3">
      <c r="A252" s="6" t="s">
        <v>168</v>
      </c>
      <c r="B252" s="8">
        <v>182385748</v>
      </c>
    </row>
    <row r="253" spans="1:2" x14ac:dyDescent="0.3">
      <c r="A253" s="6" t="s">
        <v>82</v>
      </c>
      <c r="B253" s="8">
        <v>181215573</v>
      </c>
    </row>
    <row r="254" spans="1:2" x14ac:dyDescent="0.3">
      <c r="A254" s="6" t="s">
        <v>348</v>
      </c>
      <c r="B254" s="8">
        <v>180415422</v>
      </c>
    </row>
    <row r="255" spans="1:2" x14ac:dyDescent="0.3">
      <c r="A255" s="6" t="s">
        <v>103</v>
      </c>
      <c r="B255" s="8">
        <v>178862990</v>
      </c>
    </row>
    <row r="256" spans="1:2" x14ac:dyDescent="0.3">
      <c r="A256" s="6" t="s">
        <v>98</v>
      </c>
      <c r="B256" s="8">
        <v>178688228</v>
      </c>
    </row>
    <row r="257" spans="1:2" x14ac:dyDescent="0.3">
      <c r="A257" s="6" t="s">
        <v>193</v>
      </c>
      <c r="B257" s="8">
        <v>178347251</v>
      </c>
    </row>
    <row r="258" spans="1:2" x14ac:dyDescent="0.3">
      <c r="A258" s="6" t="s">
        <v>95</v>
      </c>
      <c r="B258" s="8">
        <v>177553714</v>
      </c>
    </row>
    <row r="259" spans="1:2" x14ac:dyDescent="0.3">
      <c r="A259" s="6" t="s">
        <v>121</v>
      </c>
      <c r="B259" s="8">
        <v>176262841</v>
      </c>
    </row>
    <row r="260" spans="1:2" x14ac:dyDescent="0.3">
      <c r="A260" s="6" t="s">
        <v>338</v>
      </c>
      <c r="B260" s="8">
        <v>176031351</v>
      </c>
    </row>
    <row r="261" spans="1:2" x14ac:dyDescent="0.3">
      <c r="A261" s="6" t="s">
        <v>51</v>
      </c>
      <c r="B261" s="8">
        <v>174949490</v>
      </c>
    </row>
    <row r="262" spans="1:2" x14ac:dyDescent="0.3">
      <c r="A262" s="6" t="s">
        <v>148</v>
      </c>
      <c r="B262" s="8">
        <v>173301150</v>
      </c>
    </row>
    <row r="263" spans="1:2" x14ac:dyDescent="0.3">
      <c r="A263" s="6" t="s">
        <v>108</v>
      </c>
      <c r="B263" s="8">
        <v>171703201</v>
      </c>
    </row>
    <row r="264" spans="1:2" x14ac:dyDescent="0.3">
      <c r="A264" s="6" t="s">
        <v>390</v>
      </c>
      <c r="B264" s="8">
        <v>171655392</v>
      </c>
    </row>
    <row r="265" spans="1:2" x14ac:dyDescent="0.3">
      <c r="A265" s="6" t="s">
        <v>382</v>
      </c>
      <c r="B265" s="8">
        <v>171642124</v>
      </c>
    </row>
    <row r="266" spans="1:2" x14ac:dyDescent="0.3">
      <c r="A266" s="6" t="s">
        <v>386</v>
      </c>
      <c r="B266" s="8">
        <v>170575990</v>
      </c>
    </row>
    <row r="267" spans="1:2" x14ac:dyDescent="0.3">
      <c r="A267" s="6" t="s">
        <v>358</v>
      </c>
      <c r="B267" s="8">
        <v>170567310</v>
      </c>
    </row>
    <row r="268" spans="1:2" x14ac:dyDescent="0.3">
      <c r="A268" s="6" t="s">
        <v>306</v>
      </c>
      <c r="B268" s="8">
        <v>170443698</v>
      </c>
    </row>
    <row r="269" spans="1:2" x14ac:dyDescent="0.3">
      <c r="A269" s="6" t="s">
        <v>361</v>
      </c>
      <c r="B269" s="8">
        <v>170316042</v>
      </c>
    </row>
    <row r="270" spans="1:2" x14ac:dyDescent="0.3">
      <c r="A270" s="6" t="s">
        <v>376</v>
      </c>
      <c r="B270" s="8">
        <v>169011174</v>
      </c>
    </row>
    <row r="271" spans="1:2" x14ac:dyDescent="0.3">
      <c r="A271" s="6" t="s">
        <v>198</v>
      </c>
      <c r="B271" s="8">
        <v>168988724</v>
      </c>
    </row>
    <row r="272" spans="1:2" x14ac:dyDescent="0.3">
      <c r="A272" s="6" t="s">
        <v>62</v>
      </c>
      <c r="B272" s="8">
        <v>168651797</v>
      </c>
    </row>
    <row r="273" spans="1:2" x14ac:dyDescent="0.3">
      <c r="A273" s="6" t="s">
        <v>111</v>
      </c>
      <c r="B273" s="8">
        <v>168534666</v>
      </c>
    </row>
    <row r="274" spans="1:2" x14ac:dyDescent="0.3">
      <c r="A274" s="6" t="s">
        <v>414</v>
      </c>
      <c r="B274" s="8">
        <v>165526718</v>
      </c>
    </row>
    <row r="275" spans="1:2" x14ac:dyDescent="0.3">
      <c r="A275" s="6" t="s">
        <v>97</v>
      </c>
      <c r="B275" s="8">
        <v>165303961</v>
      </c>
    </row>
    <row r="276" spans="1:2" x14ac:dyDescent="0.3">
      <c r="A276" s="6" t="s">
        <v>356</v>
      </c>
      <c r="B276" s="8">
        <v>165200624</v>
      </c>
    </row>
    <row r="277" spans="1:2" x14ac:dyDescent="0.3">
      <c r="A277" s="6" t="s">
        <v>141</v>
      </c>
      <c r="B277" s="8">
        <v>164366665</v>
      </c>
    </row>
    <row r="278" spans="1:2" x14ac:dyDescent="0.3">
      <c r="A278" s="6" t="s">
        <v>342</v>
      </c>
      <c r="B278" s="8">
        <v>162824843</v>
      </c>
    </row>
    <row r="279" spans="1:2" x14ac:dyDescent="0.3">
      <c r="A279" s="6" t="s">
        <v>99</v>
      </c>
      <c r="B279" s="8">
        <v>161865836</v>
      </c>
    </row>
    <row r="280" spans="1:2" x14ac:dyDescent="0.3">
      <c r="A280" s="6" t="s">
        <v>373</v>
      </c>
      <c r="B280" s="8">
        <v>160038079</v>
      </c>
    </row>
    <row r="281" spans="1:2" x14ac:dyDescent="0.3">
      <c r="A281" s="6" t="s">
        <v>26</v>
      </c>
      <c r="B281" s="8">
        <v>158846200</v>
      </c>
    </row>
    <row r="282" spans="1:2" x14ac:dyDescent="0.3">
      <c r="A282" s="6" t="s">
        <v>80</v>
      </c>
      <c r="B282" s="8">
        <v>158411940</v>
      </c>
    </row>
    <row r="283" spans="1:2" x14ac:dyDescent="0.3">
      <c r="A283" s="6" t="s">
        <v>109</v>
      </c>
      <c r="B283" s="8">
        <v>157692766</v>
      </c>
    </row>
    <row r="284" spans="1:2" x14ac:dyDescent="0.3">
      <c r="A284" s="6" t="s">
        <v>389</v>
      </c>
      <c r="B284" s="8">
        <v>157123998</v>
      </c>
    </row>
    <row r="285" spans="1:2" x14ac:dyDescent="0.3">
      <c r="A285" s="6" t="s">
        <v>49</v>
      </c>
      <c r="B285" s="8">
        <v>156925389</v>
      </c>
    </row>
    <row r="286" spans="1:2" x14ac:dyDescent="0.3">
      <c r="A286" s="6" t="s">
        <v>412</v>
      </c>
      <c r="B286" s="8">
        <v>155989951</v>
      </c>
    </row>
    <row r="287" spans="1:2" x14ac:dyDescent="0.3">
      <c r="A287" s="6" t="s">
        <v>378</v>
      </c>
      <c r="B287" s="8">
        <v>155621058</v>
      </c>
    </row>
    <row r="288" spans="1:2" x14ac:dyDescent="0.3">
      <c r="A288" s="6" t="s">
        <v>318</v>
      </c>
      <c r="B288" s="8">
        <v>155242746</v>
      </c>
    </row>
    <row r="289" spans="1:2" x14ac:dyDescent="0.3">
      <c r="A289" s="6" t="s">
        <v>84</v>
      </c>
      <c r="B289" s="8">
        <v>153489625</v>
      </c>
    </row>
    <row r="290" spans="1:2" x14ac:dyDescent="0.3">
      <c r="A290" s="6" t="s">
        <v>328</v>
      </c>
      <c r="B290" s="8">
        <v>153466003</v>
      </c>
    </row>
    <row r="291" spans="1:2" x14ac:dyDescent="0.3">
      <c r="A291" s="6" t="s">
        <v>52</v>
      </c>
      <c r="B291" s="8">
        <v>153266977</v>
      </c>
    </row>
    <row r="292" spans="1:2" x14ac:dyDescent="0.3">
      <c r="A292" s="6" t="s">
        <v>442</v>
      </c>
      <c r="B292" s="8">
        <v>153054766</v>
      </c>
    </row>
    <row r="293" spans="1:2" x14ac:dyDescent="0.3">
      <c r="A293" s="6" t="s">
        <v>353</v>
      </c>
      <c r="B293" s="8">
        <v>152936009</v>
      </c>
    </row>
    <row r="294" spans="1:2" x14ac:dyDescent="0.3">
      <c r="A294" s="6" t="s">
        <v>345</v>
      </c>
      <c r="B294" s="8">
        <v>152842470</v>
      </c>
    </row>
    <row r="295" spans="1:2" x14ac:dyDescent="0.3">
      <c r="A295" s="6" t="s">
        <v>64</v>
      </c>
      <c r="B295" s="8">
        <v>152688952</v>
      </c>
    </row>
    <row r="296" spans="1:2" x14ac:dyDescent="0.3">
      <c r="A296" s="6" t="s">
        <v>425</v>
      </c>
      <c r="B296" s="8">
        <v>152657782</v>
      </c>
    </row>
    <row r="297" spans="1:2" x14ac:dyDescent="0.3">
      <c r="A297" s="6" t="s">
        <v>320</v>
      </c>
      <c r="B297" s="8">
        <v>149030914</v>
      </c>
    </row>
    <row r="298" spans="1:2" x14ac:dyDescent="0.3">
      <c r="A298" s="6" t="s">
        <v>357</v>
      </c>
      <c r="B298" s="8">
        <v>148719931</v>
      </c>
    </row>
    <row r="299" spans="1:2" x14ac:dyDescent="0.3">
      <c r="A299" s="6" t="s">
        <v>369</v>
      </c>
      <c r="B299" s="8">
        <v>148012454</v>
      </c>
    </row>
    <row r="300" spans="1:2" x14ac:dyDescent="0.3">
      <c r="A300" s="6" t="s">
        <v>28</v>
      </c>
      <c r="B300" s="8">
        <v>146632610</v>
      </c>
    </row>
    <row r="301" spans="1:2" x14ac:dyDescent="0.3">
      <c r="A301" s="6" t="s">
        <v>449</v>
      </c>
      <c r="B301" s="8">
        <v>146254431</v>
      </c>
    </row>
    <row r="302" spans="1:2" x14ac:dyDescent="0.3">
      <c r="A302" s="6" t="s">
        <v>151</v>
      </c>
      <c r="B302" s="8">
        <v>145513197</v>
      </c>
    </row>
    <row r="303" spans="1:2" x14ac:dyDescent="0.3">
      <c r="A303" s="6" t="s">
        <v>87</v>
      </c>
      <c r="B303" s="8">
        <v>140950343</v>
      </c>
    </row>
    <row r="304" spans="1:2" x14ac:dyDescent="0.3">
      <c r="A304" s="6" t="s">
        <v>243</v>
      </c>
      <c r="B304" s="8">
        <v>140725409</v>
      </c>
    </row>
    <row r="305" spans="1:2" x14ac:dyDescent="0.3">
      <c r="A305" s="6" t="s">
        <v>35</v>
      </c>
      <c r="B305" s="8">
        <v>140045451</v>
      </c>
    </row>
    <row r="306" spans="1:2" x14ac:dyDescent="0.3">
      <c r="A306" s="6" t="s">
        <v>406</v>
      </c>
      <c r="B306" s="8">
        <v>139622166</v>
      </c>
    </row>
    <row r="307" spans="1:2" x14ac:dyDescent="0.3">
      <c r="A307" s="6" t="s">
        <v>124</v>
      </c>
      <c r="B307" s="8">
        <v>138442638</v>
      </c>
    </row>
    <row r="308" spans="1:2" x14ac:dyDescent="0.3">
      <c r="A308" s="6" t="s">
        <v>365</v>
      </c>
      <c r="B308" s="8">
        <v>137745520</v>
      </c>
    </row>
    <row r="309" spans="1:2" x14ac:dyDescent="0.3">
      <c r="A309" s="6" t="s">
        <v>290</v>
      </c>
      <c r="B309" s="8">
        <v>136424053</v>
      </c>
    </row>
    <row r="310" spans="1:2" x14ac:dyDescent="0.3">
      <c r="A310" s="6" t="s">
        <v>380</v>
      </c>
      <c r="B310" s="8">
        <v>136389391</v>
      </c>
    </row>
    <row r="311" spans="1:2" x14ac:dyDescent="0.3">
      <c r="A311" s="6" t="s">
        <v>360</v>
      </c>
      <c r="B311" s="8">
        <v>135716928</v>
      </c>
    </row>
    <row r="312" spans="1:2" x14ac:dyDescent="0.3">
      <c r="A312" s="6" t="s">
        <v>312</v>
      </c>
      <c r="B312" s="8">
        <v>135321131</v>
      </c>
    </row>
    <row r="313" spans="1:2" x14ac:dyDescent="0.3">
      <c r="A313" s="6" t="s">
        <v>462</v>
      </c>
      <c r="B313" s="8">
        <v>132824269</v>
      </c>
    </row>
    <row r="314" spans="1:2" x14ac:dyDescent="0.3">
      <c r="A314" s="6" t="s">
        <v>281</v>
      </c>
      <c r="B314" s="8">
        <v>132482996</v>
      </c>
    </row>
    <row r="315" spans="1:2" x14ac:dyDescent="0.3">
      <c r="A315" s="6" t="s">
        <v>25</v>
      </c>
      <c r="B315" s="8">
        <v>131784458</v>
      </c>
    </row>
    <row r="316" spans="1:2" x14ac:dyDescent="0.3">
      <c r="A316" s="6" t="s">
        <v>347</v>
      </c>
      <c r="B316" s="8">
        <v>131582778</v>
      </c>
    </row>
    <row r="317" spans="1:2" x14ac:dyDescent="0.3">
      <c r="A317" s="6" t="s">
        <v>20</v>
      </c>
      <c r="B317" s="8">
        <v>130518718</v>
      </c>
    </row>
    <row r="318" spans="1:2" x14ac:dyDescent="0.3">
      <c r="A318" s="6" t="s">
        <v>69</v>
      </c>
      <c r="B318" s="8">
        <v>130070298</v>
      </c>
    </row>
    <row r="319" spans="1:2" x14ac:dyDescent="0.3">
      <c r="A319" s="6" t="s">
        <v>359</v>
      </c>
      <c r="B319" s="8">
        <v>129923384</v>
      </c>
    </row>
    <row r="320" spans="1:2" x14ac:dyDescent="0.3">
      <c r="A320" s="6" t="s">
        <v>56</v>
      </c>
      <c r="B320" s="8">
        <v>128893992</v>
      </c>
    </row>
    <row r="321" spans="1:2" x14ac:dyDescent="0.3">
      <c r="A321" s="6" t="s">
        <v>40</v>
      </c>
      <c r="B321" s="8">
        <v>128541828</v>
      </c>
    </row>
    <row r="322" spans="1:2" x14ac:dyDescent="0.3">
      <c r="A322" s="6" t="s">
        <v>36</v>
      </c>
      <c r="B322" s="8">
        <v>127897654</v>
      </c>
    </row>
    <row r="323" spans="1:2" x14ac:dyDescent="0.3">
      <c r="A323" s="6" t="s">
        <v>24</v>
      </c>
      <c r="B323" s="8">
        <v>127697094</v>
      </c>
    </row>
    <row r="324" spans="1:2" x14ac:dyDescent="0.3">
      <c r="A324" s="6" t="s">
        <v>48</v>
      </c>
      <c r="B324" s="8">
        <v>126420335</v>
      </c>
    </row>
    <row r="325" spans="1:2" x14ac:dyDescent="0.3">
      <c r="A325" s="6" t="s">
        <v>405</v>
      </c>
      <c r="B325" s="8">
        <v>125915463</v>
      </c>
    </row>
    <row r="326" spans="1:2" x14ac:dyDescent="0.3">
      <c r="A326" s="6" t="s">
        <v>45</v>
      </c>
      <c r="B326" s="8">
        <v>125911907</v>
      </c>
    </row>
    <row r="327" spans="1:2" x14ac:dyDescent="0.3">
      <c r="A327" s="6" t="s">
        <v>387</v>
      </c>
      <c r="B327" s="8">
        <v>124889171</v>
      </c>
    </row>
    <row r="328" spans="1:2" x14ac:dyDescent="0.3">
      <c r="A328" s="6" t="s">
        <v>407</v>
      </c>
      <c r="B328" s="8">
        <v>124194580</v>
      </c>
    </row>
    <row r="329" spans="1:2" x14ac:dyDescent="0.3">
      <c r="A329" s="6" t="s">
        <v>399</v>
      </c>
      <c r="B329" s="8">
        <v>122714114</v>
      </c>
    </row>
    <row r="330" spans="1:2" x14ac:dyDescent="0.3">
      <c r="A330" s="6" t="s">
        <v>140</v>
      </c>
      <c r="B330" s="8">
        <v>122705506</v>
      </c>
    </row>
    <row r="331" spans="1:2" x14ac:dyDescent="0.3">
      <c r="A331" s="6" t="s">
        <v>448</v>
      </c>
      <c r="B331" s="8">
        <v>122547732</v>
      </c>
    </row>
    <row r="332" spans="1:2" x14ac:dyDescent="0.3">
      <c r="A332" s="6" t="s">
        <v>110</v>
      </c>
      <c r="B332" s="8">
        <v>122286740</v>
      </c>
    </row>
    <row r="333" spans="1:2" x14ac:dyDescent="0.3">
      <c r="A333" s="6" t="s">
        <v>74</v>
      </c>
      <c r="B333" s="8">
        <v>122228146</v>
      </c>
    </row>
    <row r="334" spans="1:2" x14ac:dyDescent="0.3">
      <c r="A334" s="6" t="s">
        <v>419</v>
      </c>
      <c r="B334" s="8">
        <v>120274022</v>
      </c>
    </row>
    <row r="335" spans="1:2" x14ac:dyDescent="0.3">
      <c r="A335" s="6" t="s">
        <v>364</v>
      </c>
      <c r="B335" s="8">
        <v>120062594</v>
      </c>
    </row>
    <row r="336" spans="1:2" x14ac:dyDescent="0.3">
      <c r="A336" s="6" t="s">
        <v>411</v>
      </c>
      <c r="B336" s="8">
        <v>120043336</v>
      </c>
    </row>
    <row r="337" spans="1:2" x14ac:dyDescent="0.3">
      <c r="A337" s="6" t="s">
        <v>77</v>
      </c>
      <c r="B337" s="8">
        <v>119577779</v>
      </c>
    </row>
    <row r="338" spans="1:2" x14ac:dyDescent="0.3">
      <c r="A338" s="6" t="s">
        <v>104</v>
      </c>
      <c r="B338" s="8">
        <v>116976472</v>
      </c>
    </row>
    <row r="339" spans="1:2" x14ac:dyDescent="0.3">
      <c r="A339" s="6" t="s">
        <v>136</v>
      </c>
      <c r="B339" s="8">
        <v>115898146</v>
      </c>
    </row>
    <row r="340" spans="1:2" x14ac:dyDescent="0.3">
      <c r="A340" s="6" t="s">
        <v>133</v>
      </c>
      <c r="B340" s="8">
        <v>115433546</v>
      </c>
    </row>
    <row r="341" spans="1:2" x14ac:dyDescent="0.3">
      <c r="A341" s="6" t="s">
        <v>400</v>
      </c>
      <c r="B341" s="8">
        <v>114495087</v>
      </c>
    </row>
    <row r="342" spans="1:2" x14ac:dyDescent="0.3">
      <c r="A342" s="6" t="s">
        <v>113</v>
      </c>
      <c r="B342" s="8">
        <v>113584467</v>
      </c>
    </row>
    <row r="343" spans="1:2" x14ac:dyDescent="0.3">
      <c r="A343" s="6" t="s">
        <v>6</v>
      </c>
      <c r="B343" s="8">
        <v>112979930</v>
      </c>
    </row>
    <row r="344" spans="1:2" x14ac:dyDescent="0.3">
      <c r="A344" s="6" t="s">
        <v>81</v>
      </c>
      <c r="B344" s="8">
        <v>112744014</v>
      </c>
    </row>
    <row r="345" spans="1:2" x14ac:dyDescent="0.3">
      <c r="A345" s="6" t="s">
        <v>116</v>
      </c>
      <c r="B345" s="8">
        <v>111887383</v>
      </c>
    </row>
    <row r="346" spans="1:2" x14ac:dyDescent="0.3">
      <c r="A346" s="6" t="s">
        <v>30</v>
      </c>
      <c r="B346" s="8">
        <v>111478886</v>
      </c>
    </row>
    <row r="347" spans="1:2" x14ac:dyDescent="0.3">
      <c r="A347" s="6" t="s">
        <v>286</v>
      </c>
      <c r="B347" s="8">
        <v>110994478</v>
      </c>
    </row>
    <row r="348" spans="1:2" x14ac:dyDescent="0.3">
      <c r="A348" s="6" t="s">
        <v>93</v>
      </c>
      <c r="B348" s="8">
        <v>110434791</v>
      </c>
    </row>
    <row r="349" spans="1:2" x14ac:dyDescent="0.3">
      <c r="A349" s="6" t="s">
        <v>46</v>
      </c>
      <c r="B349" s="8">
        <v>109837392</v>
      </c>
    </row>
    <row r="350" spans="1:2" x14ac:dyDescent="0.3">
      <c r="A350" s="6" t="s">
        <v>372</v>
      </c>
      <c r="B350" s="8">
        <v>109684165</v>
      </c>
    </row>
    <row r="351" spans="1:2" x14ac:dyDescent="0.3">
      <c r="A351" s="6" t="s">
        <v>101</v>
      </c>
      <c r="B351" s="8">
        <v>108871368</v>
      </c>
    </row>
    <row r="352" spans="1:2" x14ac:dyDescent="0.3">
      <c r="A352" s="6" t="s">
        <v>287</v>
      </c>
      <c r="B352" s="8">
        <v>107154592</v>
      </c>
    </row>
    <row r="353" spans="1:2" x14ac:dyDescent="0.3">
      <c r="A353" s="6" t="s">
        <v>421</v>
      </c>
      <c r="B353" s="8">
        <v>106944598</v>
      </c>
    </row>
    <row r="354" spans="1:2" x14ac:dyDescent="0.3">
      <c r="A354" s="6" t="s">
        <v>102</v>
      </c>
      <c r="B354" s="8">
        <v>105858021</v>
      </c>
    </row>
    <row r="355" spans="1:2" x14ac:dyDescent="0.3">
      <c r="A355" s="6" t="s">
        <v>355</v>
      </c>
      <c r="B355" s="8">
        <v>105207536</v>
      </c>
    </row>
    <row r="356" spans="1:2" x14ac:dyDescent="0.3">
      <c r="A356" s="6" t="s">
        <v>55</v>
      </c>
      <c r="B356" s="8">
        <v>103677747</v>
      </c>
    </row>
    <row r="357" spans="1:2" x14ac:dyDescent="0.3">
      <c r="A357" s="6" t="s">
        <v>423</v>
      </c>
      <c r="B357" s="8">
        <v>103404961</v>
      </c>
    </row>
    <row r="358" spans="1:2" x14ac:dyDescent="0.3">
      <c r="A358" s="6" t="s">
        <v>415</v>
      </c>
      <c r="B358" s="8">
        <v>103355756</v>
      </c>
    </row>
    <row r="359" spans="1:2" x14ac:dyDescent="0.3">
      <c r="A359" s="6" t="s">
        <v>394</v>
      </c>
      <c r="B359" s="8">
        <v>101097608</v>
      </c>
    </row>
    <row r="360" spans="1:2" x14ac:dyDescent="0.3">
      <c r="A360" s="6" t="s">
        <v>58</v>
      </c>
      <c r="B360" s="8">
        <v>99971748</v>
      </c>
    </row>
    <row r="361" spans="1:2" x14ac:dyDescent="0.3">
      <c r="A361" s="6" t="s">
        <v>37</v>
      </c>
      <c r="B361" s="8">
        <v>99528244</v>
      </c>
    </row>
    <row r="362" spans="1:2" x14ac:dyDescent="0.3">
      <c r="A362" s="6" t="s">
        <v>437</v>
      </c>
      <c r="B362" s="8">
        <v>99268434</v>
      </c>
    </row>
    <row r="363" spans="1:2" x14ac:dyDescent="0.3">
      <c r="A363" s="6" t="s">
        <v>384</v>
      </c>
      <c r="B363" s="8">
        <v>98863805</v>
      </c>
    </row>
    <row r="364" spans="1:2" x14ac:dyDescent="0.3">
      <c r="A364" s="6" t="s">
        <v>456</v>
      </c>
      <c r="B364" s="8">
        <v>98810884</v>
      </c>
    </row>
    <row r="365" spans="1:2" x14ac:dyDescent="0.3">
      <c r="A365" s="6" t="s">
        <v>432</v>
      </c>
      <c r="B365" s="8">
        <v>97944535</v>
      </c>
    </row>
    <row r="366" spans="1:2" x14ac:dyDescent="0.3">
      <c r="A366" s="6" t="s">
        <v>458</v>
      </c>
      <c r="B366" s="8">
        <v>97908709</v>
      </c>
    </row>
    <row r="367" spans="1:2" x14ac:dyDescent="0.3">
      <c r="A367" s="6" t="s">
        <v>88</v>
      </c>
      <c r="B367" s="8">
        <v>97861858</v>
      </c>
    </row>
    <row r="368" spans="1:2" x14ac:dyDescent="0.3">
      <c r="A368" s="6" t="s">
        <v>27</v>
      </c>
      <c r="B368" s="8">
        <v>97020419</v>
      </c>
    </row>
    <row r="369" spans="1:2" x14ac:dyDescent="0.3">
      <c r="A369" s="6" t="s">
        <v>125</v>
      </c>
      <c r="B369" s="8">
        <v>94908731</v>
      </c>
    </row>
    <row r="370" spans="1:2" x14ac:dyDescent="0.3">
      <c r="A370" s="6" t="s">
        <v>395</v>
      </c>
      <c r="B370" s="8">
        <v>94898871</v>
      </c>
    </row>
    <row r="371" spans="1:2" x14ac:dyDescent="0.3">
      <c r="A371" s="6" t="s">
        <v>381</v>
      </c>
      <c r="B371" s="8">
        <v>93889459</v>
      </c>
    </row>
    <row r="372" spans="1:2" x14ac:dyDescent="0.3">
      <c r="A372" s="6" t="s">
        <v>371</v>
      </c>
      <c r="B372" s="8">
        <v>93344743</v>
      </c>
    </row>
    <row r="373" spans="1:2" x14ac:dyDescent="0.3">
      <c r="A373" s="6" t="s">
        <v>68</v>
      </c>
      <c r="B373" s="8">
        <v>93340549</v>
      </c>
    </row>
    <row r="374" spans="1:2" x14ac:dyDescent="0.3">
      <c r="A374" s="6" t="s">
        <v>83</v>
      </c>
      <c r="B374" s="8">
        <v>92525126</v>
      </c>
    </row>
    <row r="375" spans="1:2" x14ac:dyDescent="0.3">
      <c r="A375" s="6" t="s">
        <v>41</v>
      </c>
      <c r="B375" s="8">
        <v>90026599</v>
      </c>
    </row>
    <row r="376" spans="1:2" x14ac:dyDescent="0.3">
      <c r="A376" s="6" t="s">
        <v>404</v>
      </c>
      <c r="B376" s="8">
        <v>89556234</v>
      </c>
    </row>
    <row r="377" spans="1:2" x14ac:dyDescent="0.3">
      <c r="A377" s="6" t="s">
        <v>324</v>
      </c>
      <c r="B377" s="8">
        <v>87901171</v>
      </c>
    </row>
    <row r="378" spans="1:2" x14ac:dyDescent="0.3">
      <c r="A378" s="6" t="s">
        <v>38</v>
      </c>
      <c r="B378" s="8">
        <v>87493049</v>
      </c>
    </row>
    <row r="379" spans="1:2" x14ac:dyDescent="0.3">
      <c r="A379" s="6" t="s">
        <v>14</v>
      </c>
      <c r="B379" s="8">
        <v>86411166</v>
      </c>
    </row>
    <row r="380" spans="1:2" x14ac:dyDescent="0.3">
      <c r="A380" s="6" t="s">
        <v>9</v>
      </c>
      <c r="B380" s="8">
        <v>85713424</v>
      </c>
    </row>
    <row r="381" spans="1:2" x14ac:dyDescent="0.3">
      <c r="A381" s="6" t="s">
        <v>416</v>
      </c>
      <c r="B381" s="8">
        <v>83929801</v>
      </c>
    </row>
    <row r="382" spans="1:2" x14ac:dyDescent="0.3">
      <c r="A382" s="6" t="s">
        <v>393</v>
      </c>
      <c r="B382" s="8">
        <v>83914787</v>
      </c>
    </row>
    <row r="383" spans="1:2" x14ac:dyDescent="0.3">
      <c r="A383" s="6" t="s">
        <v>351</v>
      </c>
      <c r="B383" s="8">
        <v>83212094</v>
      </c>
    </row>
    <row r="384" spans="1:2" x14ac:dyDescent="0.3">
      <c r="A384" s="6" t="s">
        <v>66</v>
      </c>
      <c r="B384" s="8">
        <v>79571303</v>
      </c>
    </row>
    <row r="385" spans="1:2" x14ac:dyDescent="0.3">
      <c r="A385" s="6" t="s">
        <v>370</v>
      </c>
      <c r="B385" s="8">
        <v>78851460</v>
      </c>
    </row>
    <row r="386" spans="1:2" x14ac:dyDescent="0.3">
      <c r="A386" s="6" t="s">
        <v>132</v>
      </c>
      <c r="B386" s="8">
        <v>77740419</v>
      </c>
    </row>
    <row r="387" spans="1:2" x14ac:dyDescent="0.3">
      <c r="A387" s="6" t="s">
        <v>439</v>
      </c>
      <c r="B387" s="8">
        <v>75789505</v>
      </c>
    </row>
    <row r="388" spans="1:2" x14ac:dyDescent="0.3">
      <c r="A388" s="6" t="s">
        <v>461</v>
      </c>
      <c r="B388" s="8">
        <v>75402322</v>
      </c>
    </row>
    <row r="389" spans="1:2" x14ac:dyDescent="0.3">
      <c r="A389" s="6" t="s">
        <v>311</v>
      </c>
      <c r="B389" s="8">
        <v>73507896</v>
      </c>
    </row>
    <row r="390" spans="1:2" x14ac:dyDescent="0.3">
      <c r="A390" s="6" t="s">
        <v>135</v>
      </c>
      <c r="B390" s="8">
        <v>72006301</v>
      </c>
    </row>
    <row r="391" spans="1:2" x14ac:dyDescent="0.3">
      <c r="A391" s="6" t="s">
        <v>383</v>
      </c>
      <c r="B391" s="8">
        <v>71000075</v>
      </c>
    </row>
    <row r="392" spans="1:2" x14ac:dyDescent="0.3">
      <c r="A392" s="6" t="s">
        <v>44</v>
      </c>
      <c r="B392" s="8">
        <v>70103357</v>
      </c>
    </row>
    <row r="393" spans="1:2" x14ac:dyDescent="0.3">
      <c r="A393" s="6" t="s">
        <v>446</v>
      </c>
      <c r="B393" s="8">
        <v>70083705</v>
      </c>
    </row>
    <row r="394" spans="1:2" x14ac:dyDescent="0.3">
      <c r="A394" s="6" t="s">
        <v>340</v>
      </c>
      <c r="B394" s="8">
        <v>69979526</v>
      </c>
    </row>
    <row r="395" spans="1:2" x14ac:dyDescent="0.3">
      <c r="A395" s="6" t="s">
        <v>354</v>
      </c>
      <c r="B395" s="8">
        <v>69031568</v>
      </c>
    </row>
    <row r="396" spans="1:2" x14ac:dyDescent="0.3">
      <c r="A396" s="6" t="s">
        <v>606</v>
      </c>
      <c r="B396" s="8">
        <v>68466482</v>
      </c>
    </row>
    <row r="397" spans="1:2" x14ac:dyDescent="0.3">
      <c r="A397" s="6" t="s">
        <v>368</v>
      </c>
      <c r="B397" s="8">
        <v>67724015</v>
      </c>
    </row>
    <row r="398" spans="1:2" x14ac:dyDescent="0.3">
      <c r="A398" s="6" t="s">
        <v>444</v>
      </c>
      <c r="B398" s="8">
        <v>66482814</v>
      </c>
    </row>
    <row r="399" spans="1:2" x14ac:dyDescent="0.3">
      <c r="A399" s="6" t="s">
        <v>424</v>
      </c>
      <c r="B399" s="8">
        <v>65382269</v>
      </c>
    </row>
    <row r="400" spans="1:2" x14ac:dyDescent="0.3">
      <c r="A400" s="6" t="s">
        <v>21</v>
      </c>
      <c r="B400" s="8">
        <v>63292424</v>
      </c>
    </row>
    <row r="401" spans="1:2" x14ac:dyDescent="0.3">
      <c r="A401" s="6" t="s">
        <v>85</v>
      </c>
      <c r="B401" s="8">
        <v>62425691</v>
      </c>
    </row>
    <row r="402" spans="1:2" x14ac:dyDescent="0.3">
      <c r="A402" s="6" t="s">
        <v>7</v>
      </c>
      <c r="B402" s="8">
        <v>62264600</v>
      </c>
    </row>
    <row r="403" spans="1:2" x14ac:dyDescent="0.3">
      <c r="A403" s="6" t="s">
        <v>403</v>
      </c>
      <c r="B403" s="8">
        <v>61589384</v>
      </c>
    </row>
    <row r="404" spans="1:2" x14ac:dyDescent="0.3">
      <c r="A404" s="6" t="s">
        <v>126</v>
      </c>
      <c r="B404" s="8">
        <v>61346750</v>
      </c>
    </row>
    <row r="405" spans="1:2" x14ac:dyDescent="0.3">
      <c r="A405" s="6" t="s">
        <v>323</v>
      </c>
      <c r="B405" s="8">
        <v>59422417</v>
      </c>
    </row>
    <row r="406" spans="1:2" x14ac:dyDescent="0.3">
      <c r="A406" s="6" t="s">
        <v>65</v>
      </c>
      <c r="B406" s="8">
        <v>59020732</v>
      </c>
    </row>
    <row r="407" spans="1:2" x14ac:dyDescent="0.3">
      <c r="A407" s="6" t="s">
        <v>363</v>
      </c>
      <c r="B407" s="8">
        <v>58609223</v>
      </c>
    </row>
    <row r="408" spans="1:2" x14ac:dyDescent="0.3">
      <c r="A408" s="6" t="s">
        <v>308</v>
      </c>
      <c r="B408" s="8">
        <v>57590296</v>
      </c>
    </row>
    <row r="409" spans="1:2" x14ac:dyDescent="0.3">
      <c r="A409" s="6" t="s">
        <v>402</v>
      </c>
      <c r="B409" s="8">
        <v>57168031</v>
      </c>
    </row>
    <row r="410" spans="1:2" x14ac:dyDescent="0.3">
      <c r="A410" s="6" t="s">
        <v>450</v>
      </c>
      <c r="B410" s="8">
        <v>57165215</v>
      </c>
    </row>
    <row r="411" spans="1:2" x14ac:dyDescent="0.3">
      <c r="A411" s="6" t="s">
        <v>463</v>
      </c>
      <c r="B411" s="8">
        <v>55321115</v>
      </c>
    </row>
    <row r="412" spans="1:2" x14ac:dyDescent="0.3">
      <c r="A412" s="6" t="s">
        <v>523</v>
      </c>
      <c r="B412" s="8">
        <v>55105204</v>
      </c>
    </row>
    <row r="413" spans="1:2" x14ac:dyDescent="0.3">
      <c r="A413" s="6" t="s">
        <v>483</v>
      </c>
      <c r="B413" s="8">
        <v>54429329</v>
      </c>
    </row>
    <row r="414" spans="1:2" x14ac:dyDescent="0.3">
      <c r="A414" s="6" t="s">
        <v>451</v>
      </c>
      <c r="B414" s="8">
        <v>53769886</v>
      </c>
    </row>
    <row r="415" spans="1:2" x14ac:dyDescent="0.3">
      <c r="A415" s="6" t="s">
        <v>29</v>
      </c>
      <c r="B415" s="8">
        <v>51790997</v>
      </c>
    </row>
    <row r="416" spans="1:2" x14ac:dyDescent="0.3">
      <c r="A416" s="6" t="s">
        <v>70</v>
      </c>
      <c r="B416" s="8">
        <v>49910524</v>
      </c>
    </row>
    <row r="417" spans="1:2" x14ac:dyDescent="0.3">
      <c r="A417" s="6" t="s">
        <v>79</v>
      </c>
      <c r="B417" s="8">
        <v>48423264</v>
      </c>
    </row>
    <row r="418" spans="1:2" x14ac:dyDescent="0.3">
      <c r="A418" s="6" t="s">
        <v>490</v>
      </c>
      <c r="B418" s="8">
        <v>47745553</v>
      </c>
    </row>
    <row r="419" spans="1:2" x14ac:dyDescent="0.3">
      <c r="A419" s="6" t="s">
        <v>420</v>
      </c>
      <c r="B419" s="8">
        <v>47441064</v>
      </c>
    </row>
    <row r="420" spans="1:2" x14ac:dyDescent="0.3">
      <c r="A420" s="6" t="s">
        <v>337</v>
      </c>
      <c r="B420" s="8">
        <v>47393076</v>
      </c>
    </row>
    <row r="421" spans="1:2" x14ac:dyDescent="0.3">
      <c r="A421" s="6" t="s">
        <v>63</v>
      </c>
      <c r="B421" s="8">
        <v>47272504</v>
      </c>
    </row>
    <row r="422" spans="1:2" x14ac:dyDescent="0.3">
      <c r="A422" s="6" t="s">
        <v>435</v>
      </c>
      <c r="B422" s="8">
        <v>46533184</v>
      </c>
    </row>
    <row r="423" spans="1:2" x14ac:dyDescent="0.3">
      <c r="A423" s="6" t="s">
        <v>452</v>
      </c>
      <c r="B423" s="8">
        <v>45963993</v>
      </c>
    </row>
    <row r="424" spans="1:2" x14ac:dyDescent="0.3">
      <c r="A424" s="6" t="s">
        <v>408</v>
      </c>
      <c r="B424" s="8">
        <v>45316440</v>
      </c>
    </row>
    <row r="425" spans="1:2" x14ac:dyDescent="0.3">
      <c r="A425" s="6" t="s">
        <v>496</v>
      </c>
      <c r="B425" s="8">
        <v>45146491</v>
      </c>
    </row>
    <row r="426" spans="1:2" x14ac:dyDescent="0.3">
      <c r="A426" s="6" t="s">
        <v>429</v>
      </c>
      <c r="B426" s="8">
        <v>45024398</v>
      </c>
    </row>
    <row r="427" spans="1:2" x14ac:dyDescent="0.3">
      <c r="A427" s="6" t="s">
        <v>520</v>
      </c>
      <c r="B427" s="8">
        <v>44886283</v>
      </c>
    </row>
    <row r="428" spans="1:2" x14ac:dyDescent="0.3">
      <c r="A428" s="6" t="s">
        <v>438</v>
      </c>
      <c r="B428" s="8">
        <v>44200113</v>
      </c>
    </row>
    <row r="429" spans="1:2" x14ac:dyDescent="0.3">
      <c r="A429" s="6" t="s">
        <v>427</v>
      </c>
      <c r="B429" s="8">
        <v>43992732</v>
      </c>
    </row>
    <row r="430" spans="1:2" x14ac:dyDescent="0.3">
      <c r="A430" s="6" t="s">
        <v>503</v>
      </c>
      <c r="B430" s="8">
        <v>43966781</v>
      </c>
    </row>
    <row r="431" spans="1:2" x14ac:dyDescent="0.3">
      <c r="A431" s="6" t="s">
        <v>445</v>
      </c>
      <c r="B431" s="8">
        <v>43731563</v>
      </c>
    </row>
    <row r="432" spans="1:2" x14ac:dyDescent="0.3">
      <c r="A432" s="6" t="s">
        <v>72</v>
      </c>
      <c r="B432" s="8">
        <v>42116983</v>
      </c>
    </row>
    <row r="433" spans="1:2" x14ac:dyDescent="0.3">
      <c r="A433" s="6" t="s">
        <v>410</v>
      </c>
      <c r="B433" s="8">
        <v>41793126</v>
      </c>
    </row>
    <row r="434" spans="1:2" x14ac:dyDescent="0.3">
      <c r="A434" s="6" t="s">
        <v>34</v>
      </c>
      <c r="B434" s="8">
        <v>41717130</v>
      </c>
    </row>
    <row r="435" spans="1:2" x14ac:dyDescent="0.3">
      <c r="A435" s="6" t="s">
        <v>470</v>
      </c>
      <c r="B435" s="8">
        <v>41397174</v>
      </c>
    </row>
    <row r="436" spans="1:2" x14ac:dyDescent="0.3">
      <c r="A436" s="6" t="s">
        <v>388</v>
      </c>
      <c r="B436" s="8">
        <v>41000146</v>
      </c>
    </row>
    <row r="437" spans="1:2" x14ac:dyDescent="0.3">
      <c r="A437" s="6" t="s">
        <v>350</v>
      </c>
      <c r="B437" s="8">
        <v>39771772</v>
      </c>
    </row>
    <row r="438" spans="1:2" x14ac:dyDescent="0.3">
      <c r="A438" s="6" t="s">
        <v>76</v>
      </c>
      <c r="B438" s="8">
        <v>38936751</v>
      </c>
    </row>
    <row r="439" spans="1:2" x14ac:dyDescent="0.3">
      <c r="A439" s="6" t="s">
        <v>434</v>
      </c>
      <c r="B439" s="8">
        <v>38878445</v>
      </c>
    </row>
    <row r="440" spans="1:2" x14ac:dyDescent="0.3">
      <c r="A440" s="6" t="s">
        <v>397</v>
      </c>
      <c r="B440" s="8">
        <v>38542708</v>
      </c>
    </row>
    <row r="441" spans="1:2" x14ac:dyDescent="0.3">
      <c r="A441" s="6" t="s">
        <v>491</v>
      </c>
      <c r="B441" s="8">
        <v>37764441</v>
      </c>
    </row>
    <row r="442" spans="1:2" x14ac:dyDescent="0.3">
      <c r="A442" s="6" t="s">
        <v>453</v>
      </c>
      <c r="B442" s="8">
        <v>37483476</v>
      </c>
    </row>
    <row r="443" spans="1:2" x14ac:dyDescent="0.3">
      <c r="A443" s="6" t="s">
        <v>443</v>
      </c>
      <c r="B443" s="8">
        <v>37458894</v>
      </c>
    </row>
    <row r="444" spans="1:2" x14ac:dyDescent="0.3">
      <c r="A444" s="6" t="s">
        <v>467</v>
      </c>
      <c r="B444" s="8">
        <v>37444874</v>
      </c>
    </row>
    <row r="445" spans="1:2" x14ac:dyDescent="0.3">
      <c r="A445" s="6" t="s">
        <v>53</v>
      </c>
      <c r="B445" s="8">
        <v>37162928</v>
      </c>
    </row>
    <row r="446" spans="1:2" x14ac:dyDescent="0.3">
      <c r="A446" s="6" t="s">
        <v>489</v>
      </c>
      <c r="B446" s="8">
        <v>36816454</v>
      </c>
    </row>
    <row r="447" spans="1:2" x14ac:dyDescent="0.3">
      <c r="A447" s="6" t="s">
        <v>433</v>
      </c>
      <c r="B447" s="8">
        <v>36328287</v>
      </c>
    </row>
    <row r="448" spans="1:2" x14ac:dyDescent="0.3">
      <c r="A448" s="6" t="s">
        <v>519</v>
      </c>
      <c r="B448" s="8">
        <v>35801118</v>
      </c>
    </row>
    <row r="449" spans="1:2" x14ac:dyDescent="0.3">
      <c r="A449" s="6" t="s">
        <v>982</v>
      </c>
      <c r="B449" s="8">
        <v>35020484</v>
      </c>
    </row>
    <row r="450" spans="1:2" x14ac:dyDescent="0.3">
      <c r="A450" s="6" t="s">
        <v>413</v>
      </c>
      <c r="B450" s="8">
        <v>34523297</v>
      </c>
    </row>
    <row r="451" spans="1:2" x14ac:dyDescent="0.3">
      <c r="A451" s="6" t="s">
        <v>481</v>
      </c>
      <c r="B451" s="8">
        <v>33872154</v>
      </c>
    </row>
    <row r="452" spans="1:2" x14ac:dyDescent="0.3">
      <c r="A452" s="6" t="s">
        <v>531</v>
      </c>
      <c r="B452" s="8">
        <v>33806875</v>
      </c>
    </row>
    <row r="453" spans="1:2" x14ac:dyDescent="0.3">
      <c r="A453" s="6" t="s">
        <v>494</v>
      </c>
      <c r="B453" s="8">
        <v>32937569</v>
      </c>
    </row>
    <row r="454" spans="1:2" x14ac:dyDescent="0.3">
      <c r="A454" s="6" t="s">
        <v>475</v>
      </c>
      <c r="B454" s="8">
        <v>32857901</v>
      </c>
    </row>
    <row r="455" spans="1:2" x14ac:dyDescent="0.3">
      <c r="A455" s="6" t="s">
        <v>502</v>
      </c>
      <c r="B455" s="8">
        <v>32635944</v>
      </c>
    </row>
    <row r="456" spans="1:2" x14ac:dyDescent="0.3">
      <c r="A456" s="6" t="s">
        <v>398</v>
      </c>
      <c r="B456" s="8">
        <v>32399160</v>
      </c>
    </row>
    <row r="457" spans="1:2" x14ac:dyDescent="0.3">
      <c r="A457" s="6" t="s">
        <v>512</v>
      </c>
      <c r="B457" s="8">
        <v>32250338</v>
      </c>
    </row>
    <row r="458" spans="1:2" x14ac:dyDescent="0.3">
      <c r="A458" s="6" t="s">
        <v>418</v>
      </c>
      <c r="B458" s="8">
        <v>31598205</v>
      </c>
    </row>
    <row r="459" spans="1:2" x14ac:dyDescent="0.3">
      <c r="A459" s="6" t="s">
        <v>474</v>
      </c>
      <c r="B459" s="8">
        <v>31561635</v>
      </c>
    </row>
    <row r="460" spans="1:2" x14ac:dyDescent="0.3">
      <c r="A460" s="6" t="s">
        <v>436</v>
      </c>
      <c r="B460" s="8">
        <v>31443723</v>
      </c>
    </row>
    <row r="461" spans="1:2" x14ac:dyDescent="0.3">
      <c r="A461" s="6" t="s">
        <v>498</v>
      </c>
      <c r="B461" s="8">
        <v>31399159</v>
      </c>
    </row>
    <row r="462" spans="1:2" x14ac:dyDescent="0.3">
      <c r="A462" s="6" t="s">
        <v>457</v>
      </c>
      <c r="B462" s="8">
        <v>30273965</v>
      </c>
    </row>
    <row r="463" spans="1:2" x14ac:dyDescent="0.3">
      <c r="A463" s="6" t="s">
        <v>430</v>
      </c>
      <c r="B463" s="8">
        <v>29922701</v>
      </c>
    </row>
    <row r="464" spans="1:2" x14ac:dyDescent="0.3">
      <c r="A464" s="6" t="s">
        <v>459</v>
      </c>
      <c r="B464" s="8">
        <v>29733665</v>
      </c>
    </row>
    <row r="465" spans="1:2" x14ac:dyDescent="0.3">
      <c r="A465" s="6" t="s">
        <v>441</v>
      </c>
      <c r="B465" s="8">
        <v>29049488</v>
      </c>
    </row>
    <row r="466" spans="1:2" x14ac:dyDescent="0.3">
      <c r="A466" s="6" t="s">
        <v>447</v>
      </c>
      <c r="B466" s="8">
        <v>28843541</v>
      </c>
    </row>
    <row r="467" spans="1:2" x14ac:dyDescent="0.3">
      <c r="A467" s="6" t="s">
        <v>455</v>
      </c>
      <c r="B467" s="8">
        <v>28836019</v>
      </c>
    </row>
    <row r="468" spans="1:2" x14ac:dyDescent="0.3">
      <c r="A468" s="6" t="s">
        <v>572</v>
      </c>
      <c r="B468" s="8">
        <v>28588613</v>
      </c>
    </row>
    <row r="469" spans="1:2" x14ac:dyDescent="0.3">
      <c r="A469" s="6" t="s">
        <v>516</v>
      </c>
      <c r="B469" s="8">
        <v>28493911</v>
      </c>
    </row>
    <row r="470" spans="1:2" x14ac:dyDescent="0.3">
      <c r="A470" s="6" t="s">
        <v>514</v>
      </c>
      <c r="B470" s="8">
        <v>28333362</v>
      </c>
    </row>
    <row r="471" spans="1:2" x14ac:dyDescent="0.3">
      <c r="A471" s="6" t="s">
        <v>497</v>
      </c>
      <c r="B471" s="8">
        <v>27807233</v>
      </c>
    </row>
    <row r="472" spans="1:2" x14ac:dyDescent="0.3">
      <c r="A472" s="6" t="s">
        <v>492</v>
      </c>
      <c r="B472" s="8">
        <v>27124390</v>
      </c>
    </row>
    <row r="473" spans="1:2" x14ac:dyDescent="0.3">
      <c r="A473" s="6" t="s">
        <v>473</v>
      </c>
      <c r="B473" s="8">
        <v>27017959</v>
      </c>
    </row>
    <row r="474" spans="1:2" x14ac:dyDescent="0.3">
      <c r="A474" s="6" t="s">
        <v>426</v>
      </c>
      <c r="B474" s="8">
        <v>26773246</v>
      </c>
    </row>
    <row r="475" spans="1:2" x14ac:dyDescent="0.3">
      <c r="A475" s="6" t="s">
        <v>43</v>
      </c>
      <c r="B475" s="8">
        <v>26738846</v>
      </c>
    </row>
    <row r="476" spans="1:2" x14ac:dyDescent="0.3">
      <c r="A476" s="6" t="s">
        <v>495</v>
      </c>
      <c r="B476" s="8">
        <v>26667437</v>
      </c>
    </row>
    <row r="477" spans="1:2" x14ac:dyDescent="0.3">
      <c r="A477" s="6" t="s">
        <v>522</v>
      </c>
      <c r="B477" s="8">
        <v>26316374</v>
      </c>
    </row>
    <row r="478" spans="1:2" x14ac:dyDescent="0.3">
      <c r="A478" s="6" t="s">
        <v>501</v>
      </c>
      <c r="B478" s="8">
        <v>26037772</v>
      </c>
    </row>
    <row r="479" spans="1:2" x14ac:dyDescent="0.3">
      <c r="A479" s="6" t="s">
        <v>482</v>
      </c>
      <c r="B479" s="8">
        <v>25946038</v>
      </c>
    </row>
    <row r="480" spans="1:2" x14ac:dyDescent="0.3">
      <c r="A480" s="6" t="s">
        <v>468</v>
      </c>
      <c r="B480" s="8">
        <v>24808605</v>
      </c>
    </row>
    <row r="481" spans="1:2" x14ac:dyDescent="0.3">
      <c r="A481" s="6" t="s">
        <v>476</v>
      </c>
      <c r="B481" s="8">
        <v>24630916</v>
      </c>
    </row>
    <row r="482" spans="1:2" x14ac:dyDescent="0.3">
      <c r="A482" s="6" t="s">
        <v>472</v>
      </c>
      <c r="B482" s="8">
        <v>23960364</v>
      </c>
    </row>
    <row r="483" spans="1:2" x14ac:dyDescent="0.3">
      <c r="A483" s="6" t="s">
        <v>510</v>
      </c>
      <c r="B483" s="8">
        <v>23744727</v>
      </c>
    </row>
    <row r="484" spans="1:2" x14ac:dyDescent="0.3">
      <c r="A484" s="6" t="s">
        <v>508</v>
      </c>
      <c r="B484" s="8">
        <v>23188093</v>
      </c>
    </row>
    <row r="485" spans="1:2" x14ac:dyDescent="0.3">
      <c r="A485" s="6" t="s">
        <v>534</v>
      </c>
      <c r="B485" s="8">
        <v>23181784</v>
      </c>
    </row>
    <row r="486" spans="1:2" x14ac:dyDescent="0.3">
      <c r="A486" s="6" t="s">
        <v>460</v>
      </c>
      <c r="B486" s="8">
        <v>21895445</v>
      </c>
    </row>
    <row r="487" spans="1:2" x14ac:dyDescent="0.3">
      <c r="A487" s="6" t="s">
        <v>477</v>
      </c>
      <c r="B487" s="8">
        <v>20289603</v>
      </c>
    </row>
    <row r="488" spans="1:2" x14ac:dyDescent="0.3">
      <c r="A488" s="6" t="s">
        <v>478</v>
      </c>
      <c r="B488" s="8">
        <v>20153489</v>
      </c>
    </row>
    <row r="489" spans="1:2" x14ac:dyDescent="0.3">
      <c r="A489" s="6" t="s">
        <v>349</v>
      </c>
      <c r="B489" s="8">
        <v>19798084</v>
      </c>
    </row>
    <row r="490" spans="1:2" x14ac:dyDescent="0.3">
      <c r="A490" s="6" t="s">
        <v>518</v>
      </c>
      <c r="B490" s="8">
        <v>19795208</v>
      </c>
    </row>
    <row r="491" spans="1:2" x14ac:dyDescent="0.3">
      <c r="A491" s="6" t="s">
        <v>39</v>
      </c>
      <c r="B491" s="8">
        <v>19230719</v>
      </c>
    </row>
    <row r="492" spans="1:2" x14ac:dyDescent="0.3">
      <c r="A492" s="6" t="s">
        <v>431</v>
      </c>
      <c r="B492" s="8">
        <v>18672838</v>
      </c>
    </row>
    <row r="493" spans="1:2" x14ac:dyDescent="0.3">
      <c r="A493" s="6" t="s">
        <v>487</v>
      </c>
      <c r="B493" s="8">
        <v>18466743</v>
      </c>
    </row>
    <row r="494" spans="1:2" x14ac:dyDescent="0.3">
      <c r="A494" s="6" t="s">
        <v>23</v>
      </c>
      <c r="B494" s="8">
        <v>18460027</v>
      </c>
    </row>
    <row r="495" spans="1:2" x14ac:dyDescent="0.3">
      <c r="A495" s="6" t="s">
        <v>22</v>
      </c>
      <c r="B495" s="8">
        <v>18371605</v>
      </c>
    </row>
    <row r="496" spans="1:2" x14ac:dyDescent="0.3">
      <c r="A496" s="6" t="s">
        <v>484</v>
      </c>
      <c r="B496" s="8">
        <v>18186789</v>
      </c>
    </row>
    <row r="497" spans="1:2" x14ac:dyDescent="0.3">
      <c r="A497" s="6" t="s">
        <v>454</v>
      </c>
      <c r="B497" s="8">
        <v>17756305</v>
      </c>
    </row>
    <row r="498" spans="1:2" x14ac:dyDescent="0.3">
      <c r="A498" s="6" t="s">
        <v>870</v>
      </c>
      <c r="B498" s="8">
        <v>17653957</v>
      </c>
    </row>
    <row r="499" spans="1:2" x14ac:dyDescent="0.3">
      <c r="A499" s="6" t="s">
        <v>465</v>
      </c>
      <c r="B499" s="8">
        <v>17395085</v>
      </c>
    </row>
    <row r="500" spans="1:2" x14ac:dyDescent="0.3">
      <c r="A500" s="6" t="s">
        <v>440</v>
      </c>
      <c r="B500" s="8">
        <v>17391390</v>
      </c>
    </row>
    <row r="501" spans="1:2" x14ac:dyDescent="0.3">
      <c r="A501" s="6" t="s">
        <v>32</v>
      </c>
      <c r="B501" s="8">
        <v>16947694</v>
      </c>
    </row>
    <row r="502" spans="1:2" x14ac:dyDescent="0.3">
      <c r="A502" s="6" t="s">
        <v>538</v>
      </c>
      <c r="B502" s="8">
        <v>16562150</v>
      </c>
    </row>
    <row r="503" spans="1:2" x14ac:dyDescent="0.3">
      <c r="A503" s="6" t="s">
        <v>466</v>
      </c>
      <c r="B503" s="8">
        <v>15965506</v>
      </c>
    </row>
    <row r="504" spans="1:2" x14ac:dyDescent="0.3">
      <c r="A504" s="6" t="s">
        <v>19</v>
      </c>
      <c r="B504" s="8">
        <v>15670322</v>
      </c>
    </row>
    <row r="505" spans="1:2" x14ac:dyDescent="0.3">
      <c r="A505" s="6" t="s">
        <v>469</v>
      </c>
      <c r="B505" s="8">
        <v>15258283</v>
      </c>
    </row>
    <row r="506" spans="1:2" x14ac:dyDescent="0.3">
      <c r="A506" s="6" t="s">
        <v>480</v>
      </c>
      <c r="B506" s="8">
        <v>15030213</v>
      </c>
    </row>
    <row r="507" spans="1:2" x14ac:dyDescent="0.3">
      <c r="A507" s="6" t="s">
        <v>471</v>
      </c>
      <c r="B507" s="8">
        <v>14821877</v>
      </c>
    </row>
    <row r="508" spans="1:2" x14ac:dyDescent="0.3">
      <c r="A508" s="6" t="s">
        <v>417</v>
      </c>
      <c r="B508" s="8">
        <v>14578889</v>
      </c>
    </row>
    <row r="509" spans="1:2" x14ac:dyDescent="0.3">
      <c r="A509" s="6" t="s">
        <v>638</v>
      </c>
      <c r="B509" s="8">
        <v>14247886</v>
      </c>
    </row>
    <row r="510" spans="1:2" x14ac:dyDescent="0.3">
      <c r="A510" s="6" t="s">
        <v>505</v>
      </c>
      <c r="B510" s="8">
        <v>13823911</v>
      </c>
    </row>
    <row r="511" spans="1:2" x14ac:dyDescent="0.3">
      <c r="A511" s="6" t="s">
        <v>543</v>
      </c>
      <c r="B511" s="8">
        <v>13459378</v>
      </c>
    </row>
    <row r="512" spans="1:2" x14ac:dyDescent="0.3">
      <c r="A512" s="6" t="s">
        <v>479</v>
      </c>
      <c r="B512" s="8">
        <v>13424822</v>
      </c>
    </row>
    <row r="513" spans="1:2" x14ac:dyDescent="0.3">
      <c r="A513" s="6" t="s">
        <v>923</v>
      </c>
      <c r="B513" s="8">
        <v>13394140</v>
      </c>
    </row>
    <row r="514" spans="1:2" x14ac:dyDescent="0.3">
      <c r="A514" s="6" t="s">
        <v>536</v>
      </c>
      <c r="B514" s="8">
        <v>11907923</v>
      </c>
    </row>
    <row r="515" spans="1:2" x14ac:dyDescent="0.3">
      <c r="A515" s="6" t="s">
        <v>517</v>
      </c>
      <c r="B515" s="8">
        <v>11419949</v>
      </c>
    </row>
    <row r="516" spans="1:2" x14ac:dyDescent="0.3">
      <c r="A516" s="6" t="s">
        <v>486</v>
      </c>
      <c r="B516" s="8">
        <v>11395057</v>
      </c>
    </row>
    <row r="517" spans="1:2" x14ac:dyDescent="0.3">
      <c r="A517" s="6" t="s">
        <v>464</v>
      </c>
      <c r="B517" s="8">
        <v>11375154</v>
      </c>
    </row>
    <row r="518" spans="1:2" x14ac:dyDescent="0.3">
      <c r="A518" s="6" t="s">
        <v>540</v>
      </c>
      <c r="B518" s="8">
        <v>11028616</v>
      </c>
    </row>
    <row r="519" spans="1:2" x14ac:dyDescent="0.3">
      <c r="A519" s="6" t="s">
        <v>5</v>
      </c>
      <c r="B519" s="8">
        <v>11011863</v>
      </c>
    </row>
    <row r="520" spans="1:2" x14ac:dyDescent="0.3">
      <c r="A520" s="6" t="s">
        <v>511</v>
      </c>
      <c r="B520" s="8">
        <v>10887002</v>
      </c>
    </row>
    <row r="521" spans="1:2" x14ac:dyDescent="0.3">
      <c r="A521" s="6" t="s">
        <v>545</v>
      </c>
      <c r="B521" s="8">
        <v>9907166</v>
      </c>
    </row>
    <row r="522" spans="1:2" x14ac:dyDescent="0.3">
      <c r="A522" s="6" t="s">
        <v>493</v>
      </c>
      <c r="B522" s="8">
        <v>9228477</v>
      </c>
    </row>
    <row r="523" spans="1:2" x14ac:dyDescent="0.3">
      <c r="A523" s="6" t="s">
        <v>488</v>
      </c>
      <c r="B523" s="8">
        <v>8882440</v>
      </c>
    </row>
    <row r="524" spans="1:2" x14ac:dyDescent="0.3">
      <c r="A524" s="6" t="s">
        <v>8</v>
      </c>
      <c r="B524" s="8">
        <v>8880900</v>
      </c>
    </row>
    <row r="525" spans="1:2" x14ac:dyDescent="0.3">
      <c r="A525" s="6" t="s">
        <v>535</v>
      </c>
      <c r="B525" s="8">
        <v>8869396</v>
      </c>
    </row>
    <row r="526" spans="1:2" x14ac:dyDescent="0.3">
      <c r="A526" s="6" t="s">
        <v>674</v>
      </c>
      <c r="B526" s="8">
        <v>8838373</v>
      </c>
    </row>
    <row r="527" spans="1:2" x14ac:dyDescent="0.3">
      <c r="A527" s="6" t="s">
        <v>485</v>
      </c>
      <c r="B527" s="8">
        <v>7842577</v>
      </c>
    </row>
    <row r="528" spans="1:2" x14ac:dyDescent="0.3">
      <c r="A528" s="6" t="s">
        <v>528</v>
      </c>
      <c r="B528" s="8">
        <v>7742146</v>
      </c>
    </row>
    <row r="529" spans="1:2" x14ac:dyDescent="0.3">
      <c r="A529" s="6" t="s">
        <v>635</v>
      </c>
      <c r="B529" s="8">
        <v>7620693</v>
      </c>
    </row>
    <row r="530" spans="1:2" x14ac:dyDescent="0.3">
      <c r="A530" s="6" t="s">
        <v>526</v>
      </c>
      <c r="B530" s="8">
        <v>7424033</v>
      </c>
    </row>
    <row r="531" spans="1:2" x14ac:dyDescent="0.3">
      <c r="A531" s="6" t="s">
        <v>500</v>
      </c>
      <c r="B531" s="8">
        <v>7411463</v>
      </c>
    </row>
    <row r="532" spans="1:2" x14ac:dyDescent="0.3">
      <c r="A532" s="6" t="s">
        <v>981</v>
      </c>
      <c r="B532" s="8">
        <v>6752770</v>
      </c>
    </row>
    <row r="533" spans="1:2" x14ac:dyDescent="0.3">
      <c r="A533" s="6" t="s">
        <v>513</v>
      </c>
      <c r="B533" s="8">
        <v>6684514</v>
      </c>
    </row>
    <row r="534" spans="1:2" x14ac:dyDescent="0.3">
      <c r="A534" s="6" t="s">
        <v>507</v>
      </c>
      <c r="B534" s="8">
        <v>6141828</v>
      </c>
    </row>
    <row r="535" spans="1:2" x14ac:dyDescent="0.3">
      <c r="A535" s="6" t="s">
        <v>504</v>
      </c>
      <c r="B535" s="8">
        <v>5975669</v>
      </c>
    </row>
    <row r="536" spans="1:2" x14ac:dyDescent="0.3">
      <c r="A536" s="6" t="s">
        <v>533</v>
      </c>
      <c r="B536" s="8">
        <v>4989659</v>
      </c>
    </row>
    <row r="537" spans="1:2" x14ac:dyDescent="0.3">
      <c r="A537" s="6" t="s">
        <v>506</v>
      </c>
      <c r="B537" s="8">
        <v>4675968</v>
      </c>
    </row>
    <row r="538" spans="1:2" x14ac:dyDescent="0.3">
      <c r="A538" s="6" t="s">
        <v>525</v>
      </c>
      <c r="B538" s="8">
        <v>4169209</v>
      </c>
    </row>
    <row r="539" spans="1:2" x14ac:dyDescent="0.3">
      <c r="A539" s="6" t="s">
        <v>529</v>
      </c>
      <c r="B539" s="8">
        <v>4145145</v>
      </c>
    </row>
    <row r="540" spans="1:2" x14ac:dyDescent="0.3">
      <c r="A540" s="6" t="s">
        <v>542</v>
      </c>
      <c r="B540" s="8">
        <v>3891564</v>
      </c>
    </row>
    <row r="541" spans="1:2" x14ac:dyDescent="0.3">
      <c r="A541" s="6" t="s">
        <v>541</v>
      </c>
      <c r="B541" s="8">
        <v>3820036</v>
      </c>
    </row>
    <row r="542" spans="1:2" x14ac:dyDescent="0.3">
      <c r="A542" s="6" t="s">
        <v>571</v>
      </c>
      <c r="B542" s="8">
        <v>3790080</v>
      </c>
    </row>
    <row r="543" spans="1:2" x14ac:dyDescent="0.3">
      <c r="A543" s="6" t="s">
        <v>559</v>
      </c>
      <c r="B543" s="8">
        <v>3631816</v>
      </c>
    </row>
    <row r="544" spans="1:2" x14ac:dyDescent="0.3">
      <c r="A544" s="6" t="s">
        <v>554</v>
      </c>
      <c r="B544" s="8">
        <v>3378245</v>
      </c>
    </row>
    <row r="545" spans="1:2" x14ac:dyDescent="0.3">
      <c r="A545" s="6" t="s">
        <v>530</v>
      </c>
      <c r="B545" s="8">
        <v>3362826</v>
      </c>
    </row>
    <row r="546" spans="1:2" x14ac:dyDescent="0.3">
      <c r="A546" s="6" t="s">
        <v>556</v>
      </c>
      <c r="B546" s="8">
        <v>3157501</v>
      </c>
    </row>
    <row r="547" spans="1:2" x14ac:dyDescent="0.3">
      <c r="A547" s="6" t="s">
        <v>552</v>
      </c>
      <c r="B547" s="8">
        <v>3107818</v>
      </c>
    </row>
    <row r="548" spans="1:2" x14ac:dyDescent="0.3">
      <c r="A548" s="6" t="s">
        <v>891</v>
      </c>
      <c r="B548" s="8">
        <v>3073055</v>
      </c>
    </row>
    <row r="549" spans="1:2" x14ac:dyDescent="0.3">
      <c r="A549" s="6" t="s">
        <v>509</v>
      </c>
      <c r="B549" s="8">
        <v>2803587</v>
      </c>
    </row>
    <row r="550" spans="1:2" x14ac:dyDescent="0.3">
      <c r="A550" s="6" t="s">
        <v>588</v>
      </c>
      <c r="B550" s="8">
        <v>2567477</v>
      </c>
    </row>
    <row r="551" spans="1:2" x14ac:dyDescent="0.3">
      <c r="A551" s="6" t="s">
        <v>539</v>
      </c>
      <c r="B551" s="8">
        <v>2538665</v>
      </c>
    </row>
    <row r="552" spans="1:2" x14ac:dyDescent="0.3">
      <c r="A552" s="6" t="s">
        <v>499</v>
      </c>
      <c r="B552" s="8">
        <v>2457405</v>
      </c>
    </row>
    <row r="553" spans="1:2" x14ac:dyDescent="0.3">
      <c r="A553" s="6" t="s">
        <v>560</v>
      </c>
      <c r="B553" s="8">
        <v>2332777</v>
      </c>
    </row>
    <row r="554" spans="1:2" x14ac:dyDescent="0.3">
      <c r="A554" s="6" t="s">
        <v>595</v>
      </c>
      <c r="B554" s="8">
        <v>2190055</v>
      </c>
    </row>
    <row r="555" spans="1:2" x14ac:dyDescent="0.3">
      <c r="A555" s="6" t="s">
        <v>521</v>
      </c>
      <c r="B555" s="8">
        <v>2170322</v>
      </c>
    </row>
    <row r="556" spans="1:2" x14ac:dyDescent="0.3">
      <c r="A556" s="6" t="s">
        <v>896</v>
      </c>
      <c r="B556" s="8">
        <v>2162473</v>
      </c>
    </row>
    <row r="557" spans="1:2" x14ac:dyDescent="0.3">
      <c r="A557" s="6" t="s">
        <v>596</v>
      </c>
      <c r="B557" s="8">
        <v>2067973</v>
      </c>
    </row>
    <row r="558" spans="1:2" x14ac:dyDescent="0.3">
      <c r="A558" s="6" t="s">
        <v>532</v>
      </c>
      <c r="B558" s="8">
        <v>1995502</v>
      </c>
    </row>
    <row r="559" spans="1:2" x14ac:dyDescent="0.3">
      <c r="A559" s="6" t="s">
        <v>524</v>
      </c>
      <c r="B559" s="8">
        <v>1975121</v>
      </c>
    </row>
    <row r="560" spans="1:2" x14ac:dyDescent="0.3">
      <c r="A560" s="6" t="s">
        <v>558</v>
      </c>
      <c r="B560" s="8">
        <v>1942610</v>
      </c>
    </row>
    <row r="561" spans="1:2" x14ac:dyDescent="0.3">
      <c r="A561" s="6" t="s">
        <v>537</v>
      </c>
      <c r="B561" s="8">
        <v>1849382</v>
      </c>
    </row>
    <row r="562" spans="1:2" x14ac:dyDescent="0.3">
      <c r="A562" s="6" t="s">
        <v>548</v>
      </c>
      <c r="B562" s="8">
        <v>1845490</v>
      </c>
    </row>
    <row r="563" spans="1:2" x14ac:dyDescent="0.3">
      <c r="A563" s="6" t="s">
        <v>725</v>
      </c>
      <c r="B563" s="8">
        <v>1830962</v>
      </c>
    </row>
    <row r="564" spans="1:2" x14ac:dyDescent="0.3">
      <c r="A564" s="6" t="s">
        <v>655</v>
      </c>
      <c r="B564" s="8">
        <v>1797257</v>
      </c>
    </row>
    <row r="565" spans="1:2" x14ac:dyDescent="0.3">
      <c r="A565" s="6" t="s">
        <v>670</v>
      </c>
      <c r="B565" s="8">
        <v>1767687</v>
      </c>
    </row>
    <row r="566" spans="1:2" x14ac:dyDescent="0.3">
      <c r="A566" s="6" t="s">
        <v>980</v>
      </c>
      <c r="B566" s="8">
        <v>1747531</v>
      </c>
    </row>
    <row r="567" spans="1:2" x14ac:dyDescent="0.3">
      <c r="A567" s="6" t="s">
        <v>753</v>
      </c>
      <c r="B567" s="8">
        <v>1697863</v>
      </c>
    </row>
    <row r="568" spans="1:2" x14ac:dyDescent="0.3">
      <c r="A568" s="6" t="s">
        <v>555</v>
      </c>
      <c r="B568" s="8">
        <v>1661452</v>
      </c>
    </row>
    <row r="569" spans="1:2" x14ac:dyDescent="0.3">
      <c r="A569" s="6" t="s">
        <v>544</v>
      </c>
      <c r="B569" s="8">
        <v>1646489</v>
      </c>
    </row>
    <row r="570" spans="1:2" x14ac:dyDescent="0.3">
      <c r="A570" s="6" t="s">
        <v>561</v>
      </c>
      <c r="B570" s="8">
        <v>1594343</v>
      </c>
    </row>
    <row r="571" spans="1:2" x14ac:dyDescent="0.3">
      <c r="A571" s="6" t="s">
        <v>692</v>
      </c>
      <c r="B571" s="8">
        <v>1591915</v>
      </c>
    </row>
    <row r="572" spans="1:2" x14ac:dyDescent="0.3">
      <c r="A572" s="6" t="s">
        <v>979</v>
      </c>
      <c r="B572" s="8">
        <v>1491514</v>
      </c>
    </row>
    <row r="573" spans="1:2" x14ac:dyDescent="0.3">
      <c r="A573" s="6" t="s">
        <v>553</v>
      </c>
      <c r="B573" s="8">
        <v>1483253</v>
      </c>
    </row>
    <row r="574" spans="1:2" x14ac:dyDescent="0.3">
      <c r="A574" s="6" t="s">
        <v>662</v>
      </c>
      <c r="B574" s="8">
        <v>1382226</v>
      </c>
    </row>
    <row r="575" spans="1:2" x14ac:dyDescent="0.3">
      <c r="A575" s="6" t="s">
        <v>978</v>
      </c>
      <c r="B575" s="8">
        <v>1377198</v>
      </c>
    </row>
    <row r="576" spans="1:2" x14ac:dyDescent="0.3">
      <c r="A576" s="6" t="s">
        <v>566</v>
      </c>
      <c r="B576" s="8">
        <v>1356860</v>
      </c>
    </row>
    <row r="577" spans="1:2" x14ac:dyDescent="0.3">
      <c r="A577" s="6" t="s">
        <v>709</v>
      </c>
      <c r="B577" s="8">
        <v>1264136</v>
      </c>
    </row>
    <row r="578" spans="1:2" x14ac:dyDescent="0.3">
      <c r="A578" s="6" t="s">
        <v>547</v>
      </c>
      <c r="B578" s="8">
        <v>1251554</v>
      </c>
    </row>
    <row r="579" spans="1:2" x14ac:dyDescent="0.3">
      <c r="A579" s="6" t="s">
        <v>648</v>
      </c>
      <c r="B579" s="8">
        <v>1219128</v>
      </c>
    </row>
    <row r="580" spans="1:2" x14ac:dyDescent="0.3">
      <c r="A580" s="6" t="s">
        <v>562</v>
      </c>
      <c r="B580" s="8">
        <v>1207797</v>
      </c>
    </row>
    <row r="581" spans="1:2" x14ac:dyDescent="0.3">
      <c r="A581" s="6" t="s">
        <v>977</v>
      </c>
      <c r="B581" s="8">
        <v>1199681</v>
      </c>
    </row>
    <row r="582" spans="1:2" x14ac:dyDescent="0.3">
      <c r="A582" s="6" t="s">
        <v>624</v>
      </c>
      <c r="B582" s="8">
        <v>1025874</v>
      </c>
    </row>
    <row r="583" spans="1:2" x14ac:dyDescent="0.3">
      <c r="A583" s="6" t="s">
        <v>872</v>
      </c>
      <c r="B583" s="8">
        <v>1000554</v>
      </c>
    </row>
    <row r="584" spans="1:2" x14ac:dyDescent="0.3">
      <c r="A584" s="6" t="s">
        <v>685</v>
      </c>
      <c r="B584" s="8">
        <v>966099</v>
      </c>
    </row>
    <row r="585" spans="1:2" x14ac:dyDescent="0.3">
      <c r="A585" s="6" t="s">
        <v>515</v>
      </c>
      <c r="B585" s="8">
        <v>964372</v>
      </c>
    </row>
    <row r="586" spans="1:2" x14ac:dyDescent="0.3">
      <c r="A586" s="6" t="s">
        <v>976</v>
      </c>
      <c r="B586" s="8">
        <v>954129</v>
      </c>
    </row>
    <row r="587" spans="1:2" x14ac:dyDescent="0.3">
      <c r="A587" s="6" t="s">
        <v>625</v>
      </c>
      <c r="B587" s="8">
        <v>953558</v>
      </c>
    </row>
    <row r="588" spans="1:2" x14ac:dyDescent="0.3">
      <c r="A588" s="6" t="s">
        <v>565</v>
      </c>
      <c r="B588" s="8">
        <v>947826</v>
      </c>
    </row>
    <row r="589" spans="1:2" x14ac:dyDescent="0.3">
      <c r="A589" s="6" t="s">
        <v>917</v>
      </c>
      <c r="B589" s="8">
        <v>938967</v>
      </c>
    </row>
    <row r="590" spans="1:2" x14ac:dyDescent="0.3">
      <c r="A590" s="6" t="s">
        <v>968</v>
      </c>
      <c r="B590" s="8">
        <v>910996</v>
      </c>
    </row>
    <row r="591" spans="1:2" x14ac:dyDescent="0.3">
      <c r="A591" s="6" t="s">
        <v>862</v>
      </c>
      <c r="B591" s="8">
        <v>893951</v>
      </c>
    </row>
    <row r="592" spans="1:2" x14ac:dyDescent="0.3">
      <c r="A592" s="6" t="s">
        <v>651</v>
      </c>
      <c r="B592" s="8">
        <v>871578</v>
      </c>
    </row>
    <row r="593" spans="1:2" x14ac:dyDescent="0.3">
      <c r="A593" s="6" t="s">
        <v>550</v>
      </c>
      <c r="B593" s="8">
        <v>859670</v>
      </c>
    </row>
    <row r="594" spans="1:2" x14ac:dyDescent="0.3">
      <c r="A594" s="6" t="s">
        <v>557</v>
      </c>
      <c r="B594" s="8">
        <v>853688</v>
      </c>
    </row>
    <row r="595" spans="1:2" x14ac:dyDescent="0.3">
      <c r="A595" s="6" t="s">
        <v>688</v>
      </c>
      <c r="B595" s="8">
        <v>816672</v>
      </c>
    </row>
    <row r="596" spans="1:2" x14ac:dyDescent="0.3">
      <c r="A596" s="6" t="s">
        <v>971</v>
      </c>
      <c r="B596" s="8">
        <v>757478</v>
      </c>
    </row>
    <row r="597" spans="1:2" x14ac:dyDescent="0.3">
      <c r="A597" s="6" t="s">
        <v>945</v>
      </c>
      <c r="B597" s="8">
        <v>747081</v>
      </c>
    </row>
    <row r="598" spans="1:2" x14ac:dyDescent="0.3">
      <c r="A598" s="6" t="s">
        <v>587</v>
      </c>
      <c r="B598" s="8">
        <v>743939</v>
      </c>
    </row>
    <row r="599" spans="1:2" x14ac:dyDescent="0.3">
      <c r="A599" s="6" t="s">
        <v>658</v>
      </c>
      <c r="B599" s="8">
        <v>731929</v>
      </c>
    </row>
    <row r="600" spans="1:2" x14ac:dyDescent="0.3">
      <c r="A600" s="6" t="s">
        <v>564</v>
      </c>
      <c r="B600" s="8">
        <v>723173</v>
      </c>
    </row>
    <row r="601" spans="1:2" x14ac:dyDescent="0.3">
      <c r="A601" s="6" t="s">
        <v>568</v>
      </c>
      <c r="B601" s="8">
        <v>688881</v>
      </c>
    </row>
    <row r="602" spans="1:2" x14ac:dyDescent="0.3">
      <c r="A602" s="6" t="s">
        <v>957</v>
      </c>
      <c r="B602" s="8">
        <v>681463</v>
      </c>
    </row>
    <row r="603" spans="1:2" x14ac:dyDescent="0.3">
      <c r="A603" s="6" t="s">
        <v>930</v>
      </c>
      <c r="B603" s="8">
        <v>677714</v>
      </c>
    </row>
    <row r="604" spans="1:2" x14ac:dyDescent="0.3">
      <c r="A604" s="6" t="s">
        <v>956</v>
      </c>
      <c r="B604" s="8">
        <v>674901</v>
      </c>
    </row>
    <row r="605" spans="1:2" x14ac:dyDescent="0.3">
      <c r="A605" s="6" t="s">
        <v>577</v>
      </c>
      <c r="B605" s="8">
        <v>652708</v>
      </c>
    </row>
    <row r="606" spans="1:2" x14ac:dyDescent="0.3">
      <c r="A606" s="6" t="s">
        <v>973</v>
      </c>
      <c r="B606" s="8">
        <v>648551</v>
      </c>
    </row>
    <row r="607" spans="1:2" x14ac:dyDescent="0.3">
      <c r="A607" s="6" t="s">
        <v>751</v>
      </c>
      <c r="B607" s="8">
        <v>644185</v>
      </c>
    </row>
    <row r="608" spans="1:2" x14ac:dyDescent="0.3">
      <c r="A608" s="6" t="s">
        <v>599</v>
      </c>
      <c r="B608" s="8">
        <v>640382</v>
      </c>
    </row>
    <row r="609" spans="1:2" x14ac:dyDescent="0.3">
      <c r="A609" s="6" t="s">
        <v>888</v>
      </c>
      <c r="B609" s="8">
        <v>638731</v>
      </c>
    </row>
    <row r="610" spans="1:2" x14ac:dyDescent="0.3">
      <c r="A610" s="6" t="s">
        <v>974</v>
      </c>
      <c r="B610" s="8">
        <v>630111</v>
      </c>
    </row>
    <row r="611" spans="1:2" x14ac:dyDescent="0.3">
      <c r="A611" s="6" t="s">
        <v>970</v>
      </c>
      <c r="B611" s="8">
        <v>623240</v>
      </c>
    </row>
    <row r="612" spans="1:2" x14ac:dyDescent="0.3">
      <c r="A612" s="6" t="s">
        <v>569</v>
      </c>
      <c r="B612" s="8">
        <v>618577</v>
      </c>
    </row>
    <row r="613" spans="1:2" x14ac:dyDescent="0.3">
      <c r="A613" s="6" t="s">
        <v>975</v>
      </c>
      <c r="B613" s="8">
        <v>612112</v>
      </c>
    </row>
    <row r="614" spans="1:2" x14ac:dyDescent="0.3">
      <c r="A614" s="6" t="s">
        <v>867</v>
      </c>
      <c r="B614" s="8">
        <v>602225</v>
      </c>
    </row>
    <row r="615" spans="1:2" x14ac:dyDescent="0.3">
      <c r="A615" s="6" t="s">
        <v>527</v>
      </c>
      <c r="B615" s="8">
        <v>580420</v>
      </c>
    </row>
    <row r="616" spans="1:2" x14ac:dyDescent="0.3">
      <c r="A616" s="6" t="s">
        <v>629</v>
      </c>
      <c r="B616" s="8">
        <v>572566</v>
      </c>
    </row>
    <row r="617" spans="1:2" x14ac:dyDescent="0.3">
      <c r="A617" s="6" t="s">
        <v>807</v>
      </c>
      <c r="B617" s="8">
        <v>564572</v>
      </c>
    </row>
    <row r="618" spans="1:2" x14ac:dyDescent="0.3">
      <c r="A618" s="6" t="s">
        <v>885</v>
      </c>
      <c r="B618" s="8">
        <v>557797</v>
      </c>
    </row>
    <row r="619" spans="1:2" x14ac:dyDescent="0.3">
      <c r="A619" s="6" t="s">
        <v>630</v>
      </c>
      <c r="B619" s="8">
        <v>536207</v>
      </c>
    </row>
    <row r="620" spans="1:2" x14ac:dyDescent="0.3">
      <c r="A620" s="6" t="s">
        <v>874</v>
      </c>
      <c r="B620" s="8">
        <v>528482</v>
      </c>
    </row>
    <row r="621" spans="1:2" x14ac:dyDescent="0.3">
      <c r="A621" s="6" t="s">
        <v>892</v>
      </c>
      <c r="B621" s="8">
        <v>524301</v>
      </c>
    </row>
    <row r="622" spans="1:2" x14ac:dyDescent="0.3">
      <c r="A622" s="6" t="s">
        <v>633</v>
      </c>
      <c r="B622" s="8">
        <v>520671</v>
      </c>
    </row>
    <row r="623" spans="1:2" x14ac:dyDescent="0.3">
      <c r="A623" s="6" t="s">
        <v>914</v>
      </c>
      <c r="B623" s="8">
        <v>509101</v>
      </c>
    </row>
    <row r="624" spans="1:2" x14ac:dyDescent="0.3">
      <c r="A624" s="6" t="s">
        <v>893</v>
      </c>
      <c r="B624" s="8">
        <v>504047</v>
      </c>
    </row>
    <row r="625" spans="1:2" x14ac:dyDescent="0.3">
      <c r="A625" s="6" t="s">
        <v>803</v>
      </c>
      <c r="B625" s="8">
        <v>503411</v>
      </c>
    </row>
    <row r="626" spans="1:2" x14ac:dyDescent="0.3">
      <c r="A626" s="6" t="s">
        <v>634</v>
      </c>
      <c r="B626" s="8">
        <v>502624</v>
      </c>
    </row>
    <row r="627" spans="1:2" x14ac:dyDescent="0.3">
      <c r="A627" s="6" t="s">
        <v>969</v>
      </c>
      <c r="B627" s="8">
        <v>488623</v>
      </c>
    </row>
    <row r="628" spans="1:2" x14ac:dyDescent="0.3">
      <c r="A628" s="6" t="s">
        <v>955</v>
      </c>
      <c r="B628" s="8">
        <v>478832</v>
      </c>
    </row>
    <row r="629" spans="1:2" x14ac:dyDescent="0.3">
      <c r="A629" s="6" t="s">
        <v>678</v>
      </c>
      <c r="B629" s="8">
        <v>471908</v>
      </c>
    </row>
    <row r="630" spans="1:2" x14ac:dyDescent="0.3">
      <c r="A630" s="6" t="s">
        <v>859</v>
      </c>
      <c r="B630" s="8">
        <v>470661</v>
      </c>
    </row>
    <row r="631" spans="1:2" x14ac:dyDescent="0.3">
      <c r="A631" s="6" t="s">
        <v>665</v>
      </c>
      <c r="B631" s="8">
        <v>466867</v>
      </c>
    </row>
    <row r="632" spans="1:2" x14ac:dyDescent="0.3">
      <c r="A632" s="6" t="s">
        <v>708</v>
      </c>
      <c r="B632" s="8">
        <v>464815</v>
      </c>
    </row>
    <row r="633" spans="1:2" x14ac:dyDescent="0.3">
      <c r="A633" s="6" t="s">
        <v>972</v>
      </c>
      <c r="B633" s="8">
        <v>450212</v>
      </c>
    </row>
    <row r="634" spans="1:2" x14ac:dyDescent="0.3">
      <c r="A634" s="6" t="s">
        <v>800</v>
      </c>
      <c r="B634" s="8">
        <v>445966</v>
      </c>
    </row>
    <row r="635" spans="1:2" x14ac:dyDescent="0.3">
      <c r="A635" s="6" t="s">
        <v>570</v>
      </c>
      <c r="B635" s="8">
        <v>441891</v>
      </c>
    </row>
    <row r="636" spans="1:2" x14ac:dyDescent="0.3">
      <c r="A636" s="6" t="s">
        <v>549</v>
      </c>
      <c r="B636" s="8">
        <v>429658</v>
      </c>
    </row>
    <row r="637" spans="1:2" x14ac:dyDescent="0.3">
      <c r="A637" s="6" t="s">
        <v>958</v>
      </c>
      <c r="B637" s="8">
        <v>419980</v>
      </c>
    </row>
    <row r="638" spans="1:2" x14ac:dyDescent="0.3">
      <c r="A638" s="6" t="s">
        <v>576</v>
      </c>
      <c r="B638" s="8">
        <v>414189</v>
      </c>
    </row>
    <row r="639" spans="1:2" x14ac:dyDescent="0.3">
      <c r="A639" s="6" t="s">
        <v>551</v>
      </c>
      <c r="B639" s="8">
        <v>405685</v>
      </c>
    </row>
    <row r="640" spans="1:2" x14ac:dyDescent="0.3">
      <c r="A640" s="6" t="s">
        <v>574</v>
      </c>
      <c r="B640" s="8">
        <v>399418</v>
      </c>
    </row>
    <row r="641" spans="1:2" x14ac:dyDescent="0.3">
      <c r="A641" s="6" t="s">
        <v>948</v>
      </c>
      <c r="B641" s="8">
        <v>393545</v>
      </c>
    </row>
    <row r="642" spans="1:2" x14ac:dyDescent="0.3">
      <c r="A642" s="6" t="s">
        <v>616</v>
      </c>
      <c r="B642" s="8">
        <v>389442</v>
      </c>
    </row>
    <row r="643" spans="1:2" x14ac:dyDescent="0.3">
      <c r="A643" s="6" t="s">
        <v>834</v>
      </c>
      <c r="B643" s="8">
        <v>386888</v>
      </c>
    </row>
    <row r="644" spans="1:2" x14ac:dyDescent="0.3">
      <c r="A644" s="6" t="s">
        <v>927</v>
      </c>
      <c r="B644" s="8">
        <v>374868</v>
      </c>
    </row>
    <row r="645" spans="1:2" x14ac:dyDescent="0.3">
      <c r="A645" s="6" t="s">
        <v>546</v>
      </c>
      <c r="B645" s="8">
        <v>370402</v>
      </c>
    </row>
    <row r="646" spans="1:2" x14ac:dyDescent="0.3">
      <c r="A646" s="6" t="s">
        <v>842</v>
      </c>
      <c r="B646" s="8">
        <v>363851</v>
      </c>
    </row>
    <row r="647" spans="1:2" x14ac:dyDescent="0.3">
      <c r="A647" s="6" t="s">
        <v>645</v>
      </c>
      <c r="B647" s="8">
        <v>362959</v>
      </c>
    </row>
    <row r="648" spans="1:2" x14ac:dyDescent="0.3">
      <c r="A648" s="6">
        <v>1500</v>
      </c>
      <c r="B648" s="8">
        <v>351079</v>
      </c>
    </row>
    <row r="649" spans="1:2" x14ac:dyDescent="0.3">
      <c r="A649" s="6" t="s">
        <v>641</v>
      </c>
      <c r="B649" s="8">
        <v>340875</v>
      </c>
    </row>
    <row r="650" spans="1:2" x14ac:dyDescent="0.3">
      <c r="A650" s="6" t="s">
        <v>967</v>
      </c>
      <c r="B650" s="8">
        <v>339940</v>
      </c>
    </row>
    <row r="651" spans="1:2" x14ac:dyDescent="0.3">
      <c r="A651" s="6" t="s">
        <v>832</v>
      </c>
      <c r="B651" s="8">
        <v>333226</v>
      </c>
    </row>
    <row r="652" spans="1:2" x14ac:dyDescent="0.3">
      <c r="A652" s="6" t="s">
        <v>754</v>
      </c>
      <c r="B652" s="8">
        <v>332155</v>
      </c>
    </row>
    <row r="653" spans="1:2" x14ac:dyDescent="0.3">
      <c r="A653" s="6" t="s">
        <v>838</v>
      </c>
      <c r="B653" s="8">
        <v>330443</v>
      </c>
    </row>
    <row r="654" spans="1:2" x14ac:dyDescent="0.3">
      <c r="A654" s="6" t="s">
        <v>823</v>
      </c>
      <c r="B654" s="8">
        <v>328773</v>
      </c>
    </row>
    <row r="655" spans="1:2" x14ac:dyDescent="0.3">
      <c r="A655" s="6" t="s">
        <v>699</v>
      </c>
      <c r="B655" s="8">
        <v>325798</v>
      </c>
    </row>
    <row r="656" spans="1:2" x14ac:dyDescent="0.3">
      <c r="A656" s="6" t="s">
        <v>871</v>
      </c>
      <c r="B656" s="8">
        <v>314832</v>
      </c>
    </row>
    <row r="657" spans="1:2" x14ac:dyDescent="0.3">
      <c r="A657" s="6" t="s">
        <v>816</v>
      </c>
      <c r="B657" s="8">
        <v>303846</v>
      </c>
    </row>
    <row r="658" spans="1:2" x14ac:dyDescent="0.3">
      <c r="A658" s="6" t="s">
        <v>946</v>
      </c>
      <c r="B658" s="8">
        <v>302945</v>
      </c>
    </row>
    <row r="659" spans="1:2" x14ac:dyDescent="0.3">
      <c r="A659" s="6" t="s">
        <v>922</v>
      </c>
      <c r="B659" s="8">
        <v>298889</v>
      </c>
    </row>
    <row r="660" spans="1:2" x14ac:dyDescent="0.3">
      <c r="A660" s="6" t="s">
        <v>768</v>
      </c>
      <c r="B660" s="8">
        <v>298238</v>
      </c>
    </row>
    <row r="661" spans="1:2" x14ac:dyDescent="0.3">
      <c r="A661" s="6" t="s">
        <v>865</v>
      </c>
      <c r="B661" s="8">
        <v>297908</v>
      </c>
    </row>
    <row r="662" spans="1:2" x14ac:dyDescent="0.3">
      <c r="A662" s="6" t="s">
        <v>584</v>
      </c>
      <c r="B662" s="8">
        <v>297167</v>
      </c>
    </row>
    <row r="663" spans="1:2" x14ac:dyDescent="0.3">
      <c r="A663" s="6" t="s">
        <v>755</v>
      </c>
      <c r="B663" s="8">
        <v>289482</v>
      </c>
    </row>
    <row r="664" spans="1:2" x14ac:dyDescent="0.3">
      <c r="A664" s="6" t="s">
        <v>965</v>
      </c>
      <c r="B664" s="8">
        <v>280160</v>
      </c>
    </row>
    <row r="665" spans="1:2" x14ac:dyDescent="0.3">
      <c r="A665" s="6" t="s">
        <v>947</v>
      </c>
      <c r="B665" s="8">
        <v>279823</v>
      </c>
    </row>
    <row r="666" spans="1:2" x14ac:dyDescent="0.3">
      <c r="A666" s="6" t="s">
        <v>952</v>
      </c>
      <c r="B666" s="8">
        <v>279413</v>
      </c>
    </row>
    <row r="667" spans="1:2" x14ac:dyDescent="0.3">
      <c r="A667" s="6" t="s">
        <v>736</v>
      </c>
      <c r="B667" s="8">
        <v>278006</v>
      </c>
    </row>
    <row r="668" spans="1:2" x14ac:dyDescent="0.3">
      <c r="A668" s="6" t="s">
        <v>937</v>
      </c>
      <c r="B668" s="8">
        <v>271369</v>
      </c>
    </row>
    <row r="669" spans="1:2" x14ac:dyDescent="0.3">
      <c r="A669" s="6" t="s">
        <v>721</v>
      </c>
      <c r="B669" s="8">
        <v>271141</v>
      </c>
    </row>
    <row r="670" spans="1:2" x14ac:dyDescent="0.3">
      <c r="A670" s="6" t="s">
        <v>961</v>
      </c>
      <c r="B670" s="8">
        <v>268919</v>
      </c>
    </row>
    <row r="671" spans="1:2" x14ac:dyDescent="0.3">
      <c r="A671" s="6" t="s">
        <v>858</v>
      </c>
      <c r="B671" s="8">
        <v>257602</v>
      </c>
    </row>
    <row r="672" spans="1:2" x14ac:dyDescent="0.3">
      <c r="A672" s="6" t="s">
        <v>804</v>
      </c>
      <c r="B672" s="8">
        <v>252448</v>
      </c>
    </row>
    <row r="673" spans="1:2" x14ac:dyDescent="0.3">
      <c r="A673" s="6" t="s">
        <v>677</v>
      </c>
      <c r="B673" s="8">
        <v>245946</v>
      </c>
    </row>
    <row r="674" spans="1:2" x14ac:dyDescent="0.3">
      <c r="A674" s="6" t="s">
        <v>769</v>
      </c>
      <c r="B674" s="8">
        <v>245853</v>
      </c>
    </row>
    <row r="675" spans="1:2" x14ac:dyDescent="0.3">
      <c r="A675" s="6" t="s">
        <v>954</v>
      </c>
      <c r="B675" s="8">
        <v>245371</v>
      </c>
    </row>
    <row r="676" spans="1:2" x14ac:dyDescent="0.3">
      <c r="A676" s="6" t="s">
        <v>953</v>
      </c>
      <c r="B676" s="8">
        <v>245180</v>
      </c>
    </row>
    <row r="677" spans="1:2" x14ac:dyDescent="0.3">
      <c r="A677" s="6" t="s">
        <v>687</v>
      </c>
      <c r="B677" s="8">
        <v>237147</v>
      </c>
    </row>
    <row r="678" spans="1:2" x14ac:dyDescent="0.3">
      <c r="A678" s="6" t="s">
        <v>600</v>
      </c>
      <c r="B678" s="8">
        <v>236262</v>
      </c>
    </row>
    <row r="679" spans="1:2" x14ac:dyDescent="0.3">
      <c r="A679" s="6" t="s">
        <v>608</v>
      </c>
      <c r="B679" s="8">
        <v>235239</v>
      </c>
    </row>
    <row r="680" spans="1:2" x14ac:dyDescent="0.3">
      <c r="A680" s="6" t="s">
        <v>964</v>
      </c>
      <c r="B680" s="8">
        <v>234299</v>
      </c>
    </row>
    <row r="681" spans="1:2" x14ac:dyDescent="0.3">
      <c r="A681" s="6" t="s">
        <v>621</v>
      </c>
      <c r="B681" s="8">
        <v>230862</v>
      </c>
    </row>
    <row r="682" spans="1:2" x14ac:dyDescent="0.3">
      <c r="A682" s="6" t="s">
        <v>966</v>
      </c>
      <c r="B682" s="8">
        <v>230732</v>
      </c>
    </row>
    <row r="683" spans="1:2" x14ac:dyDescent="0.3">
      <c r="A683" s="6" t="s">
        <v>737</v>
      </c>
      <c r="B683" s="8">
        <v>227485</v>
      </c>
    </row>
    <row r="684" spans="1:2" x14ac:dyDescent="0.3">
      <c r="A684" s="6" t="s">
        <v>941</v>
      </c>
      <c r="B684" s="8">
        <v>226693</v>
      </c>
    </row>
    <row r="685" spans="1:2" x14ac:dyDescent="0.3">
      <c r="A685" s="6">
        <v>20000</v>
      </c>
      <c r="B685" s="8">
        <v>226642</v>
      </c>
    </row>
    <row r="686" spans="1:2" x14ac:dyDescent="0.3">
      <c r="A686" s="6" t="s">
        <v>836</v>
      </c>
      <c r="B686" s="8">
        <v>223723</v>
      </c>
    </row>
    <row r="687" spans="1:2" x14ac:dyDescent="0.3">
      <c r="A687" s="6" t="s">
        <v>598</v>
      </c>
      <c r="B687" s="8">
        <v>223704</v>
      </c>
    </row>
    <row r="688" spans="1:2" x14ac:dyDescent="0.3">
      <c r="A688" s="6" t="s">
        <v>701</v>
      </c>
      <c r="B688" s="8">
        <v>222818</v>
      </c>
    </row>
    <row r="689" spans="1:2" x14ac:dyDescent="0.3">
      <c r="A689" s="6" t="s">
        <v>835</v>
      </c>
      <c r="B689" s="8">
        <v>221572</v>
      </c>
    </row>
    <row r="690" spans="1:2" x14ac:dyDescent="0.3">
      <c r="A690" s="6" t="s">
        <v>820</v>
      </c>
      <c r="B690" s="8">
        <v>220199</v>
      </c>
    </row>
    <row r="691" spans="1:2" x14ac:dyDescent="0.3">
      <c r="A691" s="6" t="s">
        <v>962</v>
      </c>
      <c r="B691" s="8">
        <v>219335</v>
      </c>
    </row>
    <row r="692" spans="1:2" x14ac:dyDescent="0.3">
      <c r="A692" s="6" t="s">
        <v>963</v>
      </c>
      <c r="B692" s="8">
        <v>219124</v>
      </c>
    </row>
    <row r="693" spans="1:2" x14ac:dyDescent="0.3">
      <c r="A693" s="6" t="s">
        <v>875</v>
      </c>
      <c r="B693" s="8">
        <v>219123</v>
      </c>
    </row>
    <row r="694" spans="1:2" x14ac:dyDescent="0.3">
      <c r="A694" s="6" t="s">
        <v>809</v>
      </c>
      <c r="B694" s="8">
        <v>217764</v>
      </c>
    </row>
    <row r="695" spans="1:2" x14ac:dyDescent="0.3">
      <c r="A695" s="6" t="s">
        <v>959</v>
      </c>
      <c r="B695" s="8">
        <v>217560</v>
      </c>
    </row>
    <row r="696" spans="1:2" x14ac:dyDescent="0.3">
      <c r="A696" s="6" t="s">
        <v>944</v>
      </c>
      <c r="B696" s="8">
        <v>216436</v>
      </c>
    </row>
    <row r="697" spans="1:2" x14ac:dyDescent="0.3">
      <c r="A697" s="6" t="s">
        <v>575</v>
      </c>
      <c r="B697" s="8">
        <v>215598</v>
      </c>
    </row>
    <row r="698" spans="1:2" x14ac:dyDescent="0.3">
      <c r="A698" s="6" t="s">
        <v>960</v>
      </c>
      <c r="B698" s="8">
        <v>211323</v>
      </c>
    </row>
    <row r="699" spans="1:2" x14ac:dyDescent="0.3">
      <c r="A699" s="6" t="s">
        <v>925</v>
      </c>
      <c r="B699" s="8">
        <v>209240</v>
      </c>
    </row>
    <row r="700" spans="1:2" x14ac:dyDescent="0.3">
      <c r="A700" s="6" t="s">
        <v>929</v>
      </c>
      <c r="B700" s="8">
        <v>208495</v>
      </c>
    </row>
    <row r="701" spans="1:2" x14ac:dyDescent="0.3">
      <c r="A701" s="6" t="s">
        <v>696</v>
      </c>
      <c r="B701" s="8">
        <v>207362</v>
      </c>
    </row>
    <row r="702" spans="1:2" x14ac:dyDescent="0.3">
      <c r="A702" s="6" t="s">
        <v>924</v>
      </c>
      <c r="B702" s="8">
        <v>205727</v>
      </c>
    </row>
    <row r="703" spans="1:2" x14ac:dyDescent="0.3">
      <c r="A703" s="6" t="s">
        <v>623</v>
      </c>
      <c r="B703" s="8">
        <v>201335</v>
      </c>
    </row>
    <row r="704" spans="1:2" x14ac:dyDescent="0.3">
      <c r="A704" s="6" t="s">
        <v>582</v>
      </c>
      <c r="B704" s="8">
        <v>199062</v>
      </c>
    </row>
    <row r="705" spans="1:2" x14ac:dyDescent="0.3">
      <c r="A705" s="6" t="s">
        <v>707</v>
      </c>
      <c r="B705" s="8">
        <v>199035</v>
      </c>
    </row>
    <row r="706" spans="1:2" x14ac:dyDescent="0.3">
      <c r="A706" s="6" t="s">
        <v>921</v>
      </c>
      <c r="B706" s="8">
        <v>198498</v>
      </c>
    </row>
    <row r="707" spans="1:2" x14ac:dyDescent="0.3">
      <c r="A707" s="6" t="s">
        <v>943</v>
      </c>
      <c r="B707" s="8">
        <v>198439</v>
      </c>
    </row>
    <row r="708" spans="1:2" x14ac:dyDescent="0.3">
      <c r="A708" s="6" t="s">
        <v>567</v>
      </c>
      <c r="B708" s="8">
        <v>193433</v>
      </c>
    </row>
    <row r="709" spans="1:2" x14ac:dyDescent="0.3">
      <c r="A709" s="6" t="s">
        <v>614</v>
      </c>
      <c r="B709" s="8">
        <v>193060</v>
      </c>
    </row>
    <row r="710" spans="1:2" x14ac:dyDescent="0.3">
      <c r="A710" s="6" t="s">
        <v>808</v>
      </c>
      <c r="B710" s="8">
        <v>190663</v>
      </c>
    </row>
    <row r="711" spans="1:2" x14ac:dyDescent="0.3">
      <c r="A711" s="6" t="s">
        <v>714</v>
      </c>
      <c r="B711" s="8">
        <v>189304</v>
      </c>
    </row>
    <row r="712" spans="1:2" x14ac:dyDescent="0.3">
      <c r="A712" s="6" t="s">
        <v>591</v>
      </c>
      <c r="B712" s="8">
        <v>189165</v>
      </c>
    </row>
    <row r="713" spans="1:2" x14ac:dyDescent="0.3">
      <c r="A713" s="6" t="s">
        <v>607</v>
      </c>
      <c r="B713" s="8">
        <v>188031</v>
      </c>
    </row>
    <row r="714" spans="1:2" x14ac:dyDescent="0.3">
      <c r="A714" s="6" t="s">
        <v>563</v>
      </c>
      <c r="B714" s="8">
        <v>187657</v>
      </c>
    </row>
    <row r="715" spans="1:2" x14ac:dyDescent="0.3">
      <c r="A715" s="6" t="s">
        <v>643</v>
      </c>
      <c r="B715" s="8">
        <v>187484</v>
      </c>
    </row>
    <row r="716" spans="1:2" x14ac:dyDescent="0.3">
      <c r="A716" s="6" t="s">
        <v>578</v>
      </c>
      <c r="B716" s="8">
        <v>186641</v>
      </c>
    </row>
    <row r="717" spans="1:2" x14ac:dyDescent="0.3">
      <c r="A717" s="6" t="s">
        <v>669</v>
      </c>
      <c r="B717" s="8">
        <v>186238</v>
      </c>
    </row>
    <row r="718" spans="1:2" x14ac:dyDescent="0.3">
      <c r="A718" s="6" t="s">
        <v>780</v>
      </c>
      <c r="B718" s="8">
        <v>184620</v>
      </c>
    </row>
    <row r="719" spans="1:2" x14ac:dyDescent="0.3">
      <c r="A719" s="6" t="s">
        <v>604</v>
      </c>
      <c r="B719" s="8">
        <v>184081</v>
      </c>
    </row>
    <row r="720" spans="1:2" x14ac:dyDescent="0.3">
      <c r="A720" s="6" t="s">
        <v>592</v>
      </c>
      <c r="B720" s="8">
        <v>183482</v>
      </c>
    </row>
    <row r="721" spans="1:2" x14ac:dyDescent="0.3">
      <c r="A721" s="6" t="s">
        <v>935</v>
      </c>
      <c r="B721" s="8">
        <v>182413</v>
      </c>
    </row>
    <row r="722" spans="1:2" x14ac:dyDescent="0.3">
      <c r="A722" s="6" t="s">
        <v>940</v>
      </c>
      <c r="B722" s="8">
        <v>179322</v>
      </c>
    </row>
    <row r="723" spans="1:2" x14ac:dyDescent="0.3">
      <c r="A723" s="6" t="s">
        <v>698</v>
      </c>
      <c r="B723" s="8">
        <v>176787</v>
      </c>
    </row>
    <row r="724" spans="1:2" x14ac:dyDescent="0.3">
      <c r="A724" s="6" t="s">
        <v>619</v>
      </c>
      <c r="B724" s="8">
        <v>176433</v>
      </c>
    </row>
    <row r="725" spans="1:2" x14ac:dyDescent="0.3">
      <c r="A725" s="6" t="s">
        <v>828</v>
      </c>
      <c r="B725" s="8">
        <v>174674</v>
      </c>
    </row>
    <row r="726" spans="1:2" x14ac:dyDescent="0.3">
      <c r="A726" s="6" t="s">
        <v>741</v>
      </c>
      <c r="B726" s="8">
        <v>173545</v>
      </c>
    </row>
    <row r="727" spans="1:2" x14ac:dyDescent="0.3">
      <c r="A727" s="6" t="s">
        <v>636</v>
      </c>
      <c r="B727" s="8">
        <v>172359</v>
      </c>
    </row>
    <row r="728" spans="1:2" x14ac:dyDescent="0.3">
      <c r="A728" s="6" t="s">
        <v>590</v>
      </c>
      <c r="B728" s="8">
        <v>171521</v>
      </c>
    </row>
    <row r="729" spans="1:2" x14ac:dyDescent="0.3">
      <c r="A729" s="6" t="s">
        <v>573</v>
      </c>
      <c r="B729" s="8">
        <v>171289</v>
      </c>
    </row>
    <row r="730" spans="1:2" x14ac:dyDescent="0.3">
      <c r="A730" s="6" t="s">
        <v>939</v>
      </c>
      <c r="B730" s="8">
        <v>169406</v>
      </c>
    </row>
    <row r="731" spans="1:2" x14ac:dyDescent="0.3">
      <c r="A731" s="6" t="s">
        <v>881</v>
      </c>
      <c r="B731" s="8">
        <v>168312</v>
      </c>
    </row>
    <row r="732" spans="1:2" x14ac:dyDescent="0.3">
      <c r="A732" s="6" t="s">
        <v>788</v>
      </c>
      <c r="B732" s="8">
        <v>167190</v>
      </c>
    </row>
    <row r="733" spans="1:2" x14ac:dyDescent="0.3">
      <c r="A733" s="6" t="s">
        <v>746</v>
      </c>
      <c r="B733" s="8">
        <v>165815</v>
      </c>
    </row>
    <row r="734" spans="1:2" x14ac:dyDescent="0.3">
      <c r="A734" s="6" t="s">
        <v>949</v>
      </c>
      <c r="B734" s="8">
        <v>165682</v>
      </c>
    </row>
    <row r="735" spans="1:2" x14ac:dyDescent="0.3">
      <c r="A735" s="6" t="s">
        <v>826</v>
      </c>
      <c r="B735" s="8">
        <v>164254</v>
      </c>
    </row>
    <row r="736" spans="1:2" x14ac:dyDescent="0.3">
      <c r="A736" s="6" t="s">
        <v>585</v>
      </c>
      <c r="B736" s="8">
        <v>163809</v>
      </c>
    </row>
    <row r="737" spans="1:2" x14ac:dyDescent="0.3">
      <c r="A737" s="6" t="s">
        <v>681</v>
      </c>
      <c r="B737" s="8">
        <v>163578</v>
      </c>
    </row>
    <row r="738" spans="1:2" x14ac:dyDescent="0.3">
      <c r="A738" s="6" t="s">
        <v>822</v>
      </c>
      <c r="B738" s="8">
        <v>163219</v>
      </c>
    </row>
    <row r="739" spans="1:2" x14ac:dyDescent="0.3">
      <c r="A739" s="6" t="s">
        <v>916</v>
      </c>
      <c r="B739" s="8">
        <v>162392</v>
      </c>
    </row>
    <row r="740" spans="1:2" x14ac:dyDescent="0.3">
      <c r="A740" s="6" t="s">
        <v>942</v>
      </c>
      <c r="B740" s="8">
        <v>162181</v>
      </c>
    </row>
    <row r="741" spans="1:2" x14ac:dyDescent="0.3">
      <c r="A741" s="6" t="s">
        <v>654</v>
      </c>
      <c r="B741" s="8">
        <v>161769</v>
      </c>
    </row>
    <row r="742" spans="1:2" x14ac:dyDescent="0.3">
      <c r="A742" s="6" t="s">
        <v>928</v>
      </c>
      <c r="B742" s="8">
        <v>161268</v>
      </c>
    </row>
    <row r="743" spans="1:2" x14ac:dyDescent="0.3">
      <c r="A743" s="6" t="s">
        <v>581</v>
      </c>
      <c r="B743" s="8">
        <v>160764</v>
      </c>
    </row>
    <row r="744" spans="1:2" x14ac:dyDescent="0.3">
      <c r="A744" s="6" t="s">
        <v>792</v>
      </c>
      <c r="B744" s="8">
        <v>159215</v>
      </c>
    </row>
    <row r="745" spans="1:2" x14ac:dyDescent="0.3">
      <c r="A745" s="6" t="s">
        <v>951</v>
      </c>
      <c r="B745" s="8">
        <v>158886</v>
      </c>
    </row>
    <row r="746" spans="1:2" x14ac:dyDescent="0.3">
      <c r="A746" s="6" t="s">
        <v>950</v>
      </c>
      <c r="B746" s="8">
        <v>158394</v>
      </c>
    </row>
    <row r="747" spans="1:2" x14ac:dyDescent="0.3">
      <c r="A747" s="6" t="s">
        <v>894</v>
      </c>
      <c r="B747" s="8">
        <v>153030</v>
      </c>
    </row>
    <row r="748" spans="1:2" x14ac:dyDescent="0.3">
      <c r="A748" s="6" t="s">
        <v>586</v>
      </c>
      <c r="B748" s="8">
        <v>152841</v>
      </c>
    </row>
    <row r="749" spans="1:2" x14ac:dyDescent="0.3">
      <c r="A749" s="6" t="s">
        <v>640</v>
      </c>
      <c r="B749" s="8">
        <v>152608</v>
      </c>
    </row>
    <row r="750" spans="1:2" x14ac:dyDescent="0.3">
      <c r="A750" s="6" t="s">
        <v>825</v>
      </c>
      <c r="B750" s="8">
        <v>148372</v>
      </c>
    </row>
    <row r="751" spans="1:2" x14ac:dyDescent="0.3">
      <c r="A751" s="6" t="s">
        <v>659</v>
      </c>
      <c r="B751" s="8">
        <v>147382</v>
      </c>
    </row>
    <row r="752" spans="1:2" x14ac:dyDescent="0.3">
      <c r="A752" s="6" t="s">
        <v>926</v>
      </c>
      <c r="B752" s="8">
        <v>147116</v>
      </c>
    </row>
    <row r="753" spans="1:2" x14ac:dyDescent="0.3">
      <c r="A753" s="6" t="s">
        <v>730</v>
      </c>
      <c r="B753" s="8">
        <v>143389</v>
      </c>
    </row>
    <row r="754" spans="1:2" x14ac:dyDescent="0.3">
      <c r="A754" s="6" t="s">
        <v>777</v>
      </c>
      <c r="B754" s="8">
        <v>141703</v>
      </c>
    </row>
    <row r="755" spans="1:2" x14ac:dyDescent="0.3">
      <c r="A755" s="6" t="s">
        <v>622</v>
      </c>
      <c r="B755" s="8">
        <v>141616</v>
      </c>
    </row>
    <row r="756" spans="1:2" x14ac:dyDescent="0.3">
      <c r="A756" s="6" t="s">
        <v>938</v>
      </c>
      <c r="B756" s="8">
        <v>141434</v>
      </c>
    </row>
    <row r="757" spans="1:2" x14ac:dyDescent="0.3">
      <c r="A757" s="6" t="s">
        <v>744</v>
      </c>
      <c r="B757" s="8">
        <v>141296</v>
      </c>
    </row>
    <row r="758" spans="1:2" x14ac:dyDescent="0.3">
      <c r="A758" s="6" t="s">
        <v>611</v>
      </c>
      <c r="B758" s="8">
        <v>141084</v>
      </c>
    </row>
    <row r="759" spans="1:2" x14ac:dyDescent="0.3">
      <c r="A759" s="6" t="s">
        <v>613</v>
      </c>
      <c r="B759" s="8">
        <v>140297</v>
      </c>
    </row>
    <row r="760" spans="1:2" x14ac:dyDescent="0.3">
      <c r="A760" s="6" t="s">
        <v>889</v>
      </c>
      <c r="B760" s="8">
        <v>140048</v>
      </c>
    </row>
    <row r="761" spans="1:2" x14ac:dyDescent="0.3">
      <c r="A761" s="6" t="s">
        <v>694</v>
      </c>
      <c r="B761" s="8">
        <v>139041</v>
      </c>
    </row>
    <row r="762" spans="1:2" x14ac:dyDescent="0.3">
      <c r="A762" s="6" t="s">
        <v>936</v>
      </c>
      <c r="B762" s="8">
        <v>138997</v>
      </c>
    </row>
    <row r="763" spans="1:2" x14ac:dyDescent="0.3">
      <c r="A763" s="6" t="s">
        <v>706</v>
      </c>
      <c r="B763" s="8">
        <v>135720</v>
      </c>
    </row>
    <row r="764" spans="1:2" x14ac:dyDescent="0.3">
      <c r="A764" s="6" t="s">
        <v>918</v>
      </c>
      <c r="B764" s="8">
        <v>135565</v>
      </c>
    </row>
    <row r="765" spans="1:2" x14ac:dyDescent="0.3">
      <c r="A765" s="6" t="s">
        <v>848</v>
      </c>
      <c r="B765" s="8">
        <v>135428</v>
      </c>
    </row>
    <row r="766" spans="1:2" x14ac:dyDescent="0.3">
      <c r="A766" s="6" t="s">
        <v>653</v>
      </c>
      <c r="B766" s="8">
        <v>135107</v>
      </c>
    </row>
    <row r="767" spans="1:2" x14ac:dyDescent="0.3">
      <c r="A767" s="6" t="s">
        <v>579</v>
      </c>
      <c r="B767" s="8">
        <v>132007</v>
      </c>
    </row>
    <row r="768" spans="1:2" x14ac:dyDescent="0.3">
      <c r="A768" s="6" t="s">
        <v>733</v>
      </c>
      <c r="B768" s="8">
        <v>131582</v>
      </c>
    </row>
    <row r="769" spans="1:2" x14ac:dyDescent="0.3">
      <c r="A769" s="6" t="s">
        <v>886</v>
      </c>
      <c r="B769" s="8">
        <v>130827</v>
      </c>
    </row>
    <row r="770" spans="1:2" x14ac:dyDescent="0.3">
      <c r="A770" s="6" t="s">
        <v>657</v>
      </c>
      <c r="B770" s="8">
        <v>130434</v>
      </c>
    </row>
    <row r="771" spans="1:2" x14ac:dyDescent="0.3">
      <c r="A771" s="6" t="s">
        <v>767</v>
      </c>
      <c r="B771" s="8">
        <v>129325</v>
      </c>
    </row>
    <row r="772" spans="1:2" x14ac:dyDescent="0.3">
      <c r="A772" s="6" t="s">
        <v>913</v>
      </c>
      <c r="B772" s="8">
        <v>128904</v>
      </c>
    </row>
    <row r="773" spans="1:2" x14ac:dyDescent="0.3">
      <c r="A773" s="6" t="s">
        <v>580</v>
      </c>
      <c r="B773" s="8">
        <v>128609</v>
      </c>
    </row>
    <row r="774" spans="1:2" x14ac:dyDescent="0.3">
      <c r="A774" s="6" t="s">
        <v>890</v>
      </c>
      <c r="B774" s="8">
        <v>127801</v>
      </c>
    </row>
    <row r="775" spans="1:2" x14ac:dyDescent="0.3">
      <c r="A775" s="6" t="s">
        <v>910</v>
      </c>
      <c r="B775" s="8">
        <v>126884</v>
      </c>
    </row>
    <row r="776" spans="1:2" x14ac:dyDescent="0.3">
      <c r="A776" s="6" t="s">
        <v>712</v>
      </c>
      <c r="B776" s="8">
        <v>126436</v>
      </c>
    </row>
    <row r="777" spans="1:2" x14ac:dyDescent="0.3">
      <c r="A777" s="6" t="s">
        <v>920</v>
      </c>
      <c r="B777" s="8">
        <v>125090</v>
      </c>
    </row>
    <row r="778" spans="1:2" x14ac:dyDescent="0.3">
      <c r="A778" s="6" t="s">
        <v>883</v>
      </c>
      <c r="B778" s="8">
        <v>124762</v>
      </c>
    </row>
    <row r="779" spans="1:2" x14ac:dyDescent="0.3">
      <c r="A779" s="6" t="s">
        <v>895</v>
      </c>
      <c r="B779" s="8">
        <v>124672</v>
      </c>
    </row>
    <row r="780" spans="1:2" x14ac:dyDescent="0.3">
      <c r="A780" s="6" t="s">
        <v>602</v>
      </c>
      <c r="B780" s="8">
        <v>123664</v>
      </c>
    </row>
    <row r="781" spans="1:2" x14ac:dyDescent="0.3">
      <c r="A781" s="6" t="s">
        <v>716</v>
      </c>
      <c r="B781" s="8">
        <v>122657</v>
      </c>
    </row>
    <row r="782" spans="1:2" x14ac:dyDescent="0.3">
      <c r="A782" s="6" t="s">
        <v>857</v>
      </c>
      <c r="B782" s="8">
        <v>121901</v>
      </c>
    </row>
    <row r="783" spans="1:2" x14ac:dyDescent="0.3">
      <c r="A783" s="6" t="s">
        <v>626</v>
      </c>
      <c r="B783" s="8">
        <v>121633</v>
      </c>
    </row>
    <row r="784" spans="1:2" x14ac:dyDescent="0.3">
      <c r="A784" s="6" t="s">
        <v>919</v>
      </c>
      <c r="B784" s="8">
        <v>120682</v>
      </c>
    </row>
    <row r="785" spans="1:2" x14ac:dyDescent="0.3">
      <c r="A785" s="6" t="s">
        <v>637</v>
      </c>
      <c r="B785" s="8">
        <v>120341</v>
      </c>
    </row>
    <row r="786" spans="1:2" x14ac:dyDescent="0.3">
      <c r="A786" s="6" t="s">
        <v>831</v>
      </c>
      <c r="B786" s="8">
        <v>118316</v>
      </c>
    </row>
    <row r="787" spans="1:2" x14ac:dyDescent="0.3">
      <c r="A787" s="6" t="s">
        <v>932</v>
      </c>
      <c r="B787" s="8">
        <v>117479</v>
      </c>
    </row>
    <row r="788" spans="1:2" x14ac:dyDescent="0.3">
      <c r="A788" s="6" t="s">
        <v>829</v>
      </c>
      <c r="B788" s="8">
        <v>117193</v>
      </c>
    </row>
    <row r="789" spans="1:2" x14ac:dyDescent="0.3">
      <c r="A789" s="6" t="s">
        <v>603</v>
      </c>
      <c r="B789" s="8">
        <v>116585</v>
      </c>
    </row>
    <row r="790" spans="1:2" x14ac:dyDescent="0.3">
      <c r="A790" s="6" t="s">
        <v>691</v>
      </c>
      <c r="B790" s="8">
        <v>116253</v>
      </c>
    </row>
    <row r="791" spans="1:2" x14ac:dyDescent="0.3">
      <c r="A791" s="6" t="s">
        <v>806</v>
      </c>
      <c r="B791" s="8">
        <v>115445</v>
      </c>
    </row>
    <row r="792" spans="1:2" x14ac:dyDescent="0.3">
      <c r="A792" s="6" t="s">
        <v>931</v>
      </c>
      <c r="B792" s="8">
        <v>115195</v>
      </c>
    </row>
    <row r="793" spans="1:2" x14ac:dyDescent="0.3">
      <c r="A793" s="6" t="s">
        <v>813</v>
      </c>
      <c r="B793" s="8">
        <v>114488</v>
      </c>
    </row>
    <row r="794" spans="1:2" x14ac:dyDescent="0.3">
      <c r="A794" s="6" t="s">
        <v>934</v>
      </c>
      <c r="B794" s="8">
        <v>114325</v>
      </c>
    </row>
    <row r="795" spans="1:2" x14ac:dyDescent="0.3">
      <c r="A795" s="6" t="s">
        <v>933</v>
      </c>
      <c r="B795" s="8">
        <v>114145</v>
      </c>
    </row>
    <row r="796" spans="1:2" x14ac:dyDescent="0.3">
      <c r="A796" s="6" t="s">
        <v>781</v>
      </c>
      <c r="B796" s="8">
        <v>112977</v>
      </c>
    </row>
    <row r="797" spans="1:2" x14ac:dyDescent="0.3">
      <c r="A797" s="6" t="s">
        <v>801</v>
      </c>
      <c r="B797" s="8">
        <v>112745</v>
      </c>
    </row>
    <row r="798" spans="1:2" x14ac:dyDescent="0.3">
      <c r="A798" s="6" t="s">
        <v>717</v>
      </c>
      <c r="B798" s="8">
        <v>111617</v>
      </c>
    </row>
    <row r="799" spans="1:2" x14ac:dyDescent="0.3">
      <c r="A799" s="6" t="s">
        <v>627</v>
      </c>
      <c r="B799" s="8">
        <v>111409</v>
      </c>
    </row>
    <row r="800" spans="1:2" x14ac:dyDescent="0.3">
      <c r="A800" s="6" t="s">
        <v>628</v>
      </c>
      <c r="B800" s="8">
        <v>110854</v>
      </c>
    </row>
    <row r="801" spans="1:2" x14ac:dyDescent="0.3">
      <c r="A801" s="6" t="s">
        <v>710</v>
      </c>
      <c r="B801" s="8">
        <v>109944</v>
      </c>
    </row>
    <row r="802" spans="1:2" x14ac:dyDescent="0.3">
      <c r="A802" s="6" t="s">
        <v>884</v>
      </c>
      <c r="B802" s="8">
        <v>109741</v>
      </c>
    </row>
    <row r="803" spans="1:2" x14ac:dyDescent="0.3">
      <c r="A803" s="6" t="s">
        <v>779</v>
      </c>
      <c r="B803" s="8">
        <v>107964</v>
      </c>
    </row>
    <row r="804" spans="1:2" x14ac:dyDescent="0.3">
      <c r="A804" s="6" t="s">
        <v>720</v>
      </c>
      <c r="B804" s="8">
        <v>107669</v>
      </c>
    </row>
    <row r="805" spans="1:2" x14ac:dyDescent="0.3">
      <c r="A805" s="6" t="s">
        <v>747</v>
      </c>
      <c r="B805" s="8">
        <v>107057</v>
      </c>
    </row>
    <row r="806" spans="1:2" x14ac:dyDescent="0.3">
      <c r="A806" s="6" t="s">
        <v>610</v>
      </c>
      <c r="B806" s="8">
        <v>106443</v>
      </c>
    </row>
    <row r="807" spans="1:2" x14ac:dyDescent="0.3">
      <c r="A807" s="6" t="s">
        <v>869</v>
      </c>
      <c r="B807" s="8">
        <v>106011</v>
      </c>
    </row>
    <row r="808" spans="1:2" x14ac:dyDescent="0.3">
      <c r="A808" s="6" t="s">
        <v>861</v>
      </c>
      <c r="B808" s="8">
        <v>105343</v>
      </c>
    </row>
    <row r="809" spans="1:2" x14ac:dyDescent="0.3">
      <c r="A809" s="6" t="s">
        <v>605</v>
      </c>
      <c r="B809" s="8">
        <v>105220</v>
      </c>
    </row>
    <row r="810" spans="1:2" x14ac:dyDescent="0.3">
      <c r="A810" s="6" t="s">
        <v>750</v>
      </c>
      <c r="B810" s="8">
        <v>104277</v>
      </c>
    </row>
    <row r="811" spans="1:2" x14ac:dyDescent="0.3">
      <c r="A811" s="6" t="s">
        <v>649</v>
      </c>
      <c r="B811" s="8">
        <v>103978</v>
      </c>
    </row>
    <row r="812" spans="1:2" x14ac:dyDescent="0.3">
      <c r="A812" s="6" t="s">
        <v>814</v>
      </c>
      <c r="B812" s="8">
        <v>103659</v>
      </c>
    </row>
    <row r="813" spans="1:2" x14ac:dyDescent="0.3">
      <c r="A813" s="6" t="s">
        <v>617</v>
      </c>
      <c r="B813" s="8">
        <v>102896</v>
      </c>
    </row>
    <row r="814" spans="1:2" x14ac:dyDescent="0.3">
      <c r="A814" s="6" t="s">
        <v>915</v>
      </c>
      <c r="B814" s="8">
        <v>101958</v>
      </c>
    </row>
    <row r="815" spans="1:2" x14ac:dyDescent="0.3">
      <c r="A815" s="6" t="s">
        <v>819</v>
      </c>
      <c r="B815" s="8">
        <v>101902</v>
      </c>
    </row>
    <row r="816" spans="1:2" x14ac:dyDescent="0.3">
      <c r="A816" s="6" t="s">
        <v>671</v>
      </c>
      <c r="B816" s="8">
        <v>101657</v>
      </c>
    </row>
    <row r="817" spans="1:2" x14ac:dyDescent="0.3">
      <c r="A817" s="6" t="s">
        <v>873</v>
      </c>
      <c r="B817" s="8">
        <v>101420</v>
      </c>
    </row>
    <row r="818" spans="1:2" x14ac:dyDescent="0.3">
      <c r="A818" s="6" t="s">
        <v>903</v>
      </c>
      <c r="B818" s="8">
        <v>101234</v>
      </c>
    </row>
    <row r="819" spans="1:2" x14ac:dyDescent="0.3">
      <c r="A819" s="6" t="s">
        <v>877</v>
      </c>
      <c r="B819" s="8">
        <v>100267</v>
      </c>
    </row>
    <row r="820" spans="1:2" x14ac:dyDescent="0.3">
      <c r="A820" s="6" t="s">
        <v>695</v>
      </c>
      <c r="B820" s="8">
        <v>99391</v>
      </c>
    </row>
    <row r="821" spans="1:2" x14ac:dyDescent="0.3">
      <c r="A821" s="6" t="s">
        <v>718</v>
      </c>
      <c r="B821" s="8">
        <v>99265</v>
      </c>
    </row>
    <row r="822" spans="1:2" x14ac:dyDescent="0.3">
      <c r="A822" s="6" t="s">
        <v>724</v>
      </c>
      <c r="B822" s="8">
        <v>98427</v>
      </c>
    </row>
    <row r="823" spans="1:2" x14ac:dyDescent="0.3">
      <c r="A823" s="6" t="s">
        <v>656</v>
      </c>
      <c r="B823" s="8">
        <v>98030</v>
      </c>
    </row>
    <row r="824" spans="1:2" x14ac:dyDescent="0.3">
      <c r="A824" s="6" t="s">
        <v>868</v>
      </c>
      <c r="B824" s="8">
        <v>97062</v>
      </c>
    </row>
    <row r="825" spans="1:2" x14ac:dyDescent="0.3">
      <c r="A825" s="6" t="s">
        <v>897</v>
      </c>
      <c r="B825" s="8">
        <v>96931</v>
      </c>
    </row>
    <row r="826" spans="1:2" x14ac:dyDescent="0.3">
      <c r="A826" s="6" t="s">
        <v>827</v>
      </c>
      <c r="B826" s="8">
        <v>96287</v>
      </c>
    </row>
    <row r="827" spans="1:2" x14ac:dyDescent="0.3">
      <c r="A827" s="6" t="s">
        <v>697</v>
      </c>
      <c r="B827" s="8">
        <v>95682</v>
      </c>
    </row>
    <row r="828" spans="1:2" x14ac:dyDescent="0.3">
      <c r="A828" s="6" t="s">
        <v>663</v>
      </c>
      <c r="B828" s="8">
        <v>94674</v>
      </c>
    </row>
    <row r="829" spans="1:2" x14ac:dyDescent="0.3">
      <c r="A829" s="6" t="s">
        <v>887</v>
      </c>
      <c r="B829" s="8">
        <v>92837</v>
      </c>
    </row>
    <row r="830" spans="1:2" x14ac:dyDescent="0.3">
      <c r="A830" s="6" t="s">
        <v>912</v>
      </c>
      <c r="B830" s="8">
        <v>92680</v>
      </c>
    </row>
    <row r="831" spans="1:2" x14ac:dyDescent="0.3">
      <c r="A831" s="6" t="s">
        <v>840</v>
      </c>
      <c r="B831" s="8">
        <v>92660</v>
      </c>
    </row>
    <row r="832" spans="1:2" x14ac:dyDescent="0.3">
      <c r="A832" s="6" t="s">
        <v>644</v>
      </c>
      <c r="B832" s="8">
        <v>92183</v>
      </c>
    </row>
    <row r="833" spans="1:2" x14ac:dyDescent="0.3">
      <c r="A833" s="6" t="s">
        <v>866</v>
      </c>
      <c r="B833" s="8">
        <v>91369</v>
      </c>
    </row>
    <row r="834" spans="1:2" x14ac:dyDescent="0.3">
      <c r="A834" s="6" t="s">
        <v>856</v>
      </c>
      <c r="B834" s="8">
        <v>90960</v>
      </c>
    </row>
    <row r="835" spans="1:2" x14ac:dyDescent="0.3">
      <c r="A835" s="6" t="s">
        <v>689</v>
      </c>
      <c r="B835" s="8">
        <v>90731</v>
      </c>
    </row>
    <row r="836" spans="1:2" x14ac:dyDescent="0.3">
      <c r="A836" s="6" t="s">
        <v>597</v>
      </c>
      <c r="B836" s="8">
        <v>90439</v>
      </c>
    </row>
    <row r="837" spans="1:2" x14ac:dyDescent="0.3">
      <c r="A837" s="6" t="s">
        <v>909</v>
      </c>
      <c r="B837" s="8">
        <v>89747</v>
      </c>
    </row>
    <row r="838" spans="1:2" x14ac:dyDescent="0.3">
      <c r="A838" s="6" t="s">
        <v>864</v>
      </c>
      <c r="B838" s="8">
        <v>89087</v>
      </c>
    </row>
    <row r="839" spans="1:2" x14ac:dyDescent="0.3">
      <c r="A839" s="6" t="s">
        <v>911</v>
      </c>
      <c r="B839" s="8">
        <v>88576</v>
      </c>
    </row>
    <row r="840" spans="1:2" x14ac:dyDescent="0.3">
      <c r="A840" s="6" t="s">
        <v>815</v>
      </c>
      <c r="B840" s="8">
        <v>88277</v>
      </c>
    </row>
    <row r="841" spans="1:2" x14ac:dyDescent="0.3">
      <c r="A841" s="6" t="s">
        <v>876</v>
      </c>
      <c r="B841" s="8">
        <v>87927</v>
      </c>
    </row>
    <row r="842" spans="1:2" x14ac:dyDescent="0.3">
      <c r="A842" s="6" t="s">
        <v>798</v>
      </c>
      <c r="B842" s="8">
        <v>87820</v>
      </c>
    </row>
    <row r="843" spans="1:2" x14ac:dyDescent="0.3">
      <c r="A843" s="6" t="s">
        <v>771</v>
      </c>
      <c r="B843" s="8">
        <v>87068</v>
      </c>
    </row>
    <row r="844" spans="1:2" x14ac:dyDescent="0.3">
      <c r="A844" s="6" t="s">
        <v>846</v>
      </c>
      <c r="B844" s="8">
        <v>86689</v>
      </c>
    </row>
    <row r="845" spans="1:2" x14ac:dyDescent="0.3">
      <c r="A845" s="6" t="s">
        <v>907</v>
      </c>
      <c r="B845" s="8">
        <v>85899</v>
      </c>
    </row>
    <row r="846" spans="1:2" x14ac:dyDescent="0.3">
      <c r="A846" s="6" t="s">
        <v>837</v>
      </c>
      <c r="B846" s="8">
        <v>85543</v>
      </c>
    </row>
    <row r="847" spans="1:2" x14ac:dyDescent="0.3">
      <c r="A847" s="6" t="s">
        <v>790</v>
      </c>
      <c r="B847" s="8">
        <v>85475</v>
      </c>
    </row>
    <row r="848" spans="1:2" x14ac:dyDescent="0.3">
      <c r="A848" s="6" t="s">
        <v>904</v>
      </c>
      <c r="B848" s="8">
        <v>84890</v>
      </c>
    </row>
    <row r="849" spans="1:2" x14ac:dyDescent="0.3">
      <c r="A849" s="6" t="s">
        <v>905</v>
      </c>
      <c r="B849" s="8">
        <v>84746</v>
      </c>
    </row>
    <row r="850" spans="1:2" x14ac:dyDescent="0.3">
      <c r="A850" s="6" t="s">
        <v>906</v>
      </c>
      <c r="B850" s="8">
        <v>84501</v>
      </c>
    </row>
    <row r="851" spans="1:2" x14ac:dyDescent="0.3">
      <c r="A851" s="6" t="s">
        <v>898</v>
      </c>
      <c r="B851" s="8">
        <v>84474</v>
      </c>
    </row>
    <row r="852" spans="1:2" x14ac:dyDescent="0.3">
      <c r="A852" s="6" t="s">
        <v>908</v>
      </c>
      <c r="B852" s="8">
        <v>83948</v>
      </c>
    </row>
    <row r="853" spans="1:2" x14ac:dyDescent="0.3">
      <c r="A853" s="6" t="s">
        <v>830</v>
      </c>
      <c r="B853" s="8">
        <v>83768</v>
      </c>
    </row>
    <row r="854" spans="1:2" x14ac:dyDescent="0.3">
      <c r="A854" s="6" t="s">
        <v>863</v>
      </c>
      <c r="B854" s="8">
        <v>83391</v>
      </c>
    </row>
    <row r="855" spans="1:2" x14ac:dyDescent="0.3">
      <c r="A855" s="6" t="s">
        <v>612</v>
      </c>
      <c r="B855" s="8">
        <v>83358</v>
      </c>
    </row>
    <row r="856" spans="1:2" x14ac:dyDescent="0.3">
      <c r="A856" s="6" t="s">
        <v>824</v>
      </c>
      <c r="B856" s="8">
        <v>83270</v>
      </c>
    </row>
    <row r="857" spans="1:2" x14ac:dyDescent="0.3">
      <c r="A857" s="6" t="s">
        <v>620</v>
      </c>
      <c r="B857" s="8">
        <v>83002</v>
      </c>
    </row>
    <row r="858" spans="1:2" x14ac:dyDescent="0.3">
      <c r="A858" s="6" t="s">
        <v>618</v>
      </c>
      <c r="B858" s="8">
        <v>82632</v>
      </c>
    </row>
    <row r="859" spans="1:2" x14ac:dyDescent="0.3">
      <c r="A859" s="6" t="s">
        <v>855</v>
      </c>
      <c r="B859" s="8">
        <v>82632</v>
      </c>
    </row>
    <row r="860" spans="1:2" x14ac:dyDescent="0.3">
      <c r="A860" s="6" t="s">
        <v>795</v>
      </c>
      <c r="B860" s="8">
        <v>82624</v>
      </c>
    </row>
    <row r="861" spans="1:2" x14ac:dyDescent="0.3">
      <c r="A861" s="6" t="s">
        <v>631</v>
      </c>
      <c r="B861" s="8">
        <v>82546</v>
      </c>
    </row>
    <row r="862" spans="1:2" x14ac:dyDescent="0.3">
      <c r="A862" s="6" t="s">
        <v>639</v>
      </c>
      <c r="B862" s="8">
        <v>82066</v>
      </c>
    </row>
    <row r="863" spans="1:2" x14ac:dyDescent="0.3">
      <c r="A863" s="6" t="s">
        <v>805</v>
      </c>
      <c r="B863" s="8">
        <v>81159</v>
      </c>
    </row>
    <row r="864" spans="1:2" x14ac:dyDescent="0.3">
      <c r="A864" s="6" t="s">
        <v>686</v>
      </c>
      <c r="B864" s="8">
        <v>79798</v>
      </c>
    </row>
    <row r="865" spans="1:2" x14ac:dyDescent="0.3">
      <c r="A865" s="6" t="s">
        <v>882</v>
      </c>
      <c r="B865" s="8">
        <v>79170</v>
      </c>
    </row>
    <row r="866" spans="1:2" x14ac:dyDescent="0.3">
      <c r="A866" s="6" t="s">
        <v>759</v>
      </c>
      <c r="B866" s="8">
        <v>78519</v>
      </c>
    </row>
    <row r="867" spans="1:2" x14ac:dyDescent="0.3">
      <c r="A867" s="6" t="s">
        <v>729</v>
      </c>
      <c r="B867" s="8">
        <v>77700</v>
      </c>
    </row>
    <row r="868" spans="1:2" x14ac:dyDescent="0.3">
      <c r="A868" s="6" t="s">
        <v>878</v>
      </c>
      <c r="B868" s="8">
        <v>77386</v>
      </c>
    </row>
    <row r="869" spans="1:2" x14ac:dyDescent="0.3">
      <c r="A869" s="6" t="s">
        <v>851</v>
      </c>
      <c r="B869" s="8">
        <v>77096</v>
      </c>
    </row>
    <row r="870" spans="1:2" x14ac:dyDescent="0.3">
      <c r="A870" s="6" t="s">
        <v>609</v>
      </c>
      <c r="B870" s="8">
        <v>76890</v>
      </c>
    </row>
    <row r="871" spans="1:2" x14ac:dyDescent="0.3">
      <c r="A871" s="6" t="s">
        <v>601</v>
      </c>
      <c r="B871" s="8">
        <v>75336</v>
      </c>
    </row>
    <row r="872" spans="1:2" x14ac:dyDescent="0.3">
      <c r="A872" s="6" t="s">
        <v>589</v>
      </c>
      <c r="B872" s="8">
        <v>75113</v>
      </c>
    </row>
    <row r="873" spans="1:2" x14ac:dyDescent="0.3">
      <c r="A873" s="6" t="s">
        <v>666</v>
      </c>
      <c r="B873" s="8">
        <v>72892</v>
      </c>
    </row>
    <row r="874" spans="1:2" x14ac:dyDescent="0.3">
      <c r="A874" s="6" t="s">
        <v>810</v>
      </c>
      <c r="B874" s="8">
        <v>72158</v>
      </c>
    </row>
    <row r="875" spans="1:2" x14ac:dyDescent="0.3">
      <c r="A875" s="6" t="s">
        <v>646</v>
      </c>
      <c r="B875" s="8">
        <v>71499</v>
      </c>
    </row>
    <row r="876" spans="1:2" x14ac:dyDescent="0.3">
      <c r="A876" s="6" t="s">
        <v>902</v>
      </c>
      <c r="B876" s="8">
        <v>71314</v>
      </c>
    </row>
    <row r="877" spans="1:2" x14ac:dyDescent="0.3">
      <c r="A877" s="6" t="s">
        <v>791</v>
      </c>
      <c r="B877" s="8">
        <v>71297</v>
      </c>
    </row>
    <row r="878" spans="1:2" x14ac:dyDescent="0.3">
      <c r="A878" s="6" t="s">
        <v>748</v>
      </c>
      <c r="B878" s="8">
        <v>70919</v>
      </c>
    </row>
    <row r="879" spans="1:2" x14ac:dyDescent="0.3">
      <c r="A879" s="6" t="s">
        <v>880</v>
      </c>
      <c r="B879" s="8">
        <v>70675</v>
      </c>
    </row>
    <row r="880" spans="1:2" x14ac:dyDescent="0.3">
      <c r="A880" s="6" t="s">
        <v>778</v>
      </c>
      <c r="B880" s="8">
        <v>70565</v>
      </c>
    </row>
    <row r="881" spans="1:2" x14ac:dyDescent="0.3">
      <c r="A881" s="6" t="s">
        <v>812</v>
      </c>
      <c r="B881" s="8">
        <v>70238</v>
      </c>
    </row>
    <row r="882" spans="1:2" x14ac:dyDescent="0.3">
      <c r="A882" s="6" t="s">
        <v>734</v>
      </c>
      <c r="B882" s="8">
        <v>69465</v>
      </c>
    </row>
    <row r="883" spans="1:2" x14ac:dyDescent="0.3">
      <c r="A883" s="6" t="s">
        <v>650</v>
      </c>
      <c r="B883" s="8">
        <v>69332</v>
      </c>
    </row>
    <row r="884" spans="1:2" x14ac:dyDescent="0.3">
      <c r="A884" s="6" t="s">
        <v>749</v>
      </c>
      <c r="B884" s="8">
        <v>68402</v>
      </c>
    </row>
    <row r="885" spans="1:2" x14ac:dyDescent="0.3">
      <c r="A885" s="6" t="s">
        <v>879</v>
      </c>
      <c r="B885" s="8">
        <v>68293</v>
      </c>
    </row>
    <row r="886" spans="1:2" x14ac:dyDescent="0.3">
      <c r="A886" s="6" t="s">
        <v>899</v>
      </c>
      <c r="B886" s="8">
        <v>67956</v>
      </c>
    </row>
    <row r="887" spans="1:2" x14ac:dyDescent="0.3">
      <c r="A887" s="6" t="s">
        <v>901</v>
      </c>
      <c r="B887" s="8">
        <v>67800</v>
      </c>
    </row>
    <row r="888" spans="1:2" x14ac:dyDescent="0.3">
      <c r="A888" s="6" t="s">
        <v>900</v>
      </c>
      <c r="B888" s="8">
        <v>67793</v>
      </c>
    </row>
    <row r="889" spans="1:2" x14ac:dyDescent="0.3">
      <c r="A889" s="6" t="s">
        <v>811</v>
      </c>
      <c r="B889" s="8">
        <v>67386</v>
      </c>
    </row>
    <row r="890" spans="1:2" x14ac:dyDescent="0.3">
      <c r="A890" s="6" t="s">
        <v>684</v>
      </c>
      <c r="B890" s="8">
        <v>66874</v>
      </c>
    </row>
    <row r="891" spans="1:2" x14ac:dyDescent="0.3">
      <c r="A891" s="6" t="s">
        <v>818</v>
      </c>
      <c r="B891" s="8">
        <v>66547</v>
      </c>
    </row>
    <row r="892" spans="1:2" x14ac:dyDescent="0.3">
      <c r="A892" s="6" t="s">
        <v>817</v>
      </c>
      <c r="B892" s="8">
        <v>66499</v>
      </c>
    </row>
    <row r="893" spans="1:2" x14ac:dyDescent="0.3">
      <c r="A893" s="6" t="s">
        <v>860</v>
      </c>
      <c r="B893" s="8">
        <v>66455</v>
      </c>
    </row>
    <row r="894" spans="1:2" x14ac:dyDescent="0.3">
      <c r="A894" s="6" t="s">
        <v>700</v>
      </c>
      <c r="B894" s="8">
        <v>66370</v>
      </c>
    </row>
    <row r="895" spans="1:2" x14ac:dyDescent="0.3">
      <c r="A895" s="6" t="s">
        <v>802</v>
      </c>
      <c r="B895" s="8">
        <v>66333</v>
      </c>
    </row>
    <row r="896" spans="1:2" x14ac:dyDescent="0.3">
      <c r="A896" s="6" t="s">
        <v>847</v>
      </c>
      <c r="B896" s="8">
        <v>66224</v>
      </c>
    </row>
    <row r="897" spans="1:2" x14ac:dyDescent="0.3">
      <c r="A897" s="6" t="s">
        <v>745</v>
      </c>
      <c r="B897" s="8">
        <v>65882</v>
      </c>
    </row>
    <row r="898" spans="1:2" x14ac:dyDescent="0.3">
      <c r="A898" s="6" t="s">
        <v>841</v>
      </c>
      <c r="B898" s="8">
        <v>65729</v>
      </c>
    </row>
    <row r="899" spans="1:2" x14ac:dyDescent="0.3">
      <c r="A899" s="6" t="s">
        <v>664</v>
      </c>
      <c r="B899" s="8">
        <v>65712</v>
      </c>
    </row>
    <row r="900" spans="1:2" x14ac:dyDescent="0.3">
      <c r="A900" s="6" t="s">
        <v>647</v>
      </c>
      <c r="B900" s="8">
        <v>65662</v>
      </c>
    </row>
    <row r="901" spans="1:2" x14ac:dyDescent="0.3">
      <c r="A901" s="6" t="s">
        <v>661</v>
      </c>
      <c r="B901" s="8">
        <v>65447</v>
      </c>
    </row>
    <row r="902" spans="1:2" x14ac:dyDescent="0.3">
      <c r="A902" s="6" t="s">
        <v>787</v>
      </c>
      <c r="B902" s="8">
        <v>65423</v>
      </c>
    </row>
    <row r="903" spans="1:2" x14ac:dyDescent="0.3">
      <c r="A903" s="6" t="s">
        <v>776</v>
      </c>
      <c r="B903" s="8">
        <v>65383</v>
      </c>
    </row>
    <row r="904" spans="1:2" x14ac:dyDescent="0.3">
      <c r="A904" s="6" t="s">
        <v>833</v>
      </c>
      <c r="B904" s="8">
        <v>65288</v>
      </c>
    </row>
    <row r="905" spans="1:2" x14ac:dyDescent="0.3">
      <c r="A905" s="6" t="s">
        <v>839</v>
      </c>
      <c r="B905" s="8">
        <v>65276</v>
      </c>
    </row>
    <row r="906" spans="1:2" x14ac:dyDescent="0.3">
      <c r="A906" s="6" t="s">
        <v>793</v>
      </c>
      <c r="B906" s="8">
        <v>65223</v>
      </c>
    </row>
    <row r="907" spans="1:2" x14ac:dyDescent="0.3">
      <c r="A907" s="6" t="s">
        <v>693</v>
      </c>
      <c r="B907" s="8">
        <v>65209</v>
      </c>
    </row>
    <row r="908" spans="1:2" x14ac:dyDescent="0.3">
      <c r="A908" s="6" t="s">
        <v>797</v>
      </c>
      <c r="B908" s="8">
        <v>65146</v>
      </c>
    </row>
    <row r="909" spans="1:2" x14ac:dyDescent="0.3">
      <c r="A909" s="6" t="s">
        <v>786</v>
      </c>
      <c r="B909" s="8">
        <v>65108</v>
      </c>
    </row>
    <row r="910" spans="1:2" x14ac:dyDescent="0.3">
      <c r="A910" s="6" t="s">
        <v>843</v>
      </c>
      <c r="B910" s="8">
        <v>65100</v>
      </c>
    </row>
    <row r="911" spans="1:2" x14ac:dyDescent="0.3">
      <c r="A911" s="6" t="s">
        <v>668</v>
      </c>
      <c r="B911" s="8">
        <v>65089</v>
      </c>
    </row>
    <row r="912" spans="1:2" x14ac:dyDescent="0.3">
      <c r="A912" s="6" t="s">
        <v>782</v>
      </c>
      <c r="B912" s="8">
        <v>65077</v>
      </c>
    </row>
    <row r="913" spans="1:2" x14ac:dyDescent="0.3">
      <c r="A913" s="6" t="s">
        <v>845</v>
      </c>
      <c r="B913" s="8">
        <v>65076</v>
      </c>
    </row>
    <row r="914" spans="1:2" x14ac:dyDescent="0.3">
      <c r="A914" s="6" t="s">
        <v>673</v>
      </c>
      <c r="B914" s="8">
        <v>65071</v>
      </c>
    </row>
    <row r="915" spans="1:2" x14ac:dyDescent="0.3">
      <c r="A915" s="6" t="s">
        <v>796</v>
      </c>
      <c r="B915" s="8">
        <v>65070</v>
      </c>
    </row>
    <row r="916" spans="1:2" x14ac:dyDescent="0.3">
      <c r="A916" s="6" t="s">
        <v>593</v>
      </c>
      <c r="B916" s="8">
        <v>65068</v>
      </c>
    </row>
    <row r="917" spans="1:2" x14ac:dyDescent="0.3">
      <c r="A917" s="6" t="s">
        <v>789</v>
      </c>
      <c r="B917" s="8">
        <v>65068</v>
      </c>
    </row>
    <row r="918" spans="1:2" x14ac:dyDescent="0.3">
      <c r="A918" s="6" t="s">
        <v>719</v>
      </c>
      <c r="B918" s="8">
        <v>65067</v>
      </c>
    </row>
    <row r="919" spans="1:2" x14ac:dyDescent="0.3">
      <c r="A919" s="6" t="s">
        <v>821</v>
      </c>
      <c r="B919" s="8">
        <v>65066</v>
      </c>
    </row>
    <row r="920" spans="1:2" x14ac:dyDescent="0.3">
      <c r="A920" s="6" t="s">
        <v>715</v>
      </c>
      <c r="B920" s="8">
        <v>65065</v>
      </c>
    </row>
    <row r="921" spans="1:2" x14ac:dyDescent="0.3">
      <c r="A921" s="6" t="s">
        <v>785</v>
      </c>
      <c r="B921" s="8">
        <v>65064</v>
      </c>
    </row>
    <row r="922" spans="1:2" x14ac:dyDescent="0.3">
      <c r="A922" s="6" t="s">
        <v>742</v>
      </c>
      <c r="B922" s="8">
        <v>65064</v>
      </c>
    </row>
    <row r="923" spans="1:2" x14ac:dyDescent="0.3">
      <c r="A923" s="6" t="s">
        <v>731</v>
      </c>
      <c r="B923" s="8">
        <v>65063</v>
      </c>
    </row>
    <row r="924" spans="1:2" x14ac:dyDescent="0.3">
      <c r="A924" s="6" t="s">
        <v>722</v>
      </c>
      <c r="B924" s="8">
        <v>65063</v>
      </c>
    </row>
    <row r="925" spans="1:2" x14ac:dyDescent="0.3">
      <c r="A925" s="6" t="s">
        <v>726</v>
      </c>
      <c r="B925" s="8">
        <v>65063</v>
      </c>
    </row>
    <row r="926" spans="1:2" x14ac:dyDescent="0.3">
      <c r="A926" s="6" t="s">
        <v>679</v>
      </c>
      <c r="B926" s="8">
        <v>65062</v>
      </c>
    </row>
    <row r="927" spans="1:2" x14ac:dyDescent="0.3">
      <c r="A927" s="6" t="s">
        <v>682</v>
      </c>
      <c r="B927" s="8">
        <v>65060</v>
      </c>
    </row>
    <row r="928" spans="1:2" x14ac:dyDescent="0.3">
      <c r="A928" s="6" t="s">
        <v>765</v>
      </c>
      <c r="B928" s="8">
        <v>65060</v>
      </c>
    </row>
    <row r="929" spans="1:2" x14ac:dyDescent="0.3">
      <c r="A929" s="6" t="s">
        <v>672</v>
      </c>
      <c r="B929" s="8">
        <v>65059</v>
      </c>
    </row>
    <row r="930" spans="1:2" x14ac:dyDescent="0.3">
      <c r="A930" s="6" t="s">
        <v>752</v>
      </c>
      <c r="B930" s="8">
        <v>65058</v>
      </c>
    </row>
    <row r="931" spans="1:2" x14ac:dyDescent="0.3">
      <c r="A931" s="6" t="s">
        <v>676</v>
      </c>
      <c r="B931" s="8">
        <v>65056</v>
      </c>
    </row>
    <row r="932" spans="1:2" x14ac:dyDescent="0.3">
      <c r="A932" s="6" t="s">
        <v>739</v>
      </c>
      <c r="B932" s="8">
        <v>65055</v>
      </c>
    </row>
    <row r="933" spans="1:2" x14ac:dyDescent="0.3">
      <c r="A933" s="6" t="s">
        <v>632</v>
      </c>
      <c r="B933" s="8">
        <v>65054</v>
      </c>
    </row>
    <row r="934" spans="1:2" x14ac:dyDescent="0.3">
      <c r="A934" s="6" t="s">
        <v>766</v>
      </c>
      <c r="B934" s="8">
        <v>65054</v>
      </c>
    </row>
    <row r="935" spans="1:2" x14ac:dyDescent="0.3">
      <c r="A935" s="6" t="s">
        <v>738</v>
      </c>
      <c r="B935" s="8">
        <v>65054</v>
      </c>
    </row>
    <row r="936" spans="1:2" x14ac:dyDescent="0.3">
      <c r="A936" s="6" t="s">
        <v>667</v>
      </c>
      <c r="B936" s="8">
        <v>65053</v>
      </c>
    </row>
    <row r="937" spans="1:2" x14ac:dyDescent="0.3">
      <c r="A937" s="6" t="s">
        <v>702</v>
      </c>
      <c r="B937" s="8">
        <v>65053</v>
      </c>
    </row>
    <row r="938" spans="1:2" x14ac:dyDescent="0.3">
      <c r="A938" s="6" t="s">
        <v>660</v>
      </c>
      <c r="B938" s="8">
        <v>65053</v>
      </c>
    </row>
    <row r="939" spans="1:2" x14ac:dyDescent="0.3">
      <c r="A939" s="6" t="s">
        <v>703</v>
      </c>
      <c r="B939" s="8">
        <v>65053</v>
      </c>
    </row>
    <row r="940" spans="1:2" x14ac:dyDescent="0.3">
      <c r="A940" s="6" t="s">
        <v>757</v>
      </c>
      <c r="B940" s="8">
        <v>65052</v>
      </c>
    </row>
    <row r="941" spans="1:2" x14ac:dyDescent="0.3">
      <c r="A941" s="6" t="s">
        <v>764</v>
      </c>
      <c r="B941" s="8">
        <v>65051</v>
      </c>
    </row>
    <row r="942" spans="1:2" x14ac:dyDescent="0.3">
      <c r="A942" s="6" t="s">
        <v>732</v>
      </c>
      <c r="B942" s="8">
        <v>65051</v>
      </c>
    </row>
    <row r="943" spans="1:2" x14ac:dyDescent="0.3">
      <c r="A943" s="6" t="s">
        <v>615</v>
      </c>
      <c r="B943" s="8">
        <v>65048</v>
      </c>
    </row>
    <row r="944" spans="1:2" x14ac:dyDescent="0.3">
      <c r="A944" s="6" t="s">
        <v>683</v>
      </c>
      <c r="B944" s="8">
        <v>65047</v>
      </c>
    </row>
    <row r="945" spans="1:2" x14ac:dyDescent="0.3">
      <c r="A945" s="6" t="s">
        <v>794</v>
      </c>
      <c r="B945" s="8">
        <v>65046</v>
      </c>
    </row>
    <row r="946" spans="1:2" x14ac:dyDescent="0.3">
      <c r="A946" s="6" t="s">
        <v>850</v>
      </c>
      <c r="B946" s="8">
        <v>65046</v>
      </c>
    </row>
    <row r="947" spans="1:2" x14ac:dyDescent="0.3">
      <c r="A947" s="6" t="s">
        <v>740</v>
      </c>
      <c r="B947" s="8">
        <v>65046</v>
      </c>
    </row>
    <row r="948" spans="1:2" x14ac:dyDescent="0.3">
      <c r="A948" s="6" t="s">
        <v>784</v>
      </c>
      <c r="B948" s="8">
        <v>65046</v>
      </c>
    </row>
    <row r="949" spans="1:2" x14ac:dyDescent="0.3">
      <c r="A949" s="6" t="s">
        <v>849</v>
      </c>
      <c r="B949" s="8">
        <v>65046</v>
      </c>
    </row>
    <row r="950" spans="1:2" x14ac:dyDescent="0.3">
      <c r="A950" s="6" t="s">
        <v>854</v>
      </c>
      <c r="B950" s="8">
        <v>65045</v>
      </c>
    </row>
    <row r="951" spans="1:2" x14ac:dyDescent="0.3">
      <c r="A951" s="6" t="s">
        <v>652</v>
      </c>
      <c r="B951" s="8">
        <v>65044</v>
      </c>
    </row>
    <row r="952" spans="1:2" x14ac:dyDescent="0.3">
      <c r="A952" s="6" t="s">
        <v>852</v>
      </c>
      <c r="B952" s="8">
        <v>65044</v>
      </c>
    </row>
    <row r="953" spans="1:2" x14ac:dyDescent="0.3">
      <c r="A953" s="6" t="s">
        <v>743</v>
      </c>
      <c r="B953" s="8">
        <v>65043</v>
      </c>
    </row>
    <row r="954" spans="1:2" x14ac:dyDescent="0.3">
      <c r="A954" s="6" t="s">
        <v>760</v>
      </c>
      <c r="B954" s="8">
        <v>65041</v>
      </c>
    </row>
    <row r="955" spans="1:2" x14ac:dyDescent="0.3">
      <c r="A955" s="6" t="s">
        <v>704</v>
      </c>
      <c r="B955" s="8">
        <v>65041</v>
      </c>
    </row>
    <row r="956" spans="1:2" x14ac:dyDescent="0.3">
      <c r="A956" s="6" t="s">
        <v>853</v>
      </c>
      <c r="B956" s="8">
        <v>65041</v>
      </c>
    </row>
    <row r="957" spans="1:2" x14ac:dyDescent="0.3">
      <c r="A957" s="6" t="s">
        <v>675</v>
      </c>
      <c r="B957" s="8">
        <v>65040</v>
      </c>
    </row>
    <row r="958" spans="1:2" x14ac:dyDescent="0.3">
      <c r="A958" s="6" t="s">
        <v>680</v>
      </c>
      <c r="B958" s="8">
        <v>65040</v>
      </c>
    </row>
    <row r="959" spans="1:2" x14ac:dyDescent="0.3">
      <c r="A959" s="6" t="s">
        <v>758</v>
      </c>
      <c r="B959" s="8">
        <v>65040</v>
      </c>
    </row>
    <row r="960" spans="1:2" x14ac:dyDescent="0.3">
      <c r="A960" s="6" t="s">
        <v>772</v>
      </c>
      <c r="B960" s="8">
        <v>65040</v>
      </c>
    </row>
    <row r="961" spans="1:2" x14ac:dyDescent="0.3">
      <c r="A961" s="6" t="s">
        <v>799</v>
      </c>
      <c r="B961" s="8">
        <v>65040</v>
      </c>
    </row>
    <row r="962" spans="1:2" x14ac:dyDescent="0.3">
      <c r="A962" s="6" t="s">
        <v>705</v>
      </c>
      <c r="B962" s="8">
        <v>65039</v>
      </c>
    </row>
    <row r="963" spans="1:2" x14ac:dyDescent="0.3">
      <c r="A963" s="6" t="s">
        <v>770</v>
      </c>
      <c r="B963" s="8">
        <v>65039</v>
      </c>
    </row>
    <row r="964" spans="1:2" x14ac:dyDescent="0.3">
      <c r="A964" s="6" t="s">
        <v>844</v>
      </c>
      <c r="B964" s="8">
        <v>65039</v>
      </c>
    </row>
    <row r="965" spans="1:2" x14ac:dyDescent="0.3">
      <c r="A965" s="6" t="s">
        <v>735</v>
      </c>
      <c r="B965" s="8">
        <v>65038</v>
      </c>
    </row>
    <row r="966" spans="1:2" x14ac:dyDescent="0.3">
      <c r="A966" s="6" t="s">
        <v>756</v>
      </c>
      <c r="B966" s="8">
        <v>65038</v>
      </c>
    </row>
    <row r="967" spans="1:2" x14ac:dyDescent="0.3">
      <c r="A967" s="6" t="s">
        <v>763</v>
      </c>
      <c r="B967" s="8">
        <v>65038</v>
      </c>
    </row>
    <row r="968" spans="1:2" x14ac:dyDescent="0.3">
      <c r="A968" s="6" t="s">
        <v>594</v>
      </c>
      <c r="B968" s="8">
        <v>65038</v>
      </c>
    </row>
    <row r="969" spans="1:2" x14ac:dyDescent="0.3">
      <c r="A969" s="6" t="s">
        <v>583</v>
      </c>
      <c r="B969" s="8">
        <v>65037</v>
      </c>
    </row>
    <row r="970" spans="1:2" x14ac:dyDescent="0.3">
      <c r="A970" s="6" t="s">
        <v>783</v>
      </c>
      <c r="B970" s="8">
        <v>65037</v>
      </c>
    </row>
    <row r="971" spans="1:2" x14ac:dyDescent="0.3">
      <c r="A971" s="6" t="s">
        <v>727</v>
      </c>
      <c r="B971" s="8">
        <v>65036</v>
      </c>
    </row>
    <row r="972" spans="1:2" x14ac:dyDescent="0.3">
      <c r="A972" s="6" t="s">
        <v>642</v>
      </c>
      <c r="B972" s="8">
        <v>65036</v>
      </c>
    </row>
    <row r="973" spans="1:2" x14ac:dyDescent="0.3">
      <c r="A973" s="6" t="s">
        <v>728</v>
      </c>
      <c r="B973" s="8">
        <v>65035</v>
      </c>
    </row>
    <row r="974" spans="1:2" x14ac:dyDescent="0.3">
      <c r="A974" s="6" t="s">
        <v>713</v>
      </c>
      <c r="B974" s="8">
        <v>65035</v>
      </c>
    </row>
    <row r="975" spans="1:2" x14ac:dyDescent="0.3">
      <c r="A975" s="6" t="s">
        <v>775</v>
      </c>
      <c r="B975" s="8">
        <v>65035</v>
      </c>
    </row>
    <row r="976" spans="1:2" x14ac:dyDescent="0.3">
      <c r="A976" s="6" t="s">
        <v>723</v>
      </c>
      <c r="B976" s="8">
        <v>65034</v>
      </c>
    </row>
    <row r="977" spans="1:2" x14ac:dyDescent="0.3">
      <c r="A977" s="6" t="s">
        <v>773</v>
      </c>
      <c r="B977" s="8">
        <v>65034</v>
      </c>
    </row>
    <row r="978" spans="1:2" x14ac:dyDescent="0.3">
      <c r="A978" s="6" t="s">
        <v>774</v>
      </c>
      <c r="B978" s="8">
        <v>65033</v>
      </c>
    </row>
    <row r="979" spans="1:2" x14ac:dyDescent="0.3">
      <c r="A979" s="6" t="s">
        <v>690</v>
      </c>
      <c r="B979" s="8">
        <v>65033</v>
      </c>
    </row>
    <row r="980" spans="1:2" x14ac:dyDescent="0.3">
      <c r="A980" s="6" t="s">
        <v>761</v>
      </c>
      <c r="B980" s="8">
        <v>65033</v>
      </c>
    </row>
    <row r="981" spans="1:2" x14ac:dyDescent="0.3">
      <c r="A981" s="6" t="s">
        <v>762</v>
      </c>
      <c r="B981" s="8">
        <v>65033</v>
      </c>
    </row>
    <row r="982" spans="1:2" x14ac:dyDescent="0.3">
      <c r="A982" s="6" t="s">
        <v>711</v>
      </c>
      <c r="B982" s="8">
        <v>65031</v>
      </c>
    </row>
    <row r="983" spans="1:2" x14ac:dyDescent="0.3">
      <c r="A983" s="6" t="s">
        <v>991</v>
      </c>
      <c r="B983" s="4">
        <v>130886930144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36CD-75F1-43E5-A478-065FF7B809BD}">
  <dimension ref="A2:B982"/>
  <sheetViews>
    <sheetView workbookViewId="0">
      <selection activeCell="A10" sqref="A10"/>
    </sheetView>
  </sheetViews>
  <sheetFormatPr defaultRowHeight="14.4" x14ac:dyDescent="0.3"/>
  <cols>
    <col min="1" max="1" width="90.21875" bestFit="1" customWidth="1"/>
    <col min="2" max="2" width="13.88671875" bestFit="1" customWidth="1"/>
  </cols>
  <sheetData>
    <row r="2" spans="1:2" ht="25.8" x14ac:dyDescent="0.5">
      <c r="A2" s="10" t="s">
        <v>994</v>
      </c>
    </row>
    <row r="3" spans="1:2" x14ac:dyDescent="0.3">
      <c r="A3" s="5" t="s">
        <v>990</v>
      </c>
      <c r="B3" t="s">
        <v>993</v>
      </c>
    </row>
    <row r="4" spans="1:2" x14ac:dyDescent="0.3">
      <c r="A4" s="6" t="s">
        <v>269</v>
      </c>
      <c r="B4" s="8">
        <v>58284896</v>
      </c>
    </row>
    <row r="5" spans="1:2" x14ac:dyDescent="0.3">
      <c r="A5" s="6" t="s">
        <v>201</v>
      </c>
      <c r="B5" s="8">
        <v>46355256</v>
      </c>
    </row>
    <row r="6" spans="1:2" x14ac:dyDescent="0.3">
      <c r="A6" s="6" t="s">
        <v>273</v>
      </c>
      <c r="B6" s="8">
        <v>42037409</v>
      </c>
    </row>
    <row r="7" spans="1:2" x14ac:dyDescent="0.3">
      <c r="A7" s="6" t="s">
        <v>239</v>
      </c>
      <c r="B7" s="8">
        <v>38453146</v>
      </c>
    </row>
    <row r="8" spans="1:2" x14ac:dyDescent="0.3">
      <c r="A8" s="6" t="s">
        <v>275</v>
      </c>
      <c r="B8" s="8">
        <v>36370869</v>
      </c>
    </row>
    <row r="9" spans="1:2" x14ac:dyDescent="0.3">
      <c r="A9" s="6" t="s">
        <v>54</v>
      </c>
      <c r="B9" s="8">
        <v>34927313</v>
      </c>
    </row>
    <row r="10" spans="1:2" x14ac:dyDescent="0.3">
      <c r="A10" s="6" t="s">
        <v>234</v>
      </c>
      <c r="B10" s="8">
        <v>31173271</v>
      </c>
    </row>
    <row r="11" spans="1:2" x14ac:dyDescent="0.3">
      <c r="A11" s="6" t="s">
        <v>271</v>
      </c>
      <c r="B11" s="8">
        <v>31098607</v>
      </c>
    </row>
    <row r="12" spans="1:2" x14ac:dyDescent="0.3">
      <c r="A12" s="6" t="s">
        <v>259</v>
      </c>
      <c r="B12" s="8">
        <v>30632956</v>
      </c>
    </row>
    <row r="13" spans="1:2" x14ac:dyDescent="0.3">
      <c r="A13" s="6" t="s">
        <v>262</v>
      </c>
      <c r="B13" s="8">
        <v>30271166</v>
      </c>
    </row>
    <row r="14" spans="1:2" x14ac:dyDescent="0.3">
      <c r="A14" s="6" t="s">
        <v>412</v>
      </c>
      <c r="B14" s="8">
        <v>30217888</v>
      </c>
    </row>
    <row r="15" spans="1:2" x14ac:dyDescent="0.3">
      <c r="A15" s="6" t="s">
        <v>236</v>
      </c>
      <c r="B15" s="8">
        <v>30090152</v>
      </c>
    </row>
    <row r="16" spans="1:2" x14ac:dyDescent="0.3">
      <c r="A16" s="6" t="s">
        <v>258</v>
      </c>
      <c r="B16" s="8">
        <v>29376509</v>
      </c>
    </row>
    <row r="17" spans="1:2" x14ac:dyDescent="0.3">
      <c r="A17" s="6" t="s">
        <v>195</v>
      </c>
      <c r="B17" s="8">
        <v>28560806</v>
      </c>
    </row>
    <row r="18" spans="1:2" x14ac:dyDescent="0.3">
      <c r="A18" s="6" t="s">
        <v>250</v>
      </c>
      <c r="B18" s="8">
        <v>27586644</v>
      </c>
    </row>
    <row r="19" spans="1:2" x14ac:dyDescent="0.3">
      <c r="A19" s="6" t="s">
        <v>232</v>
      </c>
      <c r="B19" s="8">
        <v>27136649</v>
      </c>
    </row>
    <row r="20" spans="1:2" x14ac:dyDescent="0.3">
      <c r="A20" s="6" t="s">
        <v>199</v>
      </c>
      <c r="B20" s="8">
        <v>26575642</v>
      </c>
    </row>
    <row r="21" spans="1:2" x14ac:dyDescent="0.3">
      <c r="A21" s="6" t="s">
        <v>252</v>
      </c>
      <c r="B21" s="8">
        <v>26241912</v>
      </c>
    </row>
    <row r="22" spans="1:2" x14ac:dyDescent="0.3">
      <c r="A22" s="6" t="s">
        <v>235</v>
      </c>
      <c r="B22" s="8">
        <v>25215900</v>
      </c>
    </row>
    <row r="23" spans="1:2" x14ac:dyDescent="0.3">
      <c r="A23" s="6" t="s">
        <v>260</v>
      </c>
      <c r="B23" s="8">
        <v>24373873</v>
      </c>
    </row>
    <row r="24" spans="1:2" x14ac:dyDescent="0.3">
      <c r="A24" s="6" t="s">
        <v>96</v>
      </c>
      <c r="B24" s="8">
        <v>23734250</v>
      </c>
    </row>
    <row r="25" spans="1:2" x14ac:dyDescent="0.3">
      <c r="A25" s="6" t="s">
        <v>190</v>
      </c>
      <c r="B25" s="8">
        <v>23245946</v>
      </c>
    </row>
    <row r="26" spans="1:2" x14ac:dyDescent="0.3">
      <c r="A26" s="6" t="s">
        <v>226</v>
      </c>
      <c r="B26" s="8">
        <v>22393089</v>
      </c>
    </row>
    <row r="27" spans="1:2" x14ac:dyDescent="0.3">
      <c r="A27" s="6" t="s">
        <v>248</v>
      </c>
      <c r="B27" s="8">
        <v>22296213</v>
      </c>
    </row>
    <row r="28" spans="1:2" x14ac:dyDescent="0.3">
      <c r="A28" s="6" t="s">
        <v>265</v>
      </c>
      <c r="B28" s="8">
        <v>22148024</v>
      </c>
    </row>
    <row r="29" spans="1:2" x14ac:dyDescent="0.3">
      <c r="A29" s="6" t="s">
        <v>227</v>
      </c>
      <c r="B29" s="8">
        <v>21942870</v>
      </c>
    </row>
    <row r="30" spans="1:2" x14ac:dyDescent="0.3">
      <c r="A30" s="6" t="s">
        <v>246</v>
      </c>
      <c r="B30" s="8">
        <v>21408214</v>
      </c>
    </row>
    <row r="31" spans="1:2" x14ac:dyDescent="0.3">
      <c r="A31" s="6" t="s">
        <v>185</v>
      </c>
      <c r="B31" s="8">
        <v>20410996</v>
      </c>
    </row>
    <row r="32" spans="1:2" x14ac:dyDescent="0.3">
      <c r="A32" s="6" t="s">
        <v>238</v>
      </c>
      <c r="B32" s="8">
        <v>20385519</v>
      </c>
    </row>
    <row r="33" spans="1:2" x14ac:dyDescent="0.3">
      <c r="A33" s="6" t="s">
        <v>289</v>
      </c>
      <c r="B33" s="8">
        <v>20041207</v>
      </c>
    </row>
    <row r="34" spans="1:2" x14ac:dyDescent="0.3">
      <c r="A34" s="6" t="s">
        <v>156</v>
      </c>
      <c r="B34" s="8">
        <v>19342713</v>
      </c>
    </row>
    <row r="35" spans="1:2" x14ac:dyDescent="0.3">
      <c r="A35" s="6" t="s">
        <v>145</v>
      </c>
      <c r="B35" s="8">
        <v>18186040</v>
      </c>
    </row>
    <row r="36" spans="1:2" x14ac:dyDescent="0.3">
      <c r="A36" s="6" t="s">
        <v>176</v>
      </c>
      <c r="B36" s="8">
        <v>18116647</v>
      </c>
    </row>
    <row r="37" spans="1:2" x14ac:dyDescent="0.3">
      <c r="A37" s="6" t="s">
        <v>166</v>
      </c>
      <c r="B37" s="8">
        <v>17882490</v>
      </c>
    </row>
    <row r="38" spans="1:2" x14ac:dyDescent="0.3">
      <c r="A38" s="6" t="s">
        <v>181</v>
      </c>
      <c r="B38" s="8">
        <v>17596005</v>
      </c>
    </row>
    <row r="39" spans="1:2" x14ac:dyDescent="0.3">
      <c r="A39" s="6" t="s">
        <v>254</v>
      </c>
      <c r="B39" s="8">
        <v>16934409</v>
      </c>
    </row>
    <row r="40" spans="1:2" x14ac:dyDescent="0.3">
      <c r="A40" s="6" t="s">
        <v>211</v>
      </c>
      <c r="B40" s="8">
        <v>16515463</v>
      </c>
    </row>
    <row r="41" spans="1:2" x14ac:dyDescent="0.3">
      <c r="A41" s="6" t="s">
        <v>218</v>
      </c>
      <c r="B41" s="8">
        <v>16095881</v>
      </c>
    </row>
    <row r="42" spans="1:2" x14ac:dyDescent="0.3">
      <c r="A42" s="6" t="s">
        <v>219</v>
      </c>
      <c r="B42" s="8">
        <v>15852700</v>
      </c>
    </row>
    <row r="43" spans="1:2" x14ac:dyDescent="0.3">
      <c r="A43" s="6" t="s">
        <v>240</v>
      </c>
      <c r="B43" s="8">
        <v>15642985</v>
      </c>
    </row>
    <row r="44" spans="1:2" x14ac:dyDescent="0.3">
      <c r="A44" s="6" t="s">
        <v>209</v>
      </c>
      <c r="B44" s="8">
        <v>15192554</v>
      </c>
    </row>
    <row r="45" spans="1:2" x14ac:dyDescent="0.3">
      <c r="A45" s="6" t="s">
        <v>208</v>
      </c>
      <c r="B45" s="8">
        <v>14694240</v>
      </c>
    </row>
    <row r="46" spans="1:2" x14ac:dyDescent="0.3">
      <c r="A46" s="6" t="s">
        <v>264</v>
      </c>
      <c r="B46" s="8">
        <v>14429211</v>
      </c>
    </row>
    <row r="47" spans="1:2" x14ac:dyDescent="0.3">
      <c r="A47" s="6" t="s">
        <v>242</v>
      </c>
      <c r="B47" s="8">
        <v>14303407</v>
      </c>
    </row>
    <row r="48" spans="1:2" x14ac:dyDescent="0.3">
      <c r="A48" s="6" t="s">
        <v>164</v>
      </c>
      <c r="B48" s="8">
        <v>14239088</v>
      </c>
    </row>
    <row r="49" spans="1:2" x14ac:dyDescent="0.3">
      <c r="A49" s="6" t="s">
        <v>154</v>
      </c>
      <c r="B49" s="8">
        <v>14167719</v>
      </c>
    </row>
    <row r="50" spans="1:2" x14ac:dyDescent="0.3">
      <c r="A50" s="6" t="s">
        <v>18</v>
      </c>
      <c r="B50" s="8">
        <v>14146683</v>
      </c>
    </row>
    <row r="51" spans="1:2" x14ac:dyDescent="0.3">
      <c r="A51" s="6" t="s">
        <v>167</v>
      </c>
      <c r="B51" s="8">
        <v>14097247</v>
      </c>
    </row>
    <row r="52" spans="1:2" x14ac:dyDescent="0.3">
      <c r="A52" s="6" t="s">
        <v>197</v>
      </c>
      <c r="B52" s="8">
        <v>14065500</v>
      </c>
    </row>
    <row r="53" spans="1:2" x14ac:dyDescent="0.3">
      <c r="A53" s="6" t="s">
        <v>244</v>
      </c>
      <c r="B53" s="8">
        <v>13889755</v>
      </c>
    </row>
    <row r="54" spans="1:2" x14ac:dyDescent="0.3">
      <c r="A54" s="6" t="s">
        <v>223</v>
      </c>
      <c r="B54" s="8">
        <v>13869865</v>
      </c>
    </row>
    <row r="55" spans="1:2" x14ac:dyDescent="0.3">
      <c r="A55" s="6" t="s">
        <v>149</v>
      </c>
      <c r="B55" s="8">
        <v>13848986</v>
      </c>
    </row>
    <row r="56" spans="1:2" x14ac:dyDescent="0.3">
      <c r="A56" s="6" t="s">
        <v>163</v>
      </c>
      <c r="B56" s="8">
        <v>13659548</v>
      </c>
    </row>
    <row r="57" spans="1:2" x14ac:dyDescent="0.3">
      <c r="A57" s="6" t="s">
        <v>160</v>
      </c>
      <c r="B57" s="8">
        <v>13590604</v>
      </c>
    </row>
    <row r="58" spans="1:2" x14ac:dyDescent="0.3">
      <c r="A58" s="6" t="s">
        <v>210</v>
      </c>
      <c r="B58" s="8">
        <v>13512035</v>
      </c>
    </row>
    <row r="59" spans="1:2" x14ac:dyDescent="0.3">
      <c r="A59" s="6" t="s">
        <v>256</v>
      </c>
      <c r="B59" s="8">
        <v>13397253</v>
      </c>
    </row>
    <row r="60" spans="1:2" x14ac:dyDescent="0.3">
      <c r="A60" s="6" t="s">
        <v>137</v>
      </c>
      <c r="B60" s="8">
        <v>13249291</v>
      </c>
    </row>
    <row r="61" spans="1:2" x14ac:dyDescent="0.3">
      <c r="A61" s="6" t="s">
        <v>192</v>
      </c>
      <c r="B61" s="8">
        <v>12961525</v>
      </c>
    </row>
    <row r="62" spans="1:2" x14ac:dyDescent="0.3">
      <c r="A62" s="6" t="s">
        <v>230</v>
      </c>
      <c r="B62" s="8">
        <v>12905894</v>
      </c>
    </row>
    <row r="63" spans="1:2" x14ac:dyDescent="0.3">
      <c r="A63" s="6" t="s">
        <v>153</v>
      </c>
      <c r="B63" s="8">
        <v>12873323</v>
      </c>
    </row>
    <row r="64" spans="1:2" x14ac:dyDescent="0.3">
      <c r="A64" s="6" t="s">
        <v>143</v>
      </c>
      <c r="B64" s="8">
        <v>12649855</v>
      </c>
    </row>
    <row r="65" spans="1:2" x14ac:dyDescent="0.3">
      <c r="A65" s="6" t="s">
        <v>89</v>
      </c>
      <c r="B65" s="8">
        <v>12496914</v>
      </c>
    </row>
    <row r="66" spans="1:2" x14ac:dyDescent="0.3">
      <c r="A66" s="6" t="s">
        <v>179</v>
      </c>
      <c r="B66" s="8">
        <v>12466964</v>
      </c>
    </row>
    <row r="67" spans="1:2" x14ac:dyDescent="0.3">
      <c r="A67" s="6" t="s">
        <v>189</v>
      </c>
      <c r="B67" s="8">
        <v>11973986</v>
      </c>
    </row>
    <row r="68" spans="1:2" x14ac:dyDescent="0.3">
      <c r="A68" s="6" t="s">
        <v>196</v>
      </c>
      <c r="B68" s="8">
        <v>11902518</v>
      </c>
    </row>
    <row r="69" spans="1:2" x14ac:dyDescent="0.3">
      <c r="A69" s="6" t="s">
        <v>91</v>
      </c>
      <c r="B69" s="8">
        <v>11579479</v>
      </c>
    </row>
    <row r="70" spans="1:2" x14ac:dyDescent="0.3">
      <c r="A70" s="6" t="s">
        <v>184</v>
      </c>
      <c r="B70" s="8">
        <v>11491960</v>
      </c>
    </row>
    <row r="71" spans="1:2" x14ac:dyDescent="0.3">
      <c r="A71" s="6" t="s">
        <v>229</v>
      </c>
      <c r="B71" s="8">
        <v>11416973</v>
      </c>
    </row>
    <row r="72" spans="1:2" x14ac:dyDescent="0.3">
      <c r="A72" s="6" t="s">
        <v>161</v>
      </c>
      <c r="B72" s="8">
        <v>11215697</v>
      </c>
    </row>
    <row r="73" spans="1:2" x14ac:dyDescent="0.3">
      <c r="A73" s="6" t="s">
        <v>170</v>
      </c>
      <c r="B73" s="8">
        <v>11173042</v>
      </c>
    </row>
    <row r="74" spans="1:2" x14ac:dyDescent="0.3">
      <c r="A74" s="6" t="s">
        <v>224</v>
      </c>
      <c r="B74" s="8">
        <v>11053068</v>
      </c>
    </row>
    <row r="75" spans="1:2" x14ac:dyDescent="0.3">
      <c r="A75" s="6" t="s">
        <v>203</v>
      </c>
      <c r="B75" s="8">
        <v>11048808</v>
      </c>
    </row>
    <row r="76" spans="1:2" x14ac:dyDescent="0.3">
      <c r="A76" s="6" t="s">
        <v>191</v>
      </c>
      <c r="B76" s="8">
        <v>10835322</v>
      </c>
    </row>
    <row r="77" spans="1:2" x14ac:dyDescent="0.3">
      <c r="A77" s="6" t="s">
        <v>202</v>
      </c>
      <c r="B77" s="8">
        <v>10809803</v>
      </c>
    </row>
    <row r="78" spans="1:2" x14ac:dyDescent="0.3">
      <c r="A78" s="6" t="s">
        <v>169</v>
      </c>
      <c r="B78" s="8">
        <v>10440135</v>
      </c>
    </row>
    <row r="79" spans="1:2" x14ac:dyDescent="0.3">
      <c r="A79" s="6" t="s">
        <v>225</v>
      </c>
      <c r="B79" s="8">
        <v>10438121</v>
      </c>
    </row>
    <row r="80" spans="1:2" x14ac:dyDescent="0.3">
      <c r="A80" s="6" t="s">
        <v>266</v>
      </c>
      <c r="B80" s="8">
        <v>10381263</v>
      </c>
    </row>
    <row r="81" spans="1:2" x14ac:dyDescent="0.3">
      <c r="A81" s="6" t="s">
        <v>128</v>
      </c>
      <c r="B81" s="8">
        <v>10233050</v>
      </c>
    </row>
    <row r="82" spans="1:2" x14ac:dyDescent="0.3">
      <c r="A82" s="6" t="s">
        <v>194</v>
      </c>
      <c r="B82" s="8">
        <v>10012699</v>
      </c>
    </row>
    <row r="83" spans="1:2" x14ac:dyDescent="0.3">
      <c r="A83" s="6" t="s">
        <v>183</v>
      </c>
      <c r="B83" s="8">
        <v>9756553</v>
      </c>
    </row>
    <row r="84" spans="1:2" x14ac:dyDescent="0.3">
      <c r="A84" s="6" t="s">
        <v>158</v>
      </c>
      <c r="B84" s="8">
        <v>9750373</v>
      </c>
    </row>
    <row r="85" spans="1:2" x14ac:dyDescent="0.3">
      <c r="A85" s="6" t="s">
        <v>94</v>
      </c>
      <c r="B85" s="8">
        <v>9690800</v>
      </c>
    </row>
    <row r="86" spans="1:2" x14ac:dyDescent="0.3">
      <c r="A86" s="6" t="s">
        <v>123</v>
      </c>
      <c r="B86" s="8">
        <v>9544909</v>
      </c>
    </row>
    <row r="87" spans="1:2" x14ac:dyDescent="0.3">
      <c r="A87" s="6" t="s">
        <v>157</v>
      </c>
      <c r="B87" s="8">
        <v>9250620</v>
      </c>
    </row>
    <row r="88" spans="1:2" x14ac:dyDescent="0.3">
      <c r="A88" s="6" t="s">
        <v>261</v>
      </c>
      <c r="B88" s="8">
        <v>9086953</v>
      </c>
    </row>
    <row r="89" spans="1:2" x14ac:dyDescent="0.3">
      <c r="A89" s="6" t="s">
        <v>188</v>
      </c>
      <c r="B89" s="8">
        <v>9069627</v>
      </c>
    </row>
    <row r="90" spans="1:2" x14ac:dyDescent="0.3">
      <c r="A90" s="6" t="s">
        <v>139</v>
      </c>
      <c r="B90" s="8">
        <v>8957930</v>
      </c>
    </row>
    <row r="91" spans="1:2" x14ac:dyDescent="0.3">
      <c r="A91" s="6" t="s">
        <v>50</v>
      </c>
      <c r="B91" s="8">
        <v>8917138</v>
      </c>
    </row>
    <row r="92" spans="1:2" x14ac:dyDescent="0.3">
      <c r="A92" s="6" t="s">
        <v>119</v>
      </c>
      <c r="B92" s="8">
        <v>8560441</v>
      </c>
    </row>
    <row r="93" spans="1:2" x14ac:dyDescent="0.3">
      <c r="A93" s="6" t="s">
        <v>105</v>
      </c>
      <c r="B93" s="8">
        <v>8545980</v>
      </c>
    </row>
    <row r="94" spans="1:2" x14ac:dyDescent="0.3">
      <c r="A94" s="6" t="s">
        <v>171</v>
      </c>
      <c r="B94" s="8">
        <v>8534718</v>
      </c>
    </row>
    <row r="95" spans="1:2" x14ac:dyDescent="0.3">
      <c r="A95" s="6" t="s">
        <v>173</v>
      </c>
      <c r="B95" s="8">
        <v>8513082</v>
      </c>
    </row>
    <row r="96" spans="1:2" x14ac:dyDescent="0.3">
      <c r="A96" s="6" t="s">
        <v>146</v>
      </c>
      <c r="B96" s="8">
        <v>8507821</v>
      </c>
    </row>
    <row r="97" spans="1:2" x14ac:dyDescent="0.3">
      <c r="A97" s="6" t="s">
        <v>59</v>
      </c>
      <c r="B97" s="8">
        <v>8501751</v>
      </c>
    </row>
    <row r="98" spans="1:2" x14ac:dyDescent="0.3">
      <c r="A98" s="6" t="s">
        <v>253</v>
      </c>
      <c r="B98" s="8">
        <v>8457520</v>
      </c>
    </row>
    <row r="99" spans="1:2" x14ac:dyDescent="0.3">
      <c r="A99" s="6" t="s">
        <v>159</v>
      </c>
      <c r="B99" s="8">
        <v>8446700</v>
      </c>
    </row>
    <row r="100" spans="1:2" x14ac:dyDescent="0.3">
      <c r="A100" s="6" t="s">
        <v>249</v>
      </c>
      <c r="B100" s="8">
        <v>8395881</v>
      </c>
    </row>
    <row r="101" spans="1:2" x14ac:dyDescent="0.3">
      <c r="A101" s="6" t="s">
        <v>305</v>
      </c>
      <c r="B101" s="8">
        <v>8348099</v>
      </c>
    </row>
    <row r="102" spans="1:2" x14ac:dyDescent="0.3">
      <c r="A102" s="6" t="s">
        <v>174</v>
      </c>
      <c r="B102" s="8">
        <v>8313824</v>
      </c>
    </row>
    <row r="103" spans="1:2" x14ac:dyDescent="0.3">
      <c r="A103" s="6" t="s">
        <v>222</v>
      </c>
      <c r="B103" s="8">
        <v>8307146</v>
      </c>
    </row>
    <row r="104" spans="1:2" x14ac:dyDescent="0.3">
      <c r="A104" s="6" t="s">
        <v>177</v>
      </c>
      <c r="B104" s="8">
        <v>8270857</v>
      </c>
    </row>
    <row r="105" spans="1:2" x14ac:dyDescent="0.3">
      <c r="A105" s="6" t="s">
        <v>117</v>
      </c>
      <c r="B105" s="8">
        <v>8234604</v>
      </c>
    </row>
    <row r="106" spans="1:2" x14ac:dyDescent="0.3">
      <c r="A106" s="6" t="s">
        <v>237</v>
      </c>
      <c r="B106" s="8">
        <v>8195535</v>
      </c>
    </row>
    <row r="107" spans="1:2" x14ac:dyDescent="0.3">
      <c r="A107" s="6" t="s">
        <v>31</v>
      </c>
      <c r="B107" s="8">
        <v>8112213</v>
      </c>
    </row>
    <row r="108" spans="1:2" x14ac:dyDescent="0.3">
      <c r="A108" s="6" t="s">
        <v>186</v>
      </c>
      <c r="B108" s="8">
        <v>8002892</v>
      </c>
    </row>
    <row r="109" spans="1:2" x14ac:dyDescent="0.3">
      <c r="A109" s="6" t="s">
        <v>144</v>
      </c>
      <c r="B109" s="8">
        <v>7992608</v>
      </c>
    </row>
    <row r="110" spans="1:2" x14ac:dyDescent="0.3">
      <c r="A110" s="6" t="s">
        <v>205</v>
      </c>
      <c r="B110" s="8">
        <v>7981157</v>
      </c>
    </row>
    <row r="111" spans="1:2" x14ac:dyDescent="0.3">
      <c r="A111" s="6" t="s">
        <v>294</v>
      </c>
      <c r="B111" s="8">
        <v>7913972</v>
      </c>
    </row>
    <row r="112" spans="1:2" x14ac:dyDescent="0.3">
      <c r="A112" s="6" t="s">
        <v>204</v>
      </c>
      <c r="B112" s="8">
        <v>7725619</v>
      </c>
    </row>
    <row r="113" spans="1:2" x14ac:dyDescent="0.3">
      <c r="A113" s="6" t="s">
        <v>274</v>
      </c>
      <c r="B113" s="8">
        <v>7705582</v>
      </c>
    </row>
    <row r="114" spans="1:2" x14ac:dyDescent="0.3">
      <c r="A114" s="6" t="s">
        <v>220</v>
      </c>
      <c r="B114" s="8">
        <v>7590609</v>
      </c>
    </row>
    <row r="115" spans="1:2" x14ac:dyDescent="0.3">
      <c r="A115" s="6" t="s">
        <v>336</v>
      </c>
      <c r="B115" s="8">
        <v>7557690</v>
      </c>
    </row>
    <row r="116" spans="1:2" x14ac:dyDescent="0.3">
      <c r="A116" s="6" t="s">
        <v>320</v>
      </c>
      <c r="B116" s="8">
        <v>7367628</v>
      </c>
    </row>
    <row r="117" spans="1:2" x14ac:dyDescent="0.3">
      <c r="A117" s="6" t="s">
        <v>279</v>
      </c>
      <c r="B117" s="8">
        <v>7174090</v>
      </c>
    </row>
    <row r="118" spans="1:2" x14ac:dyDescent="0.3">
      <c r="A118" s="6" t="s">
        <v>131</v>
      </c>
      <c r="B118" s="8">
        <v>7116073</v>
      </c>
    </row>
    <row r="119" spans="1:2" x14ac:dyDescent="0.3">
      <c r="A119" s="6" t="s">
        <v>314</v>
      </c>
      <c r="B119" s="8">
        <v>7098745</v>
      </c>
    </row>
    <row r="120" spans="1:2" x14ac:dyDescent="0.3">
      <c r="A120" s="6" t="s">
        <v>130</v>
      </c>
      <c r="B120" s="8">
        <v>7004817</v>
      </c>
    </row>
    <row r="121" spans="1:2" x14ac:dyDescent="0.3">
      <c r="A121" s="6" t="s">
        <v>115</v>
      </c>
      <c r="B121" s="8">
        <v>6969414</v>
      </c>
    </row>
    <row r="122" spans="1:2" x14ac:dyDescent="0.3">
      <c r="A122" s="6" t="s">
        <v>282</v>
      </c>
      <c r="B122" s="8">
        <v>6950863</v>
      </c>
    </row>
    <row r="123" spans="1:2" x14ac:dyDescent="0.3">
      <c r="A123" s="6" t="s">
        <v>217</v>
      </c>
      <c r="B123" s="8">
        <v>6944270</v>
      </c>
    </row>
    <row r="124" spans="1:2" x14ac:dyDescent="0.3">
      <c r="A124" s="6" t="s">
        <v>187</v>
      </c>
      <c r="B124" s="8">
        <v>6876080</v>
      </c>
    </row>
    <row r="125" spans="1:2" x14ac:dyDescent="0.3">
      <c r="A125" s="6" t="s">
        <v>247</v>
      </c>
      <c r="B125" s="8">
        <v>6843185</v>
      </c>
    </row>
    <row r="126" spans="1:2" x14ac:dyDescent="0.3">
      <c r="A126" s="6" t="s">
        <v>212</v>
      </c>
      <c r="B126" s="8">
        <v>6831068</v>
      </c>
    </row>
    <row r="127" spans="1:2" x14ac:dyDescent="0.3">
      <c r="A127" s="6" t="s">
        <v>207</v>
      </c>
      <c r="B127" s="8">
        <v>6796150</v>
      </c>
    </row>
    <row r="128" spans="1:2" x14ac:dyDescent="0.3">
      <c r="A128" s="6" t="s">
        <v>233</v>
      </c>
      <c r="B128" s="8">
        <v>6751592</v>
      </c>
    </row>
    <row r="129" spans="1:2" x14ac:dyDescent="0.3">
      <c r="A129" s="6" t="s">
        <v>216</v>
      </c>
      <c r="B129" s="8">
        <v>6748579</v>
      </c>
    </row>
    <row r="130" spans="1:2" x14ac:dyDescent="0.3">
      <c r="A130" s="6" t="s">
        <v>255</v>
      </c>
      <c r="B130" s="8">
        <v>6742042</v>
      </c>
    </row>
    <row r="131" spans="1:2" x14ac:dyDescent="0.3">
      <c r="A131" s="6" t="s">
        <v>251</v>
      </c>
      <c r="B131" s="8">
        <v>6650467</v>
      </c>
    </row>
    <row r="132" spans="1:2" x14ac:dyDescent="0.3">
      <c r="A132" s="6" t="s">
        <v>162</v>
      </c>
      <c r="B132" s="8">
        <v>6566336</v>
      </c>
    </row>
    <row r="133" spans="1:2" x14ac:dyDescent="0.3">
      <c r="A133" s="6" t="s">
        <v>245</v>
      </c>
      <c r="B133" s="8">
        <v>6554255</v>
      </c>
    </row>
    <row r="134" spans="1:2" x14ac:dyDescent="0.3">
      <c r="A134" s="6" t="s">
        <v>107</v>
      </c>
      <c r="B134" s="8">
        <v>6524395</v>
      </c>
    </row>
    <row r="135" spans="1:2" x14ac:dyDescent="0.3">
      <c r="A135" s="6" t="s">
        <v>231</v>
      </c>
      <c r="B135" s="8">
        <v>6515260</v>
      </c>
    </row>
    <row r="136" spans="1:2" x14ac:dyDescent="0.3">
      <c r="A136" s="6" t="s">
        <v>263</v>
      </c>
      <c r="B136" s="8">
        <v>6493231</v>
      </c>
    </row>
    <row r="137" spans="1:2" x14ac:dyDescent="0.3">
      <c r="A137" s="6" t="s">
        <v>276</v>
      </c>
      <c r="B137" s="8">
        <v>6359856</v>
      </c>
    </row>
    <row r="138" spans="1:2" x14ac:dyDescent="0.3">
      <c r="A138" s="6" t="s">
        <v>127</v>
      </c>
      <c r="B138" s="8">
        <v>6343883</v>
      </c>
    </row>
    <row r="139" spans="1:2" x14ac:dyDescent="0.3">
      <c r="A139" s="6" t="s">
        <v>200</v>
      </c>
      <c r="B139" s="8">
        <v>6326021</v>
      </c>
    </row>
    <row r="140" spans="1:2" x14ac:dyDescent="0.3">
      <c r="A140" s="6" t="s">
        <v>120</v>
      </c>
      <c r="B140" s="8">
        <v>6313330</v>
      </c>
    </row>
    <row r="141" spans="1:2" x14ac:dyDescent="0.3">
      <c r="A141" s="6" t="s">
        <v>180</v>
      </c>
      <c r="B141" s="8">
        <v>6281451</v>
      </c>
    </row>
    <row r="142" spans="1:2" x14ac:dyDescent="0.3">
      <c r="A142" s="6" t="s">
        <v>182</v>
      </c>
      <c r="B142" s="8">
        <v>6262666</v>
      </c>
    </row>
    <row r="143" spans="1:2" x14ac:dyDescent="0.3">
      <c r="A143" s="6" t="s">
        <v>309</v>
      </c>
      <c r="B143" s="8">
        <v>6181586</v>
      </c>
    </row>
    <row r="144" spans="1:2" x14ac:dyDescent="0.3">
      <c r="A144" s="6" t="s">
        <v>213</v>
      </c>
      <c r="B144" s="8">
        <v>6030192</v>
      </c>
    </row>
    <row r="145" spans="1:2" x14ac:dyDescent="0.3">
      <c r="A145" s="6" t="s">
        <v>67</v>
      </c>
      <c r="B145" s="8">
        <v>6004315</v>
      </c>
    </row>
    <row r="146" spans="1:2" x14ac:dyDescent="0.3">
      <c r="A146" s="6" t="s">
        <v>326</v>
      </c>
      <c r="B146" s="8">
        <v>5911114</v>
      </c>
    </row>
    <row r="147" spans="1:2" x14ac:dyDescent="0.3">
      <c r="A147" s="6" t="s">
        <v>267</v>
      </c>
      <c r="B147" s="8">
        <v>5869273</v>
      </c>
    </row>
    <row r="148" spans="1:2" x14ac:dyDescent="0.3">
      <c r="A148" s="6" t="s">
        <v>268</v>
      </c>
      <c r="B148" s="8">
        <v>5841586</v>
      </c>
    </row>
    <row r="149" spans="1:2" x14ac:dyDescent="0.3">
      <c r="A149" s="6" t="s">
        <v>241</v>
      </c>
      <c r="B149" s="8">
        <v>5838742</v>
      </c>
    </row>
    <row r="150" spans="1:2" x14ac:dyDescent="0.3">
      <c r="A150" s="6" t="s">
        <v>303</v>
      </c>
      <c r="B150" s="8">
        <v>5789027</v>
      </c>
    </row>
    <row r="151" spans="1:2" x14ac:dyDescent="0.3">
      <c r="A151" s="6" t="s">
        <v>310</v>
      </c>
      <c r="B151" s="8">
        <v>5786833</v>
      </c>
    </row>
    <row r="152" spans="1:2" x14ac:dyDescent="0.3">
      <c r="A152" s="6" t="s">
        <v>17</v>
      </c>
      <c r="B152" s="8">
        <v>5785615</v>
      </c>
    </row>
    <row r="153" spans="1:2" x14ac:dyDescent="0.3">
      <c r="A153" s="6" t="s">
        <v>283</v>
      </c>
      <c r="B153" s="8">
        <v>5641303</v>
      </c>
    </row>
    <row r="154" spans="1:2" x14ac:dyDescent="0.3">
      <c r="A154" s="6" t="s">
        <v>290</v>
      </c>
      <c r="B154" s="8">
        <v>5608946</v>
      </c>
    </row>
    <row r="155" spans="1:2" x14ac:dyDescent="0.3">
      <c r="A155" s="6" t="s">
        <v>285</v>
      </c>
      <c r="B155" s="8">
        <v>5566363</v>
      </c>
    </row>
    <row r="156" spans="1:2" x14ac:dyDescent="0.3">
      <c r="A156" s="6" t="s">
        <v>331</v>
      </c>
      <c r="B156" s="8">
        <v>5564471</v>
      </c>
    </row>
    <row r="157" spans="1:2" x14ac:dyDescent="0.3">
      <c r="A157" s="6" t="s">
        <v>215</v>
      </c>
      <c r="B157" s="8">
        <v>5560199</v>
      </c>
    </row>
    <row r="158" spans="1:2" x14ac:dyDescent="0.3">
      <c r="A158" s="6" t="s">
        <v>304</v>
      </c>
      <c r="B158" s="8">
        <v>5555971</v>
      </c>
    </row>
    <row r="159" spans="1:2" x14ac:dyDescent="0.3">
      <c r="A159" s="6" t="s">
        <v>257</v>
      </c>
      <c r="B159" s="8">
        <v>5541847</v>
      </c>
    </row>
    <row r="160" spans="1:2" x14ac:dyDescent="0.3">
      <c r="A160" s="6" t="s">
        <v>428</v>
      </c>
      <c r="B160" s="8">
        <v>5512714</v>
      </c>
    </row>
    <row r="161" spans="1:2" x14ac:dyDescent="0.3">
      <c r="A161" s="6" t="s">
        <v>206</v>
      </c>
      <c r="B161" s="8">
        <v>5484703</v>
      </c>
    </row>
    <row r="162" spans="1:2" x14ac:dyDescent="0.3">
      <c r="A162" s="6" t="s">
        <v>147</v>
      </c>
      <c r="B162" s="8">
        <v>5401960</v>
      </c>
    </row>
    <row r="163" spans="1:2" x14ac:dyDescent="0.3">
      <c r="A163" s="6" t="s">
        <v>106</v>
      </c>
      <c r="B163" s="8">
        <v>5385447</v>
      </c>
    </row>
    <row r="164" spans="1:2" x14ac:dyDescent="0.3">
      <c r="A164" s="6" t="s">
        <v>343</v>
      </c>
      <c r="B164" s="8">
        <v>5336646</v>
      </c>
    </row>
    <row r="165" spans="1:2" x14ac:dyDescent="0.3">
      <c r="A165" s="6" t="s">
        <v>367</v>
      </c>
      <c r="B165" s="8">
        <v>5273775</v>
      </c>
    </row>
    <row r="166" spans="1:2" x14ac:dyDescent="0.3">
      <c r="A166" s="6" t="s">
        <v>100</v>
      </c>
      <c r="B166" s="8">
        <v>5217480</v>
      </c>
    </row>
    <row r="167" spans="1:2" x14ac:dyDescent="0.3">
      <c r="A167" s="6" t="s">
        <v>313</v>
      </c>
      <c r="B167" s="8">
        <v>5197085</v>
      </c>
    </row>
    <row r="168" spans="1:2" x14ac:dyDescent="0.3">
      <c r="A168" s="6" t="s">
        <v>243</v>
      </c>
      <c r="B168" s="8">
        <v>5192169</v>
      </c>
    </row>
    <row r="169" spans="1:2" x14ac:dyDescent="0.3">
      <c r="A169" s="6" t="s">
        <v>165</v>
      </c>
      <c r="B169" s="8">
        <v>5162709</v>
      </c>
    </row>
    <row r="170" spans="1:2" x14ac:dyDescent="0.3">
      <c r="A170" s="6" t="s">
        <v>10</v>
      </c>
      <c r="B170" s="8">
        <v>5129789</v>
      </c>
    </row>
    <row r="171" spans="1:2" x14ac:dyDescent="0.3">
      <c r="A171" s="6" t="s">
        <v>335</v>
      </c>
      <c r="B171" s="8">
        <v>5106214</v>
      </c>
    </row>
    <row r="172" spans="1:2" x14ac:dyDescent="0.3">
      <c r="A172" s="6" t="s">
        <v>280</v>
      </c>
      <c r="B172" s="8">
        <v>5047789</v>
      </c>
    </row>
    <row r="173" spans="1:2" x14ac:dyDescent="0.3">
      <c r="A173" s="6" t="s">
        <v>311</v>
      </c>
      <c r="B173" s="8">
        <v>5014173</v>
      </c>
    </row>
    <row r="174" spans="1:2" x14ac:dyDescent="0.3">
      <c r="A174" s="6" t="s">
        <v>330</v>
      </c>
      <c r="B174" s="8">
        <v>5008501</v>
      </c>
    </row>
    <row r="175" spans="1:2" x14ac:dyDescent="0.3">
      <c r="A175" s="6" t="s">
        <v>329</v>
      </c>
      <c r="B175" s="8">
        <v>4969932</v>
      </c>
    </row>
    <row r="176" spans="1:2" x14ac:dyDescent="0.3">
      <c r="A176" s="6" t="s">
        <v>272</v>
      </c>
      <c r="B176" s="8">
        <v>4963758</v>
      </c>
    </row>
    <row r="177" spans="1:2" x14ac:dyDescent="0.3">
      <c r="A177" s="6" t="s">
        <v>47</v>
      </c>
      <c r="B177" s="8">
        <v>4942868</v>
      </c>
    </row>
    <row r="178" spans="1:2" x14ac:dyDescent="0.3">
      <c r="A178" s="6" t="s">
        <v>270</v>
      </c>
      <c r="B178" s="8">
        <v>4938037</v>
      </c>
    </row>
    <row r="179" spans="1:2" x14ac:dyDescent="0.3">
      <c r="A179" s="6" t="s">
        <v>221</v>
      </c>
      <c r="B179" s="8">
        <v>4929110</v>
      </c>
    </row>
    <row r="180" spans="1:2" x14ac:dyDescent="0.3">
      <c r="A180" s="6" t="s">
        <v>295</v>
      </c>
      <c r="B180" s="8">
        <v>4907747</v>
      </c>
    </row>
    <row r="181" spans="1:2" x14ac:dyDescent="0.3">
      <c r="A181" s="6" t="s">
        <v>322</v>
      </c>
      <c r="B181" s="8">
        <v>4905072</v>
      </c>
    </row>
    <row r="182" spans="1:2" x14ac:dyDescent="0.3">
      <c r="A182" s="6" t="s">
        <v>352</v>
      </c>
      <c r="B182" s="8">
        <v>4893643</v>
      </c>
    </row>
    <row r="183" spans="1:2" x14ac:dyDescent="0.3">
      <c r="A183" s="6" t="s">
        <v>228</v>
      </c>
      <c r="B183" s="8">
        <v>4874061</v>
      </c>
    </row>
    <row r="184" spans="1:2" x14ac:dyDescent="0.3">
      <c r="A184" s="6" t="s">
        <v>288</v>
      </c>
      <c r="B184" s="8">
        <v>4871846</v>
      </c>
    </row>
    <row r="185" spans="1:2" x14ac:dyDescent="0.3">
      <c r="A185" s="6" t="s">
        <v>316</v>
      </c>
      <c r="B185" s="8">
        <v>4869422</v>
      </c>
    </row>
    <row r="186" spans="1:2" x14ac:dyDescent="0.3">
      <c r="A186" s="6" t="s">
        <v>73</v>
      </c>
      <c r="B186" s="8">
        <v>4836816</v>
      </c>
    </row>
    <row r="187" spans="1:2" x14ac:dyDescent="0.3">
      <c r="A187" s="6" t="s">
        <v>214</v>
      </c>
      <c r="B187" s="8">
        <v>4830286</v>
      </c>
    </row>
    <row r="188" spans="1:2" x14ac:dyDescent="0.3">
      <c r="A188" s="6" t="s">
        <v>291</v>
      </c>
      <c r="B188" s="8">
        <v>4819480</v>
      </c>
    </row>
    <row r="189" spans="1:2" x14ac:dyDescent="0.3">
      <c r="A189" s="6" t="s">
        <v>293</v>
      </c>
      <c r="B189" s="8">
        <v>4802133</v>
      </c>
    </row>
    <row r="190" spans="1:2" x14ac:dyDescent="0.3">
      <c r="A190" s="6" t="s">
        <v>103</v>
      </c>
      <c r="B190" s="8">
        <v>4742799</v>
      </c>
    </row>
    <row r="191" spans="1:2" x14ac:dyDescent="0.3">
      <c r="A191" s="6" t="s">
        <v>178</v>
      </c>
      <c r="B191" s="8">
        <v>4692253</v>
      </c>
    </row>
    <row r="192" spans="1:2" x14ac:dyDescent="0.3">
      <c r="A192" s="6" t="s">
        <v>155</v>
      </c>
      <c r="B192" s="8">
        <v>4660535</v>
      </c>
    </row>
    <row r="193" spans="1:2" x14ac:dyDescent="0.3">
      <c r="A193" s="6" t="s">
        <v>16</v>
      </c>
      <c r="B193" s="8">
        <v>4628087</v>
      </c>
    </row>
    <row r="194" spans="1:2" x14ac:dyDescent="0.3">
      <c r="A194" s="6" t="s">
        <v>292</v>
      </c>
      <c r="B194" s="8">
        <v>4577967</v>
      </c>
    </row>
    <row r="195" spans="1:2" x14ac:dyDescent="0.3">
      <c r="A195" s="6" t="s">
        <v>364</v>
      </c>
      <c r="B195" s="8">
        <v>4544877</v>
      </c>
    </row>
    <row r="196" spans="1:2" x14ac:dyDescent="0.3">
      <c r="A196" s="6" t="s">
        <v>362</v>
      </c>
      <c r="B196" s="8">
        <v>4534588</v>
      </c>
    </row>
    <row r="197" spans="1:2" x14ac:dyDescent="0.3">
      <c r="A197" s="6" t="s">
        <v>61</v>
      </c>
      <c r="B197" s="8">
        <v>4495285</v>
      </c>
    </row>
    <row r="198" spans="1:2" x14ac:dyDescent="0.3">
      <c r="A198" s="6" t="s">
        <v>298</v>
      </c>
      <c r="B198" s="8">
        <v>4486683</v>
      </c>
    </row>
    <row r="199" spans="1:2" x14ac:dyDescent="0.3">
      <c r="A199" s="6" t="s">
        <v>175</v>
      </c>
      <c r="B199" s="8">
        <v>4466437</v>
      </c>
    </row>
    <row r="200" spans="1:2" x14ac:dyDescent="0.3">
      <c r="A200" s="6" t="s">
        <v>344</v>
      </c>
      <c r="B200" s="8">
        <v>4459326</v>
      </c>
    </row>
    <row r="201" spans="1:2" x14ac:dyDescent="0.3">
      <c r="A201" s="6" t="s">
        <v>125</v>
      </c>
      <c r="B201" s="8">
        <v>4451679</v>
      </c>
    </row>
    <row r="202" spans="1:2" x14ac:dyDescent="0.3">
      <c r="A202" s="6" t="s">
        <v>356</v>
      </c>
      <c r="B202" s="8">
        <v>4444432</v>
      </c>
    </row>
    <row r="203" spans="1:2" x14ac:dyDescent="0.3">
      <c r="A203" s="6" t="s">
        <v>396</v>
      </c>
      <c r="B203" s="8">
        <v>4395170</v>
      </c>
    </row>
    <row r="204" spans="1:2" x14ac:dyDescent="0.3">
      <c r="A204" s="6" t="s">
        <v>301</v>
      </c>
      <c r="B204" s="8">
        <v>4378440</v>
      </c>
    </row>
    <row r="205" spans="1:2" x14ac:dyDescent="0.3">
      <c r="A205" s="6" t="s">
        <v>281</v>
      </c>
      <c r="B205" s="8">
        <v>4377433</v>
      </c>
    </row>
    <row r="206" spans="1:2" x14ac:dyDescent="0.3">
      <c r="A206" s="6" t="s">
        <v>390</v>
      </c>
      <c r="B206" s="8">
        <v>4343883</v>
      </c>
    </row>
    <row r="207" spans="1:2" x14ac:dyDescent="0.3">
      <c r="A207" s="6" t="s">
        <v>133</v>
      </c>
      <c r="B207" s="8">
        <v>4300044</v>
      </c>
    </row>
    <row r="208" spans="1:2" x14ac:dyDescent="0.3">
      <c r="A208" s="6" t="s">
        <v>278</v>
      </c>
      <c r="B208" s="8">
        <v>4281465</v>
      </c>
    </row>
    <row r="209" spans="1:2" x14ac:dyDescent="0.3">
      <c r="A209" s="6" t="s">
        <v>193</v>
      </c>
      <c r="B209" s="8">
        <v>4280530</v>
      </c>
    </row>
    <row r="210" spans="1:2" x14ac:dyDescent="0.3">
      <c r="A210" s="6" t="s">
        <v>333</v>
      </c>
      <c r="B210" s="8">
        <v>4275256</v>
      </c>
    </row>
    <row r="211" spans="1:2" x14ac:dyDescent="0.3">
      <c r="A211" s="6" t="s">
        <v>317</v>
      </c>
      <c r="B211" s="8">
        <v>4270804</v>
      </c>
    </row>
    <row r="212" spans="1:2" x14ac:dyDescent="0.3">
      <c r="A212" s="6" t="s">
        <v>132</v>
      </c>
      <c r="B212" s="8">
        <v>4263456</v>
      </c>
    </row>
    <row r="213" spans="1:2" x14ac:dyDescent="0.3">
      <c r="A213" s="6" t="s">
        <v>114</v>
      </c>
      <c r="B213" s="8">
        <v>4257056</v>
      </c>
    </row>
    <row r="214" spans="1:2" x14ac:dyDescent="0.3">
      <c r="A214" s="6" t="s">
        <v>141</v>
      </c>
      <c r="B214" s="8">
        <v>4253225</v>
      </c>
    </row>
    <row r="215" spans="1:2" x14ac:dyDescent="0.3">
      <c r="A215" s="6" t="s">
        <v>86</v>
      </c>
      <c r="B215" s="8">
        <v>4248458</v>
      </c>
    </row>
    <row r="216" spans="1:2" x14ac:dyDescent="0.3">
      <c r="A216" s="6" t="s">
        <v>318</v>
      </c>
      <c r="B216" s="8">
        <v>4242563</v>
      </c>
    </row>
    <row r="217" spans="1:2" x14ac:dyDescent="0.3">
      <c r="A217" s="6" t="s">
        <v>92</v>
      </c>
      <c r="B217" s="8">
        <v>4201535</v>
      </c>
    </row>
    <row r="218" spans="1:2" x14ac:dyDescent="0.3">
      <c r="A218" s="6" t="s">
        <v>325</v>
      </c>
      <c r="B218" s="8">
        <v>4181922</v>
      </c>
    </row>
    <row r="219" spans="1:2" x14ac:dyDescent="0.3">
      <c r="A219" s="6" t="s">
        <v>198</v>
      </c>
      <c r="B219" s="8">
        <v>4174832</v>
      </c>
    </row>
    <row r="220" spans="1:2" x14ac:dyDescent="0.3">
      <c r="A220" s="6" t="s">
        <v>284</v>
      </c>
      <c r="B220" s="8">
        <v>4173324</v>
      </c>
    </row>
    <row r="221" spans="1:2" x14ac:dyDescent="0.3">
      <c r="A221" s="6" t="s">
        <v>319</v>
      </c>
      <c r="B221" s="8">
        <v>4171641</v>
      </c>
    </row>
    <row r="222" spans="1:2" x14ac:dyDescent="0.3">
      <c r="A222" s="6" t="s">
        <v>152</v>
      </c>
      <c r="B222" s="8">
        <v>4153406</v>
      </c>
    </row>
    <row r="223" spans="1:2" x14ac:dyDescent="0.3">
      <c r="A223" s="6" t="s">
        <v>338</v>
      </c>
      <c r="B223" s="8">
        <v>4139740</v>
      </c>
    </row>
    <row r="224" spans="1:2" x14ac:dyDescent="0.3">
      <c r="A224" s="6" t="s">
        <v>346</v>
      </c>
      <c r="B224" s="8">
        <v>4139349</v>
      </c>
    </row>
    <row r="225" spans="1:2" x14ac:dyDescent="0.3">
      <c r="A225" s="6" t="s">
        <v>385</v>
      </c>
      <c r="B225" s="8">
        <v>4108930</v>
      </c>
    </row>
    <row r="226" spans="1:2" x14ac:dyDescent="0.3">
      <c r="A226" s="6" t="s">
        <v>307</v>
      </c>
      <c r="B226" s="8">
        <v>4096397</v>
      </c>
    </row>
    <row r="227" spans="1:2" x14ac:dyDescent="0.3">
      <c r="A227" s="6" t="s">
        <v>277</v>
      </c>
      <c r="B227" s="8">
        <v>4047768</v>
      </c>
    </row>
    <row r="228" spans="1:2" x14ac:dyDescent="0.3">
      <c r="A228" s="6" t="s">
        <v>379</v>
      </c>
      <c r="B228" s="8">
        <v>4037852</v>
      </c>
    </row>
    <row r="229" spans="1:2" x14ac:dyDescent="0.3">
      <c r="A229" s="6" t="s">
        <v>302</v>
      </c>
      <c r="B229" s="8">
        <v>4023555</v>
      </c>
    </row>
    <row r="230" spans="1:2" x14ac:dyDescent="0.3">
      <c r="A230" s="6" t="s">
        <v>327</v>
      </c>
      <c r="B230" s="8">
        <v>4011016</v>
      </c>
    </row>
    <row r="231" spans="1:2" x14ac:dyDescent="0.3">
      <c r="A231" s="6" t="s">
        <v>332</v>
      </c>
      <c r="B231" s="8">
        <v>3977044</v>
      </c>
    </row>
    <row r="232" spans="1:2" x14ac:dyDescent="0.3">
      <c r="A232" s="6" t="s">
        <v>62</v>
      </c>
      <c r="B232" s="8">
        <v>3946052</v>
      </c>
    </row>
    <row r="233" spans="1:2" x14ac:dyDescent="0.3">
      <c r="A233" s="6" t="s">
        <v>296</v>
      </c>
      <c r="B233" s="8">
        <v>3942637</v>
      </c>
    </row>
    <row r="234" spans="1:2" x14ac:dyDescent="0.3">
      <c r="A234" s="6" t="s">
        <v>51</v>
      </c>
      <c r="B234" s="8">
        <v>3817798</v>
      </c>
    </row>
    <row r="235" spans="1:2" x14ac:dyDescent="0.3">
      <c r="A235" s="6" t="s">
        <v>168</v>
      </c>
      <c r="B235" s="8">
        <v>3789208</v>
      </c>
    </row>
    <row r="236" spans="1:2" x14ac:dyDescent="0.3">
      <c r="A236" s="6" t="s">
        <v>299</v>
      </c>
      <c r="B236" s="8">
        <v>3775716</v>
      </c>
    </row>
    <row r="237" spans="1:2" x14ac:dyDescent="0.3">
      <c r="A237" s="6" t="s">
        <v>382</v>
      </c>
      <c r="B237" s="8">
        <v>3710639</v>
      </c>
    </row>
    <row r="238" spans="1:2" x14ac:dyDescent="0.3">
      <c r="A238" s="6" t="s">
        <v>297</v>
      </c>
      <c r="B238" s="8">
        <v>3710444</v>
      </c>
    </row>
    <row r="239" spans="1:2" x14ac:dyDescent="0.3">
      <c r="A239" s="6" t="s">
        <v>85</v>
      </c>
      <c r="B239" s="8">
        <v>3705509</v>
      </c>
    </row>
    <row r="240" spans="1:2" x14ac:dyDescent="0.3">
      <c r="A240" s="6" t="s">
        <v>90</v>
      </c>
      <c r="B240" s="8">
        <v>3703043</v>
      </c>
    </row>
    <row r="241" spans="1:2" x14ac:dyDescent="0.3">
      <c r="A241" s="6" t="s">
        <v>315</v>
      </c>
      <c r="B241" s="8">
        <v>3695173</v>
      </c>
    </row>
    <row r="242" spans="1:2" x14ac:dyDescent="0.3">
      <c r="A242" s="6" t="s">
        <v>375</v>
      </c>
      <c r="B242" s="8">
        <v>3690221</v>
      </c>
    </row>
    <row r="243" spans="1:2" x14ac:dyDescent="0.3">
      <c r="A243" s="6" t="s">
        <v>300</v>
      </c>
      <c r="B243" s="8">
        <v>3680608</v>
      </c>
    </row>
    <row r="244" spans="1:2" x14ac:dyDescent="0.3">
      <c r="A244" s="6" t="s">
        <v>121</v>
      </c>
      <c r="B244" s="8">
        <v>3668917</v>
      </c>
    </row>
    <row r="245" spans="1:2" x14ac:dyDescent="0.3">
      <c r="A245" s="6" t="s">
        <v>334</v>
      </c>
      <c r="B245" s="8">
        <v>3660176</v>
      </c>
    </row>
    <row r="246" spans="1:2" x14ac:dyDescent="0.3">
      <c r="A246" s="6" t="s">
        <v>286</v>
      </c>
      <c r="B246" s="8">
        <v>3648948</v>
      </c>
    </row>
    <row r="247" spans="1:2" x14ac:dyDescent="0.3">
      <c r="A247" s="6" t="s">
        <v>400</v>
      </c>
      <c r="B247" s="8">
        <v>3627724</v>
      </c>
    </row>
    <row r="248" spans="1:2" x14ac:dyDescent="0.3">
      <c r="A248" s="6" t="s">
        <v>118</v>
      </c>
      <c r="B248" s="8">
        <v>3613738</v>
      </c>
    </row>
    <row r="249" spans="1:2" x14ac:dyDescent="0.3">
      <c r="A249" s="6" t="s">
        <v>109</v>
      </c>
      <c r="B249" s="8">
        <v>3583849</v>
      </c>
    </row>
    <row r="250" spans="1:2" x14ac:dyDescent="0.3">
      <c r="A250" s="6" t="s">
        <v>449</v>
      </c>
      <c r="B250" s="8">
        <v>3574582</v>
      </c>
    </row>
    <row r="251" spans="1:2" x14ac:dyDescent="0.3">
      <c r="A251" s="6" t="s">
        <v>409</v>
      </c>
      <c r="B251" s="8">
        <v>3573459</v>
      </c>
    </row>
    <row r="252" spans="1:2" x14ac:dyDescent="0.3">
      <c r="A252" s="6" t="s">
        <v>122</v>
      </c>
      <c r="B252" s="8">
        <v>3564972</v>
      </c>
    </row>
    <row r="253" spans="1:2" x14ac:dyDescent="0.3">
      <c r="A253" s="6" t="s">
        <v>373</v>
      </c>
      <c r="B253" s="8">
        <v>3559643</v>
      </c>
    </row>
    <row r="254" spans="1:2" x14ac:dyDescent="0.3">
      <c r="A254" s="6" t="s">
        <v>306</v>
      </c>
      <c r="B254" s="8">
        <v>3547637</v>
      </c>
    </row>
    <row r="255" spans="1:2" x14ac:dyDescent="0.3">
      <c r="A255" s="6" t="s">
        <v>112</v>
      </c>
      <c r="B255" s="8">
        <v>3546669</v>
      </c>
    </row>
    <row r="256" spans="1:2" x14ac:dyDescent="0.3">
      <c r="A256" s="6" t="s">
        <v>84</v>
      </c>
      <c r="B256" s="8">
        <v>3543720</v>
      </c>
    </row>
    <row r="257" spans="1:2" x14ac:dyDescent="0.3">
      <c r="A257" s="6" t="s">
        <v>341</v>
      </c>
      <c r="B257" s="8">
        <v>3538885</v>
      </c>
    </row>
    <row r="258" spans="1:2" x14ac:dyDescent="0.3">
      <c r="A258" s="6" t="s">
        <v>391</v>
      </c>
      <c r="B258" s="8">
        <v>3531958</v>
      </c>
    </row>
    <row r="259" spans="1:2" x14ac:dyDescent="0.3">
      <c r="A259" s="6" t="s">
        <v>378</v>
      </c>
      <c r="B259" s="8">
        <v>3495316</v>
      </c>
    </row>
    <row r="260" spans="1:2" x14ac:dyDescent="0.3">
      <c r="A260" s="6" t="s">
        <v>15</v>
      </c>
      <c r="B260" s="8">
        <v>3494242</v>
      </c>
    </row>
    <row r="261" spans="1:2" x14ac:dyDescent="0.3">
      <c r="A261" s="6" t="s">
        <v>11</v>
      </c>
      <c r="B261" s="8">
        <v>3483909</v>
      </c>
    </row>
    <row r="262" spans="1:2" x14ac:dyDescent="0.3">
      <c r="A262" s="6" t="s">
        <v>78</v>
      </c>
      <c r="B262" s="8">
        <v>3464916</v>
      </c>
    </row>
    <row r="263" spans="1:2" x14ac:dyDescent="0.3">
      <c r="A263" s="6" t="s">
        <v>353</v>
      </c>
      <c r="B263" s="8">
        <v>3454222</v>
      </c>
    </row>
    <row r="264" spans="1:2" x14ac:dyDescent="0.3">
      <c r="A264" s="6" t="s">
        <v>401</v>
      </c>
      <c r="B264" s="8">
        <v>3449341</v>
      </c>
    </row>
    <row r="265" spans="1:2" x14ac:dyDescent="0.3">
      <c r="A265" s="6" t="s">
        <v>172</v>
      </c>
      <c r="B265" s="8">
        <v>3449182</v>
      </c>
    </row>
    <row r="266" spans="1:2" x14ac:dyDescent="0.3">
      <c r="A266" s="6" t="s">
        <v>339</v>
      </c>
      <c r="B266" s="8">
        <v>3427791</v>
      </c>
    </row>
    <row r="267" spans="1:2" x14ac:dyDescent="0.3">
      <c r="A267" s="6" t="s">
        <v>328</v>
      </c>
      <c r="B267" s="8">
        <v>3420902</v>
      </c>
    </row>
    <row r="268" spans="1:2" x14ac:dyDescent="0.3">
      <c r="A268" s="6" t="s">
        <v>97</v>
      </c>
      <c r="B268" s="8">
        <v>3418943</v>
      </c>
    </row>
    <row r="269" spans="1:2" x14ac:dyDescent="0.3">
      <c r="A269" s="6" t="s">
        <v>111</v>
      </c>
      <c r="B269" s="8">
        <v>3384080</v>
      </c>
    </row>
    <row r="270" spans="1:2" x14ac:dyDescent="0.3">
      <c r="A270" s="6" t="s">
        <v>374</v>
      </c>
      <c r="B270" s="8">
        <v>3361888</v>
      </c>
    </row>
    <row r="271" spans="1:2" x14ac:dyDescent="0.3">
      <c r="A271" s="6" t="s">
        <v>33</v>
      </c>
      <c r="B271" s="8">
        <v>3333954</v>
      </c>
    </row>
    <row r="272" spans="1:2" x14ac:dyDescent="0.3">
      <c r="A272" s="6" t="s">
        <v>138</v>
      </c>
      <c r="B272" s="8">
        <v>3333829</v>
      </c>
    </row>
    <row r="273" spans="1:2" x14ac:dyDescent="0.3">
      <c r="A273" s="6" t="s">
        <v>386</v>
      </c>
      <c r="B273" s="8">
        <v>3293586</v>
      </c>
    </row>
    <row r="274" spans="1:2" x14ac:dyDescent="0.3">
      <c r="A274" s="6" t="s">
        <v>129</v>
      </c>
      <c r="B274" s="8">
        <v>3278766</v>
      </c>
    </row>
    <row r="275" spans="1:2" x14ac:dyDescent="0.3">
      <c r="A275" s="6" t="s">
        <v>148</v>
      </c>
      <c r="B275" s="8">
        <v>3229296</v>
      </c>
    </row>
    <row r="276" spans="1:2" x14ac:dyDescent="0.3">
      <c r="A276" s="6" t="s">
        <v>366</v>
      </c>
      <c r="B276" s="8">
        <v>3224390</v>
      </c>
    </row>
    <row r="277" spans="1:2" x14ac:dyDescent="0.3">
      <c r="A277" s="6" t="s">
        <v>26</v>
      </c>
      <c r="B277" s="8">
        <v>3208380</v>
      </c>
    </row>
    <row r="278" spans="1:2" x14ac:dyDescent="0.3">
      <c r="A278" s="6" t="s">
        <v>142</v>
      </c>
      <c r="B278" s="8">
        <v>3205495</v>
      </c>
    </row>
    <row r="279" spans="1:2" x14ac:dyDescent="0.3">
      <c r="A279" s="6" t="s">
        <v>99</v>
      </c>
      <c r="B279" s="8">
        <v>3177522</v>
      </c>
    </row>
    <row r="280" spans="1:2" x14ac:dyDescent="0.3">
      <c r="A280" s="6" t="s">
        <v>361</v>
      </c>
      <c r="B280" s="8">
        <v>3170562</v>
      </c>
    </row>
    <row r="281" spans="1:2" x14ac:dyDescent="0.3">
      <c r="A281" s="6" t="s">
        <v>389</v>
      </c>
      <c r="B281" s="8">
        <v>3167508</v>
      </c>
    </row>
    <row r="282" spans="1:2" x14ac:dyDescent="0.3">
      <c r="A282" s="6" t="s">
        <v>351</v>
      </c>
      <c r="B282" s="8">
        <v>3159686</v>
      </c>
    </row>
    <row r="283" spans="1:2" x14ac:dyDescent="0.3">
      <c r="A283" s="6" t="s">
        <v>52</v>
      </c>
      <c r="B283" s="8">
        <v>3150143</v>
      </c>
    </row>
    <row r="284" spans="1:2" x14ac:dyDescent="0.3">
      <c r="A284" s="6" t="s">
        <v>287</v>
      </c>
      <c r="B284" s="8">
        <v>3130083</v>
      </c>
    </row>
    <row r="285" spans="1:2" x14ac:dyDescent="0.3">
      <c r="A285" s="6" t="s">
        <v>358</v>
      </c>
      <c r="B285" s="8">
        <v>3124986</v>
      </c>
    </row>
    <row r="286" spans="1:2" x14ac:dyDescent="0.3">
      <c r="A286" s="6" t="s">
        <v>321</v>
      </c>
      <c r="B286" s="8">
        <v>3087983</v>
      </c>
    </row>
    <row r="287" spans="1:2" x14ac:dyDescent="0.3">
      <c r="A287" s="6" t="s">
        <v>124</v>
      </c>
      <c r="B287" s="8">
        <v>3083779</v>
      </c>
    </row>
    <row r="288" spans="1:2" x14ac:dyDescent="0.3">
      <c r="A288" s="6" t="s">
        <v>71</v>
      </c>
      <c r="B288" s="8">
        <v>3079228</v>
      </c>
    </row>
    <row r="289" spans="1:2" x14ac:dyDescent="0.3">
      <c r="A289" s="6" t="s">
        <v>376</v>
      </c>
      <c r="B289" s="8">
        <v>3068067</v>
      </c>
    </row>
    <row r="290" spans="1:2" x14ac:dyDescent="0.3">
      <c r="A290" s="6" t="s">
        <v>359</v>
      </c>
      <c r="B290" s="8">
        <v>3051292</v>
      </c>
    </row>
    <row r="291" spans="1:2" x14ac:dyDescent="0.3">
      <c r="A291" s="6" t="s">
        <v>60</v>
      </c>
      <c r="B291" s="8">
        <v>3041806</v>
      </c>
    </row>
    <row r="292" spans="1:2" x14ac:dyDescent="0.3">
      <c r="A292" s="6" t="s">
        <v>392</v>
      </c>
      <c r="B292" s="8">
        <v>3040800</v>
      </c>
    </row>
    <row r="293" spans="1:2" x14ac:dyDescent="0.3">
      <c r="A293" s="6" t="s">
        <v>377</v>
      </c>
      <c r="B293" s="8">
        <v>3032302</v>
      </c>
    </row>
    <row r="294" spans="1:2" x14ac:dyDescent="0.3">
      <c r="A294" s="6" t="s">
        <v>308</v>
      </c>
      <c r="B294" s="8">
        <v>3026180</v>
      </c>
    </row>
    <row r="295" spans="1:2" x14ac:dyDescent="0.3">
      <c r="A295" s="6" t="s">
        <v>81</v>
      </c>
      <c r="B295" s="8">
        <v>3021978</v>
      </c>
    </row>
    <row r="296" spans="1:2" x14ac:dyDescent="0.3">
      <c r="A296" s="6" t="s">
        <v>151</v>
      </c>
      <c r="B296" s="8">
        <v>3021109</v>
      </c>
    </row>
    <row r="297" spans="1:2" x14ac:dyDescent="0.3">
      <c r="A297" s="6" t="s">
        <v>312</v>
      </c>
      <c r="B297" s="8">
        <v>3004515</v>
      </c>
    </row>
    <row r="298" spans="1:2" x14ac:dyDescent="0.3">
      <c r="A298" s="6" t="s">
        <v>95</v>
      </c>
      <c r="B298" s="8">
        <v>3001984</v>
      </c>
    </row>
    <row r="299" spans="1:2" x14ac:dyDescent="0.3">
      <c r="A299" s="6" t="s">
        <v>348</v>
      </c>
      <c r="B299" s="8">
        <v>2995934</v>
      </c>
    </row>
    <row r="300" spans="1:2" x14ac:dyDescent="0.3">
      <c r="A300" s="6" t="s">
        <v>42</v>
      </c>
      <c r="B300" s="8">
        <v>2951349</v>
      </c>
    </row>
    <row r="301" spans="1:2" x14ac:dyDescent="0.3">
      <c r="A301" s="6" t="s">
        <v>101</v>
      </c>
      <c r="B301" s="8">
        <v>2930453</v>
      </c>
    </row>
    <row r="302" spans="1:2" x14ac:dyDescent="0.3">
      <c r="A302" s="6" t="s">
        <v>134</v>
      </c>
      <c r="B302" s="8">
        <v>2919224</v>
      </c>
    </row>
    <row r="303" spans="1:2" x14ac:dyDescent="0.3">
      <c r="A303" s="6" t="s">
        <v>82</v>
      </c>
      <c r="B303" s="8">
        <v>2908608</v>
      </c>
    </row>
    <row r="304" spans="1:2" x14ac:dyDescent="0.3">
      <c r="A304" s="6" t="s">
        <v>35</v>
      </c>
      <c r="B304" s="8">
        <v>2900664</v>
      </c>
    </row>
    <row r="305" spans="1:2" x14ac:dyDescent="0.3">
      <c r="A305" s="6" t="s">
        <v>422</v>
      </c>
      <c r="B305" s="8">
        <v>2854575</v>
      </c>
    </row>
    <row r="306" spans="1:2" x14ac:dyDescent="0.3">
      <c r="A306" s="6" t="s">
        <v>342</v>
      </c>
      <c r="B306" s="8">
        <v>2812929</v>
      </c>
    </row>
    <row r="307" spans="1:2" x14ac:dyDescent="0.3">
      <c r="A307" s="6" t="s">
        <v>58</v>
      </c>
      <c r="B307" s="8">
        <v>2788075</v>
      </c>
    </row>
    <row r="308" spans="1:2" x14ac:dyDescent="0.3">
      <c r="A308" s="6" t="s">
        <v>323</v>
      </c>
      <c r="B308" s="8">
        <v>2778705</v>
      </c>
    </row>
    <row r="309" spans="1:2" x14ac:dyDescent="0.3">
      <c r="A309" s="6" t="s">
        <v>93</v>
      </c>
      <c r="B309" s="8">
        <v>2777737</v>
      </c>
    </row>
    <row r="310" spans="1:2" x14ac:dyDescent="0.3">
      <c r="A310" s="6" t="s">
        <v>49</v>
      </c>
      <c r="B310" s="8">
        <v>2774150</v>
      </c>
    </row>
    <row r="311" spans="1:2" x14ac:dyDescent="0.3">
      <c r="A311" s="6" t="s">
        <v>345</v>
      </c>
      <c r="B311" s="8">
        <v>2759647</v>
      </c>
    </row>
    <row r="312" spans="1:2" x14ac:dyDescent="0.3">
      <c r="A312" s="6" t="s">
        <v>369</v>
      </c>
      <c r="B312" s="8">
        <v>2739077</v>
      </c>
    </row>
    <row r="313" spans="1:2" x14ac:dyDescent="0.3">
      <c r="A313" s="6" t="s">
        <v>12</v>
      </c>
      <c r="B313" s="8">
        <v>2706368</v>
      </c>
    </row>
    <row r="314" spans="1:2" x14ac:dyDescent="0.3">
      <c r="A314" s="6" t="s">
        <v>56</v>
      </c>
      <c r="B314" s="8">
        <v>2660932</v>
      </c>
    </row>
    <row r="315" spans="1:2" x14ac:dyDescent="0.3">
      <c r="A315" s="6" t="s">
        <v>324</v>
      </c>
      <c r="B315" s="8">
        <v>2644276</v>
      </c>
    </row>
    <row r="316" spans="1:2" x14ac:dyDescent="0.3">
      <c r="A316" s="6" t="s">
        <v>140</v>
      </c>
      <c r="B316" s="8">
        <v>2643532</v>
      </c>
    </row>
    <row r="317" spans="1:2" x14ac:dyDescent="0.3">
      <c r="A317" s="6" t="s">
        <v>80</v>
      </c>
      <c r="B317" s="8">
        <v>2642671</v>
      </c>
    </row>
    <row r="318" spans="1:2" x14ac:dyDescent="0.3">
      <c r="A318" s="6" t="s">
        <v>360</v>
      </c>
      <c r="B318" s="8">
        <v>2639681</v>
      </c>
    </row>
    <row r="319" spans="1:2" x14ac:dyDescent="0.3">
      <c r="A319" s="6" t="s">
        <v>523</v>
      </c>
      <c r="B319" s="8">
        <v>2620976</v>
      </c>
    </row>
    <row r="320" spans="1:2" x14ac:dyDescent="0.3">
      <c r="A320" s="6" t="s">
        <v>30</v>
      </c>
      <c r="B320" s="8">
        <v>2619052</v>
      </c>
    </row>
    <row r="321" spans="1:2" x14ac:dyDescent="0.3">
      <c r="A321" s="6" t="s">
        <v>116</v>
      </c>
      <c r="B321" s="8">
        <v>2602013</v>
      </c>
    </row>
    <row r="322" spans="1:2" x14ac:dyDescent="0.3">
      <c r="A322" s="6" t="s">
        <v>372</v>
      </c>
      <c r="B322" s="8">
        <v>2595675</v>
      </c>
    </row>
    <row r="323" spans="1:2" x14ac:dyDescent="0.3">
      <c r="A323" s="6" t="s">
        <v>88</v>
      </c>
      <c r="B323" s="8">
        <v>2594377</v>
      </c>
    </row>
    <row r="324" spans="1:2" x14ac:dyDescent="0.3">
      <c r="A324" s="6" t="s">
        <v>20</v>
      </c>
      <c r="B324" s="8">
        <v>2579009</v>
      </c>
    </row>
    <row r="325" spans="1:2" x14ac:dyDescent="0.3">
      <c r="A325" s="6" t="s">
        <v>108</v>
      </c>
      <c r="B325" s="8">
        <v>2534538</v>
      </c>
    </row>
    <row r="326" spans="1:2" x14ac:dyDescent="0.3">
      <c r="A326" s="6" t="s">
        <v>448</v>
      </c>
      <c r="B326" s="8">
        <v>2498615</v>
      </c>
    </row>
    <row r="327" spans="1:2" x14ac:dyDescent="0.3">
      <c r="A327" s="6" t="s">
        <v>406</v>
      </c>
      <c r="B327" s="8">
        <v>2496185</v>
      </c>
    </row>
    <row r="328" spans="1:2" x14ac:dyDescent="0.3">
      <c r="A328" s="6" t="s">
        <v>40</v>
      </c>
      <c r="B328" s="8">
        <v>2473487</v>
      </c>
    </row>
    <row r="329" spans="1:2" x14ac:dyDescent="0.3">
      <c r="A329" s="6" t="s">
        <v>28</v>
      </c>
      <c r="B329" s="8">
        <v>2455195</v>
      </c>
    </row>
    <row r="330" spans="1:2" x14ac:dyDescent="0.3">
      <c r="A330" s="6" t="s">
        <v>414</v>
      </c>
      <c r="B330" s="8">
        <v>2454337</v>
      </c>
    </row>
    <row r="331" spans="1:2" x14ac:dyDescent="0.3">
      <c r="A331" s="6" t="s">
        <v>46</v>
      </c>
      <c r="B331" s="8">
        <v>2445299</v>
      </c>
    </row>
    <row r="332" spans="1:2" x14ac:dyDescent="0.3">
      <c r="A332" s="6" t="s">
        <v>98</v>
      </c>
      <c r="B332" s="8">
        <v>2441893</v>
      </c>
    </row>
    <row r="333" spans="1:2" x14ac:dyDescent="0.3">
      <c r="A333" s="6" t="s">
        <v>104</v>
      </c>
      <c r="B333" s="8">
        <v>2426331</v>
      </c>
    </row>
    <row r="334" spans="1:2" x14ac:dyDescent="0.3">
      <c r="A334" s="6" t="s">
        <v>425</v>
      </c>
      <c r="B334" s="8">
        <v>2423273</v>
      </c>
    </row>
    <row r="335" spans="1:2" x14ac:dyDescent="0.3">
      <c r="A335" s="6" t="s">
        <v>350</v>
      </c>
      <c r="B335" s="8">
        <v>2411991</v>
      </c>
    </row>
    <row r="336" spans="1:2" x14ac:dyDescent="0.3">
      <c r="A336" s="6" t="s">
        <v>384</v>
      </c>
      <c r="B336" s="8">
        <v>2398356</v>
      </c>
    </row>
    <row r="337" spans="1:2" x14ac:dyDescent="0.3">
      <c r="A337" s="6" t="s">
        <v>387</v>
      </c>
      <c r="B337" s="8">
        <v>2392781</v>
      </c>
    </row>
    <row r="338" spans="1:2" x14ac:dyDescent="0.3">
      <c r="A338" s="6" t="s">
        <v>44</v>
      </c>
      <c r="B338" s="8">
        <v>2387295</v>
      </c>
    </row>
    <row r="339" spans="1:2" x14ac:dyDescent="0.3">
      <c r="A339" s="6" t="s">
        <v>357</v>
      </c>
      <c r="B339" s="8">
        <v>2385827</v>
      </c>
    </row>
    <row r="340" spans="1:2" x14ac:dyDescent="0.3">
      <c r="A340" s="6" t="s">
        <v>9</v>
      </c>
      <c r="B340" s="8">
        <v>2372163</v>
      </c>
    </row>
    <row r="341" spans="1:2" x14ac:dyDescent="0.3">
      <c r="A341" s="6" t="s">
        <v>83</v>
      </c>
      <c r="B341" s="8">
        <v>2355961</v>
      </c>
    </row>
    <row r="342" spans="1:2" x14ac:dyDescent="0.3">
      <c r="A342" s="6" t="s">
        <v>407</v>
      </c>
      <c r="B342" s="8">
        <v>2355769</v>
      </c>
    </row>
    <row r="343" spans="1:2" x14ac:dyDescent="0.3">
      <c r="A343" s="6" t="s">
        <v>87</v>
      </c>
      <c r="B343" s="8">
        <v>2326252</v>
      </c>
    </row>
    <row r="344" spans="1:2" x14ac:dyDescent="0.3">
      <c r="A344" s="6" t="s">
        <v>347</v>
      </c>
      <c r="B344" s="8">
        <v>2314228</v>
      </c>
    </row>
    <row r="345" spans="1:2" x14ac:dyDescent="0.3">
      <c r="A345" s="6" t="s">
        <v>41</v>
      </c>
      <c r="B345" s="8">
        <v>2300242</v>
      </c>
    </row>
    <row r="346" spans="1:2" x14ac:dyDescent="0.3">
      <c r="A346" s="6" t="s">
        <v>442</v>
      </c>
      <c r="B346" s="8">
        <v>2296885</v>
      </c>
    </row>
    <row r="347" spans="1:2" x14ac:dyDescent="0.3">
      <c r="A347" s="6" t="s">
        <v>38</v>
      </c>
      <c r="B347" s="8">
        <v>2293405</v>
      </c>
    </row>
    <row r="348" spans="1:2" x14ac:dyDescent="0.3">
      <c r="A348" s="6" t="s">
        <v>36</v>
      </c>
      <c r="B348" s="8">
        <v>2277697</v>
      </c>
    </row>
    <row r="349" spans="1:2" x14ac:dyDescent="0.3">
      <c r="A349" s="6" t="s">
        <v>6</v>
      </c>
      <c r="B349" s="8">
        <v>2256693</v>
      </c>
    </row>
    <row r="350" spans="1:2" x14ac:dyDescent="0.3">
      <c r="A350" s="6" t="s">
        <v>75</v>
      </c>
      <c r="B350" s="8">
        <v>2252116</v>
      </c>
    </row>
    <row r="351" spans="1:2" x14ac:dyDescent="0.3">
      <c r="A351" s="6" t="s">
        <v>404</v>
      </c>
      <c r="B351" s="8">
        <v>2235312</v>
      </c>
    </row>
    <row r="352" spans="1:2" x14ac:dyDescent="0.3">
      <c r="A352" s="6" t="s">
        <v>380</v>
      </c>
      <c r="B352" s="8">
        <v>2219149</v>
      </c>
    </row>
    <row r="353" spans="1:2" x14ac:dyDescent="0.3">
      <c r="A353" s="6" t="s">
        <v>421</v>
      </c>
      <c r="B353" s="8">
        <v>2160552</v>
      </c>
    </row>
    <row r="354" spans="1:2" x14ac:dyDescent="0.3">
      <c r="A354" s="6" t="s">
        <v>365</v>
      </c>
      <c r="B354" s="8">
        <v>2158861</v>
      </c>
    </row>
    <row r="355" spans="1:2" x14ac:dyDescent="0.3">
      <c r="A355" s="6" t="s">
        <v>13</v>
      </c>
      <c r="B355" s="8">
        <v>2146674</v>
      </c>
    </row>
    <row r="356" spans="1:2" x14ac:dyDescent="0.3">
      <c r="A356" s="6" t="s">
        <v>456</v>
      </c>
      <c r="B356" s="8">
        <v>2141601</v>
      </c>
    </row>
    <row r="357" spans="1:2" x14ac:dyDescent="0.3">
      <c r="A357" s="6" t="s">
        <v>25</v>
      </c>
      <c r="B357" s="8">
        <v>2139059</v>
      </c>
    </row>
    <row r="358" spans="1:2" x14ac:dyDescent="0.3">
      <c r="A358" s="6" t="s">
        <v>69</v>
      </c>
      <c r="B358" s="8">
        <v>2123976</v>
      </c>
    </row>
    <row r="359" spans="1:2" x14ac:dyDescent="0.3">
      <c r="A359" s="6" t="s">
        <v>419</v>
      </c>
      <c r="B359" s="8">
        <v>2119787</v>
      </c>
    </row>
    <row r="360" spans="1:2" x14ac:dyDescent="0.3">
      <c r="A360" s="6" t="s">
        <v>399</v>
      </c>
      <c r="B360" s="8">
        <v>2094099</v>
      </c>
    </row>
    <row r="361" spans="1:2" x14ac:dyDescent="0.3">
      <c r="A361" s="6" t="s">
        <v>405</v>
      </c>
      <c r="B361" s="8">
        <v>2045125</v>
      </c>
    </row>
    <row r="362" spans="1:2" x14ac:dyDescent="0.3">
      <c r="A362" s="6" t="s">
        <v>55</v>
      </c>
      <c r="B362" s="8">
        <v>2034248</v>
      </c>
    </row>
    <row r="363" spans="1:2" x14ac:dyDescent="0.3">
      <c r="A363" s="6" t="s">
        <v>136</v>
      </c>
      <c r="B363" s="8">
        <v>2015808</v>
      </c>
    </row>
    <row r="364" spans="1:2" x14ac:dyDescent="0.3">
      <c r="A364" s="6" t="s">
        <v>74</v>
      </c>
      <c r="B364" s="8">
        <v>2001300</v>
      </c>
    </row>
    <row r="365" spans="1:2" x14ac:dyDescent="0.3">
      <c r="A365" s="6" t="s">
        <v>462</v>
      </c>
      <c r="B365" s="8">
        <v>2001172</v>
      </c>
    </row>
    <row r="366" spans="1:2" x14ac:dyDescent="0.3">
      <c r="A366" s="6" t="s">
        <v>110</v>
      </c>
      <c r="B366" s="8">
        <v>1974694</v>
      </c>
    </row>
    <row r="367" spans="1:2" x14ac:dyDescent="0.3">
      <c r="A367" s="6" t="s">
        <v>7</v>
      </c>
      <c r="B367" s="8">
        <v>1965717</v>
      </c>
    </row>
    <row r="368" spans="1:2" x14ac:dyDescent="0.3">
      <c r="A368" s="6" t="s">
        <v>355</v>
      </c>
      <c r="B368" s="8">
        <v>1963659</v>
      </c>
    </row>
    <row r="369" spans="1:2" x14ac:dyDescent="0.3">
      <c r="A369" s="6" t="s">
        <v>64</v>
      </c>
      <c r="B369" s="8">
        <v>1961174</v>
      </c>
    </row>
    <row r="370" spans="1:2" x14ac:dyDescent="0.3">
      <c r="A370" s="6" t="s">
        <v>340</v>
      </c>
      <c r="B370" s="8">
        <v>1953039</v>
      </c>
    </row>
    <row r="371" spans="1:2" x14ac:dyDescent="0.3">
      <c r="A371" s="6" t="s">
        <v>368</v>
      </c>
      <c r="B371" s="8">
        <v>1919649</v>
      </c>
    </row>
    <row r="372" spans="1:2" x14ac:dyDescent="0.3">
      <c r="A372" s="6" t="s">
        <v>27</v>
      </c>
      <c r="B372" s="8">
        <v>1917110</v>
      </c>
    </row>
    <row r="373" spans="1:2" x14ac:dyDescent="0.3">
      <c r="A373" s="6" t="s">
        <v>37</v>
      </c>
      <c r="B373" s="8">
        <v>1892392</v>
      </c>
    </row>
    <row r="374" spans="1:2" x14ac:dyDescent="0.3">
      <c r="A374" s="6" t="s">
        <v>423</v>
      </c>
      <c r="B374" s="8">
        <v>1887609</v>
      </c>
    </row>
    <row r="375" spans="1:2" x14ac:dyDescent="0.3">
      <c r="A375" s="6" t="s">
        <v>68</v>
      </c>
      <c r="B375" s="8">
        <v>1884208</v>
      </c>
    </row>
    <row r="376" spans="1:2" x14ac:dyDescent="0.3">
      <c r="A376" s="6" t="s">
        <v>113</v>
      </c>
      <c r="B376" s="8">
        <v>1857325</v>
      </c>
    </row>
    <row r="377" spans="1:2" x14ac:dyDescent="0.3">
      <c r="A377" s="6" t="s">
        <v>394</v>
      </c>
      <c r="B377" s="8">
        <v>1856966</v>
      </c>
    </row>
    <row r="378" spans="1:2" x14ac:dyDescent="0.3">
      <c r="A378" s="6" t="s">
        <v>393</v>
      </c>
      <c r="B378" s="8">
        <v>1855352</v>
      </c>
    </row>
    <row r="379" spans="1:2" x14ac:dyDescent="0.3">
      <c r="A379" s="6" t="s">
        <v>14</v>
      </c>
      <c r="B379" s="8">
        <v>1847674</v>
      </c>
    </row>
    <row r="380" spans="1:2" x14ac:dyDescent="0.3">
      <c r="A380" s="6" t="s">
        <v>383</v>
      </c>
      <c r="B380" s="8">
        <v>1821146</v>
      </c>
    </row>
    <row r="381" spans="1:2" x14ac:dyDescent="0.3">
      <c r="A381" s="6" t="s">
        <v>126</v>
      </c>
      <c r="B381" s="8">
        <v>1810100</v>
      </c>
    </row>
    <row r="382" spans="1:2" x14ac:dyDescent="0.3">
      <c r="A382" s="6" t="s">
        <v>395</v>
      </c>
      <c r="B382" s="8">
        <v>1796229</v>
      </c>
    </row>
    <row r="383" spans="1:2" x14ac:dyDescent="0.3">
      <c r="A383" s="6" t="s">
        <v>458</v>
      </c>
      <c r="B383" s="8">
        <v>1790587</v>
      </c>
    </row>
    <row r="384" spans="1:2" x14ac:dyDescent="0.3">
      <c r="A384" s="6" t="s">
        <v>403</v>
      </c>
      <c r="B384" s="8">
        <v>1786574</v>
      </c>
    </row>
    <row r="385" spans="1:2" x14ac:dyDescent="0.3">
      <c r="A385" s="6" t="s">
        <v>371</v>
      </c>
      <c r="B385" s="8">
        <v>1762098</v>
      </c>
    </row>
    <row r="386" spans="1:2" x14ac:dyDescent="0.3">
      <c r="A386" s="6" t="s">
        <v>48</v>
      </c>
      <c r="B386" s="8">
        <v>1749517</v>
      </c>
    </row>
    <row r="387" spans="1:2" x14ac:dyDescent="0.3">
      <c r="A387" s="6" t="s">
        <v>402</v>
      </c>
      <c r="B387" s="8">
        <v>1740475</v>
      </c>
    </row>
    <row r="388" spans="1:2" x14ac:dyDescent="0.3">
      <c r="A388" s="6" t="s">
        <v>411</v>
      </c>
      <c r="B388" s="8">
        <v>1737386</v>
      </c>
    </row>
    <row r="389" spans="1:2" x14ac:dyDescent="0.3">
      <c r="A389" s="6" t="s">
        <v>420</v>
      </c>
      <c r="B389" s="8">
        <v>1723250</v>
      </c>
    </row>
    <row r="390" spans="1:2" x14ac:dyDescent="0.3">
      <c r="A390" s="6" t="s">
        <v>432</v>
      </c>
      <c r="B390" s="8">
        <v>1720321</v>
      </c>
    </row>
    <row r="391" spans="1:2" x14ac:dyDescent="0.3">
      <c r="A391" s="6" t="s">
        <v>381</v>
      </c>
      <c r="B391" s="8">
        <v>1709022</v>
      </c>
    </row>
    <row r="392" spans="1:2" x14ac:dyDescent="0.3">
      <c r="A392" s="6" t="s">
        <v>77</v>
      </c>
      <c r="B392" s="8">
        <v>1706186</v>
      </c>
    </row>
    <row r="393" spans="1:2" x14ac:dyDescent="0.3">
      <c r="A393" s="6" t="s">
        <v>415</v>
      </c>
      <c r="B393" s="8">
        <v>1688404</v>
      </c>
    </row>
    <row r="394" spans="1:2" x14ac:dyDescent="0.3">
      <c r="A394" s="6" t="s">
        <v>426</v>
      </c>
      <c r="B394" s="8">
        <v>1686575</v>
      </c>
    </row>
    <row r="395" spans="1:2" x14ac:dyDescent="0.3">
      <c r="A395" s="6" t="s">
        <v>437</v>
      </c>
      <c r="B395" s="8">
        <v>1679378</v>
      </c>
    </row>
    <row r="396" spans="1:2" x14ac:dyDescent="0.3">
      <c r="A396" s="6" t="s">
        <v>45</v>
      </c>
      <c r="B396" s="8">
        <v>1675369</v>
      </c>
    </row>
    <row r="397" spans="1:2" x14ac:dyDescent="0.3">
      <c r="A397" s="6" t="s">
        <v>520</v>
      </c>
      <c r="B397" s="8">
        <v>1673146</v>
      </c>
    </row>
    <row r="398" spans="1:2" x14ac:dyDescent="0.3">
      <c r="A398" s="6" t="s">
        <v>416</v>
      </c>
      <c r="B398" s="8">
        <v>1650532</v>
      </c>
    </row>
    <row r="399" spans="1:2" x14ac:dyDescent="0.3">
      <c r="A399" s="6" t="s">
        <v>461</v>
      </c>
      <c r="B399" s="8">
        <v>1642686</v>
      </c>
    </row>
    <row r="400" spans="1:2" x14ac:dyDescent="0.3">
      <c r="A400" s="6" t="s">
        <v>102</v>
      </c>
      <c r="B400" s="8">
        <v>1641823</v>
      </c>
    </row>
    <row r="401" spans="1:2" x14ac:dyDescent="0.3">
      <c r="A401" s="6" t="s">
        <v>370</v>
      </c>
      <c r="B401" s="8">
        <v>1605524</v>
      </c>
    </row>
    <row r="402" spans="1:2" x14ac:dyDescent="0.3">
      <c r="A402" s="6" t="s">
        <v>135</v>
      </c>
      <c r="B402" s="8">
        <v>1594329</v>
      </c>
    </row>
    <row r="403" spans="1:2" x14ac:dyDescent="0.3">
      <c r="A403" s="6" t="s">
        <v>502</v>
      </c>
      <c r="B403" s="8">
        <v>1549097</v>
      </c>
    </row>
    <row r="404" spans="1:2" x14ac:dyDescent="0.3">
      <c r="A404" s="6" t="s">
        <v>531</v>
      </c>
      <c r="B404" s="8">
        <v>1542864</v>
      </c>
    </row>
    <row r="405" spans="1:2" x14ac:dyDescent="0.3">
      <c r="A405" s="6" t="s">
        <v>439</v>
      </c>
      <c r="B405" s="8">
        <v>1539111</v>
      </c>
    </row>
    <row r="406" spans="1:2" x14ac:dyDescent="0.3">
      <c r="A406" s="6" t="s">
        <v>72</v>
      </c>
      <c r="B406" s="8">
        <v>1530381</v>
      </c>
    </row>
    <row r="407" spans="1:2" x14ac:dyDescent="0.3">
      <c r="A407" s="6" t="s">
        <v>354</v>
      </c>
      <c r="B407" s="8">
        <v>1505500</v>
      </c>
    </row>
    <row r="408" spans="1:2" x14ac:dyDescent="0.3">
      <c r="A408" s="6" t="s">
        <v>29</v>
      </c>
      <c r="B408" s="8">
        <v>1484672</v>
      </c>
    </row>
    <row r="409" spans="1:2" x14ac:dyDescent="0.3">
      <c r="A409" s="6" t="s">
        <v>363</v>
      </c>
      <c r="B409" s="8">
        <v>1436776</v>
      </c>
    </row>
    <row r="410" spans="1:2" x14ac:dyDescent="0.3">
      <c r="A410" s="6" t="s">
        <v>76</v>
      </c>
      <c r="B410" s="8">
        <v>1432950</v>
      </c>
    </row>
    <row r="411" spans="1:2" x14ac:dyDescent="0.3">
      <c r="A411" s="6" t="s">
        <v>982</v>
      </c>
      <c r="B411" s="8">
        <v>1429501</v>
      </c>
    </row>
    <row r="412" spans="1:2" x14ac:dyDescent="0.3">
      <c r="A412" s="6" t="s">
        <v>24</v>
      </c>
      <c r="B412" s="8">
        <v>1411717</v>
      </c>
    </row>
    <row r="413" spans="1:2" x14ac:dyDescent="0.3">
      <c r="A413" s="6" t="s">
        <v>483</v>
      </c>
      <c r="B413" s="8">
        <v>1400787</v>
      </c>
    </row>
    <row r="414" spans="1:2" x14ac:dyDescent="0.3">
      <c r="A414" s="6" t="s">
        <v>337</v>
      </c>
      <c r="B414" s="8">
        <v>1399736</v>
      </c>
    </row>
    <row r="415" spans="1:2" x14ac:dyDescent="0.3">
      <c r="A415" s="6" t="s">
        <v>21</v>
      </c>
      <c r="B415" s="8">
        <v>1337947</v>
      </c>
    </row>
    <row r="416" spans="1:2" x14ac:dyDescent="0.3">
      <c r="A416" s="6" t="s">
        <v>444</v>
      </c>
      <c r="B416" s="8">
        <v>1325710</v>
      </c>
    </row>
    <row r="417" spans="1:2" x14ac:dyDescent="0.3">
      <c r="A417" s="6" t="s">
        <v>434</v>
      </c>
      <c r="B417" s="8">
        <v>1310426</v>
      </c>
    </row>
    <row r="418" spans="1:2" x14ac:dyDescent="0.3">
      <c r="A418" s="6" t="s">
        <v>490</v>
      </c>
      <c r="B418" s="8">
        <v>1301916</v>
      </c>
    </row>
    <row r="419" spans="1:2" x14ac:dyDescent="0.3">
      <c r="A419" s="6" t="s">
        <v>65</v>
      </c>
      <c r="B419" s="8">
        <v>1280478</v>
      </c>
    </row>
    <row r="420" spans="1:2" x14ac:dyDescent="0.3">
      <c r="A420" s="6" t="s">
        <v>870</v>
      </c>
      <c r="B420" s="8">
        <v>1273800</v>
      </c>
    </row>
    <row r="421" spans="1:2" x14ac:dyDescent="0.3">
      <c r="A421" s="6" t="s">
        <v>408</v>
      </c>
      <c r="B421" s="8">
        <v>1242843</v>
      </c>
    </row>
    <row r="422" spans="1:2" x14ac:dyDescent="0.3">
      <c r="A422" s="6" t="s">
        <v>463</v>
      </c>
      <c r="B422" s="8">
        <v>1222370</v>
      </c>
    </row>
    <row r="423" spans="1:2" x14ac:dyDescent="0.3">
      <c r="A423" s="6" t="s">
        <v>452</v>
      </c>
      <c r="B423" s="8">
        <v>1209058</v>
      </c>
    </row>
    <row r="424" spans="1:2" x14ac:dyDescent="0.3">
      <c r="A424" s="6" t="s">
        <v>435</v>
      </c>
      <c r="B424" s="8">
        <v>1206876</v>
      </c>
    </row>
    <row r="425" spans="1:2" x14ac:dyDescent="0.3">
      <c r="A425" s="6" t="s">
        <v>498</v>
      </c>
      <c r="B425" s="8">
        <v>1186648</v>
      </c>
    </row>
    <row r="426" spans="1:2" x14ac:dyDescent="0.3">
      <c r="A426" s="6" t="s">
        <v>923</v>
      </c>
      <c r="B426" s="8">
        <v>1169635</v>
      </c>
    </row>
    <row r="427" spans="1:2" x14ac:dyDescent="0.3">
      <c r="A427" s="6" t="s">
        <v>410</v>
      </c>
      <c r="B427" s="8">
        <v>1141807</v>
      </c>
    </row>
    <row r="428" spans="1:2" x14ac:dyDescent="0.3">
      <c r="A428" s="6" t="s">
        <v>446</v>
      </c>
      <c r="B428" s="8">
        <v>1136947</v>
      </c>
    </row>
    <row r="429" spans="1:2" x14ac:dyDescent="0.3">
      <c r="A429" s="6" t="s">
        <v>427</v>
      </c>
      <c r="B429" s="8">
        <v>1127878</v>
      </c>
    </row>
    <row r="430" spans="1:2" x14ac:dyDescent="0.3">
      <c r="A430" s="6" t="s">
        <v>34</v>
      </c>
      <c r="B430" s="8">
        <v>1119219</v>
      </c>
    </row>
    <row r="431" spans="1:2" x14ac:dyDescent="0.3">
      <c r="A431" s="6" t="s">
        <v>496</v>
      </c>
      <c r="B431" s="8">
        <v>1116789</v>
      </c>
    </row>
    <row r="432" spans="1:2" x14ac:dyDescent="0.3">
      <c r="A432" s="6" t="s">
        <v>388</v>
      </c>
      <c r="B432" s="8">
        <v>1114797</v>
      </c>
    </row>
    <row r="433" spans="1:2" x14ac:dyDescent="0.3">
      <c r="A433" s="6" t="s">
        <v>451</v>
      </c>
      <c r="B433" s="8">
        <v>1112912</v>
      </c>
    </row>
    <row r="434" spans="1:2" x14ac:dyDescent="0.3">
      <c r="A434" s="6" t="s">
        <v>503</v>
      </c>
      <c r="B434" s="8">
        <v>1112043</v>
      </c>
    </row>
    <row r="435" spans="1:2" x14ac:dyDescent="0.3">
      <c r="A435" s="6" t="s">
        <v>70</v>
      </c>
      <c r="B435" s="8">
        <v>1097731</v>
      </c>
    </row>
    <row r="436" spans="1:2" x14ac:dyDescent="0.3">
      <c r="A436" s="6" t="s">
        <v>491</v>
      </c>
      <c r="B436" s="8">
        <v>1075025</v>
      </c>
    </row>
    <row r="437" spans="1:2" x14ac:dyDescent="0.3">
      <c r="A437" s="6" t="s">
        <v>494</v>
      </c>
      <c r="B437" s="8">
        <v>1050913</v>
      </c>
    </row>
    <row r="438" spans="1:2" x14ac:dyDescent="0.3">
      <c r="A438" s="6" t="s">
        <v>424</v>
      </c>
      <c r="B438" s="8">
        <v>1033097</v>
      </c>
    </row>
    <row r="439" spans="1:2" x14ac:dyDescent="0.3">
      <c r="A439" s="6" t="s">
        <v>66</v>
      </c>
      <c r="B439" s="8">
        <v>1025116</v>
      </c>
    </row>
    <row r="440" spans="1:2" x14ac:dyDescent="0.3">
      <c r="A440" s="6" t="s">
        <v>418</v>
      </c>
      <c r="B440" s="8">
        <v>1021295</v>
      </c>
    </row>
    <row r="441" spans="1:2" x14ac:dyDescent="0.3">
      <c r="A441" s="6" t="s">
        <v>397</v>
      </c>
      <c r="B441" s="8">
        <v>1009468</v>
      </c>
    </row>
    <row r="442" spans="1:2" x14ac:dyDescent="0.3">
      <c r="A442" s="6" t="s">
        <v>450</v>
      </c>
      <c r="B442" s="8">
        <v>1005545</v>
      </c>
    </row>
    <row r="443" spans="1:2" x14ac:dyDescent="0.3">
      <c r="A443" s="6" t="s">
        <v>43</v>
      </c>
      <c r="B443" s="8">
        <v>988766</v>
      </c>
    </row>
    <row r="444" spans="1:2" x14ac:dyDescent="0.3">
      <c r="A444" s="6" t="s">
        <v>433</v>
      </c>
      <c r="B444" s="8">
        <v>972061</v>
      </c>
    </row>
    <row r="445" spans="1:2" x14ac:dyDescent="0.3">
      <c r="A445" s="6" t="s">
        <v>63</v>
      </c>
      <c r="B445" s="8">
        <v>960593</v>
      </c>
    </row>
    <row r="446" spans="1:2" x14ac:dyDescent="0.3">
      <c r="A446" s="6" t="s">
        <v>39</v>
      </c>
      <c r="B446" s="8">
        <v>940015</v>
      </c>
    </row>
    <row r="447" spans="1:2" x14ac:dyDescent="0.3">
      <c r="A447" s="6" t="s">
        <v>438</v>
      </c>
      <c r="B447" s="8">
        <v>933560</v>
      </c>
    </row>
    <row r="448" spans="1:2" x14ac:dyDescent="0.3">
      <c r="A448" s="6" t="s">
        <v>510</v>
      </c>
      <c r="B448" s="8">
        <v>930231</v>
      </c>
    </row>
    <row r="449" spans="1:2" x14ac:dyDescent="0.3">
      <c r="A449" s="6" t="s">
        <v>429</v>
      </c>
      <c r="B449" s="8">
        <v>929929</v>
      </c>
    </row>
    <row r="450" spans="1:2" x14ac:dyDescent="0.3">
      <c r="A450" s="6" t="s">
        <v>467</v>
      </c>
      <c r="B450" s="8">
        <v>910197</v>
      </c>
    </row>
    <row r="451" spans="1:2" x14ac:dyDescent="0.3">
      <c r="A451" s="6" t="s">
        <v>349</v>
      </c>
      <c r="B451" s="8">
        <v>894780</v>
      </c>
    </row>
    <row r="452" spans="1:2" x14ac:dyDescent="0.3">
      <c r="A452" s="6" t="s">
        <v>481</v>
      </c>
      <c r="B452" s="8">
        <v>894472</v>
      </c>
    </row>
    <row r="453" spans="1:2" x14ac:dyDescent="0.3">
      <c r="A453" s="6" t="s">
        <v>53</v>
      </c>
      <c r="B453" s="8">
        <v>883076</v>
      </c>
    </row>
    <row r="454" spans="1:2" x14ac:dyDescent="0.3">
      <c r="A454" s="6" t="s">
        <v>398</v>
      </c>
      <c r="B454" s="8">
        <v>872674</v>
      </c>
    </row>
    <row r="455" spans="1:2" x14ac:dyDescent="0.3">
      <c r="A455" s="6" t="s">
        <v>79</v>
      </c>
      <c r="B455" s="8">
        <v>865486</v>
      </c>
    </row>
    <row r="456" spans="1:2" x14ac:dyDescent="0.3">
      <c r="A456" s="6" t="s">
        <v>457</v>
      </c>
      <c r="B456" s="8">
        <v>860801</v>
      </c>
    </row>
    <row r="457" spans="1:2" x14ac:dyDescent="0.3">
      <c r="A457" s="6" t="s">
        <v>489</v>
      </c>
      <c r="B457" s="8">
        <v>857109</v>
      </c>
    </row>
    <row r="458" spans="1:2" x14ac:dyDescent="0.3">
      <c r="A458" s="6" t="s">
        <v>512</v>
      </c>
      <c r="B458" s="8">
        <v>831190</v>
      </c>
    </row>
    <row r="459" spans="1:2" x14ac:dyDescent="0.3">
      <c r="A459" s="6" t="s">
        <v>516</v>
      </c>
      <c r="B459" s="8">
        <v>824161</v>
      </c>
    </row>
    <row r="460" spans="1:2" x14ac:dyDescent="0.3">
      <c r="A460" s="6" t="s">
        <v>519</v>
      </c>
      <c r="B460" s="8">
        <v>816479</v>
      </c>
    </row>
    <row r="461" spans="1:2" x14ac:dyDescent="0.3">
      <c r="A461" s="6" t="s">
        <v>430</v>
      </c>
      <c r="B461" s="8">
        <v>813649</v>
      </c>
    </row>
    <row r="462" spans="1:2" x14ac:dyDescent="0.3">
      <c r="A462" s="6" t="s">
        <v>572</v>
      </c>
      <c r="B462" s="8">
        <v>810565</v>
      </c>
    </row>
    <row r="463" spans="1:2" x14ac:dyDescent="0.3">
      <c r="A463" s="6" t="s">
        <v>459</v>
      </c>
      <c r="B463" s="8">
        <v>805802</v>
      </c>
    </row>
    <row r="464" spans="1:2" x14ac:dyDescent="0.3">
      <c r="A464" s="6" t="s">
        <v>441</v>
      </c>
      <c r="B464" s="8">
        <v>793621</v>
      </c>
    </row>
    <row r="465" spans="1:2" x14ac:dyDescent="0.3">
      <c r="A465" s="6" t="s">
        <v>474</v>
      </c>
      <c r="B465" s="8">
        <v>779366</v>
      </c>
    </row>
    <row r="466" spans="1:2" x14ac:dyDescent="0.3">
      <c r="A466" s="6" t="s">
        <v>413</v>
      </c>
      <c r="B466" s="8">
        <v>768074</v>
      </c>
    </row>
    <row r="467" spans="1:2" x14ac:dyDescent="0.3">
      <c r="A467" s="6" t="s">
        <v>470</v>
      </c>
      <c r="B467" s="8">
        <v>759470</v>
      </c>
    </row>
    <row r="468" spans="1:2" x14ac:dyDescent="0.3">
      <c r="A468" s="6" t="s">
        <v>492</v>
      </c>
      <c r="B468" s="8">
        <v>758518</v>
      </c>
    </row>
    <row r="469" spans="1:2" x14ac:dyDescent="0.3">
      <c r="A469" s="6" t="s">
        <v>436</v>
      </c>
      <c r="B469" s="8">
        <v>744774</v>
      </c>
    </row>
    <row r="470" spans="1:2" x14ac:dyDescent="0.3">
      <c r="A470" s="6" t="s">
        <v>495</v>
      </c>
      <c r="B470" s="8">
        <v>719020</v>
      </c>
    </row>
    <row r="471" spans="1:2" x14ac:dyDescent="0.3">
      <c r="A471" s="6" t="s">
        <v>445</v>
      </c>
      <c r="B471" s="8">
        <v>714838</v>
      </c>
    </row>
    <row r="472" spans="1:2" x14ac:dyDescent="0.3">
      <c r="A472" s="6" t="s">
        <v>535</v>
      </c>
      <c r="B472" s="8">
        <v>713680</v>
      </c>
    </row>
    <row r="473" spans="1:2" x14ac:dyDescent="0.3">
      <c r="A473" s="6" t="s">
        <v>606</v>
      </c>
      <c r="B473" s="8">
        <v>709586</v>
      </c>
    </row>
    <row r="474" spans="1:2" x14ac:dyDescent="0.3">
      <c r="A474" s="6" t="s">
        <v>508</v>
      </c>
      <c r="B474" s="8">
        <v>699639</v>
      </c>
    </row>
    <row r="475" spans="1:2" x14ac:dyDescent="0.3">
      <c r="A475" s="6" t="s">
        <v>514</v>
      </c>
      <c r="B475" s="8">
        <v>666182</v>
      </c>
    </row>
    <row r="476" spans="1:2" x14ac:dyDescent="0.3">
      <c r="A476" s="6" t="s">
        <v>475</v>
      </c>
      <c r="B476" s="8">
        <v>650873</v>
      </c>
    </row>
    <row r="477" spans="1:2" x14ac:dyDescent="0.3">
      <c r="A477" s="6" t="s">
        <v>460</v>
      </c>
      <c r="B477" s="8">
        <v>638834</v>
      </c>
    </row>
    <row r="478" spans="1:2" x14ac:dyDescent="0.3">
      <c r="A478" s="6" t="s">
        <v>476</v>
      </c>
      <c r="B478" s="8">
        <v>629729</v>
      </c>
    </row>
    <row r="479" spans="1:2" x14ac:dyDescent="0.3">
      <c r="A479" s="6" t="s">
        <v>453</v>
      </c>
      <c r="B479" s="8">
        <v>620884</v>
      </c>
    </row>
    <row r="480" spans="1:2" x14ac:dyDescent="0.3">
      <c r="A480" s="6" t="s">
        <v>455</v>
      </c>
      <c r="B480" s="8">
        <v>619004</v>
      </c>
    </row>
    <row r="481" spans="1:2" x14ac:dyDescent="0.3">
      <c r="A481" s="6" t="s">
        <v>505</v>
      </c>
      <c r="B481" s="8">
        <v>599284</v>
      </c>
    </row>
    <row r="482" spans="1:2" x14ac:dyDescent="0.3">
      <c r="A482" s="6" t="s">
        <v>443</v>
      </c>
      <c r="B482" s="8">
        <v>583966</v>
      </c>
    </row>
    <row r="483" spans="1:2" x14ac:dyDescent="0.3">
      <c r="A483" s="6" t="s">
        <v>497</v>
      </c>
      <c r="B483" s="8">
        <v>580141</v>
      </c>
    </row>
    <row r="484" spans="1:2" x14ac:dyDescent="0.3">
      <c r="A484" s="6" t="s">
        <v>534</v>
      </c>
      <c r="B484" s="8">
        <v>579711</v>
      </c>
    </row>
    <row r="485" spans="1:2" x14ac:dyDescent="0.3">
      <c r="A485" s="6" t="s">
        <v>545</v>
      </c>
      <c r="B485" s="8">
        <v>575329</v>
      </c>
    </row>
    <row r="486" spans="1:2" x14ac:dyDescent="0.3">
      <c r="A486" s="6" t="s">
        <v>482</v>
      </c>
      <c r="B486" s="8">
        <v>573331</v>
      </c>
    </row>
    <row r="487" spans="1:2" x14ac:dyDescent="0.3">
      <c r="A487" s="6" t="s">
        <v>22</v>
      </c>
      <c r="B487" s="8">
        <v>566707</v>
      </c>
    </row>
    <row r="488" spans="1:2" x14ac:dyDescent="0.3">
      <c r="A488" s="6" t="s">
        <v>517</v>
      </c>
      <c r="B488" s="8">
        <v>565448</v>
      </c>
    </row>
    <row r="489" spans="1:2" x14ac:dyDescent="0.3">
      <c r="A489" s="6" t="s">
        <v>478</v>
      </c>
      <c r="B489" s="8">
        <v>553760</v>
      </c>
    </row>
    <row r="490" spans="1:2" x14ac:dyDescent="0.3">
      <c r="A490" s="6" t="s">
        <v>473</v>
      </c>
      <c r="B490" s="8">
        <v>544680</v>
      </c>
    </row>
    <row r="491" spans="1:2" x14ac:dyDescent="0.3">
      <c r="A491" s="6" t="s">
        <v>468</v>
      </c>
      <c r="B491" s="8">
        <v>541400</v>
      </c>
    </row>
    <row r="492" spans="1:2" x14ac:dyDescent="0.3">
      <c r="A492" s="6" t="s">
        <v>447</v>
      </c>
      <c r="B492" s="8">
        <v>539162</v>
      </c>
    </row>
    <row r="493" spans="1:2" x14ac:dyDescent="0.3">
      <c r="A493" s="6" t="s">
        <v>638</v>
      </c>
      <c r="B493" s="8">
        <v>532307</v>
      </c>
    </row>
    <row r="494" spans="1:2" x14ac:dyDescent="0.3">
      <c r="A494" s="6" t="s">
        <v>522</v>
      </c>
      <c r="B494" s="8">
        <v>518973</v>
      </c>
    </row>
    <row r="495" spans="1:2" x14ac:dyDescent="0.3">
      <c r="A495" s="6" t="s">
        <v>431</v>
      </c>
      <c r="B495" s="8">
        <v>511578</v>
      </c>
    </row>
    <row r="496" spans="1:2" x14ac:dyDescent="0.3">
      <c r="A496" s="6" t="s">
        <v>472</v>
      </c>
      <c r="B496" s="8">
        <v>502903</v>
      </c>
    </row>
    <row r="497" spans="1:2" x14ac:dyDescent="0.3">
      <c r="A497" s="6" t="s">
        <v>477</v>
      </c>
      <c r="B497" s="8">
        <v>501616</v>
      </c>
    </row>
    <row r="498" spans="1:2" x14ac:dyDescent="0.3">
      <c r="A498" s="6" t="s">
        <v>518</v>
      </c>
      <c r="B498" s="8">
        <v>496278</v>
      </c>
    </row>
    <row r="499" spans="1:2" x14ac:dyDescent="0.3">
      <c r="A499" s="6" t="s">
        <v>417</v>
      </c>
      <c r="B499" s="8">
        <v>487393</v>
      </c>
    </row>
    <row r="500" spans="1:2" x14ac:dyDescent="0.3">
      <c r="A500" s="6" t="s">
        <v>501</v>
      </c>
      <c r="B500" s="8">
        <v>480408</v>
      </c>
    </row>
    <row r="501" spans="1:2" x14ac:dyDescent="0.3">
      <c r="A501" s="6" t="s">
        <v>32</v>
      </c>
      <c r="B501" s="8">
        <v>453994</v>
      </c>
    </row>
    <row r="502" spans="1:2" x14ac:dyDescent="0.3">
      <c r="A502" s="6" t="s">
        <v>538</v>
      </c>
      <c r="B502" s="8">
        <v>453555</v>
      </c>
    </row>
    <row r="503" spans="1:2" x14ac:dyDescent="0.3">
      <c r="A503" s="6" t="s">
        <v>484</v>
      </c>
      <c r="B503" s="8">
        <v>452761</v>
      </c>
    </row>
    <row r="504" spans="1:2" x14ac:dyDescent="0.3">
      <c r="A504" s="6" t="s">
        <v>469</v>
      </c>
      <c r="B504" s="8">
        <v>452440</v>
      </c>
    </row>
    <row r="505" spans="1:2" x14ac:dyDescent="0.3">
      <c r="A505" s="6" t="s">
        <v>5</v>
      </c>
      <c r="B505" s="8">
        <v>446914</v>
      </c>
    </row>
    <row r="506" spans="1:2" x14ac:dyDescent="0.3">
      <c r="A506" s="6" t="s">
        <v>536</v>
      </c>
      <c r="B506" s="8">
        <v>438881</v>
      </c>
    </row>
    <row r="507" spans="1:2" x14ac:dyDescent="0.3">
      <c r="A507" s="6" t="s">
        <v>465</v>
      </c>
      <c r="B507" s="8">
        <v>429202</v>
      </c>
    </row>
    <row r="508" spans="1:2" x14ac:dyDescent="0.3">
      <c r="A508" s="6" t="s">
        <v>487</v>
      </c>
      <c r="B508" s="8">
        <v>427489</v>
      </c>
    </row>
    <row r="509" spans="1:2" x14ac:dyDescent="0.3">
      <c r="A509" s="6" t="s">
        <v>440</v>
      </c>
      <c r="B509" s="8">
        <v>425541</v>
      </c>
    </row>
    <row r="510" spans="1:2" x14ac:dyDescent="0.3">
      <c r="A510" s="6" t="s">
        <v>19</v>
      </c>
      <c r="B510" s="8">
        <v>421128</v>
      </c>
    </row>
    <row r="511" spans="1:2" x14ac:dyDescent="0.3">
      <c r="A511" s="6" t="s">
        <v>23</v>
      </c>
      <c r="B511" s="8">
        <v>400068</v>
      </c>
    </row>
    <row r="512" spans="1:2" x14ac:dyDescent="0.3">
      <c r="A512" s="6" t="s">
        <v>454</v>
      </c>
      <c r="B512" s="8">
        <v>393715</v>
      </c>
    </row>
    <row r="513" spans="1:2" x14ac:dyDescent="0.3">
      <c r="A513" s="6" t="s">
        <v>674</v>
      </c>
      <c r="B513" s="8">
        <v>391462</v>
      </c>
    </row>
    <row r="514" spans="1:2" x14ac:dyDescent="0.3">
      <c r="A514" s="6" t="s">
        <v>480</v>
      </c>
      <c r="B514" s="8">
        <v>355303</v>
      </c>
    </row>
    <row r="515" spans="1:2" x14ac:dyDescent="0.3">
      <c r="A515" s="6" t="s">
        <v>543</v>
      </c>
      <c r="B515" s="8">
        <v>352607</v>
      </c>
    </row>
    <row r="516" spans="1:2" x14ac:dyDescent="0.3">
      <c r="A516" s="6" t="s">
        <v>635</v>
      </c>
      <c r="B516" s="8">
        <v>347607</v>
      </c>
    </row>
    <row r="517" spans="1:2" x14ac:dyDescent="0.3">
      <c r="A517" s="6" t="s">
        <v>471</v>
      </c>
      <c r="B517" s="8">
        <v>346405</v>
      </c>
    </row>
    <row r="518" spans="1:2" x14ac:dyDescent="0.3">
      <c r="A518" s="6" t="s">
        <v>479</v>
      </c>
      <c r="B518" s="8">
        <v>341237</v>
      </c>
    </row>
    <row r="519" spans="1:2" x14ac:dyDescent="0.3">
      <c r="A519" s="6" t="s">
        <v>8</v>
      </c>
      <c r="B519" s="8">
        <v>339957</v>
      </c>
    </row>
    <row r="520" spans="1:2" x14ac:dyDescent="0.3">
      <c r="A520" s="6" t="s">
        <v>541</v>
      </c>
      <c r="B520" s="8">
        <v>326445</v>
      </c>
    </row>
    <row r="521" spans="1:2" x14ac:dyDescent="0.3">
      <c r="A521" s="6" t="s">
        <v>528</v>
      </c>
      <c r="B521" s="8">
        <v>321688</v>
      </c>
    </row>
    <row r="522" spans="1:2" x14ac:dyDescent="0.3">
      <c r="A522" s="6" t="s">
        <v>526</v>
      </c>
      <c r="B522" s="8">
        <v>320988</v>
      </c>
    </row>
    <row r="523" spans="1:2" x14ac:dyDescent="0.3">
      <c r="A523" s="6" t="s">
        <v>466</v>
      </c>
      <c r="B523" s="8">
        <v>316115</v>
      </c>
    </row>
    <row r="524" spans="1:2" x14ac:dyDescent="0.3">
      <c r="A524" s="6" t="s">
        <v>464</v>
      </c>
      <c r="B524" s="8">
        <v>292205</v>
      </c>
    </row>
    <row r="525" spans="1:2" x14ac:dyDescent="0.3">
      <c r="A525" s="6" t="s">
        <v>486</v>
      </c>
      <c r="B525" s="8">
        <v>273307</v>
      </c>
    </row>
    <row r="526" spans="1:2" x14ac:dyDescent="0.3">
      <c r="A526" s="6" t="s">
        <v>485</v>
      </c>
      <c r="B526" s="8">
        <v>248127</v>
      </c>
    </row>
    <row r="527" spans="1:2" x14ac:dyDescent="0.3">
      <c r="A527" s="6" t="s">
        <v>488</v>
      </c>
      <c r="B527" s="8">
        <v>235189</v>
      </c>
    </row>
    <row r="528" spans="1:2" x14ac:dyDescent="0.3">
      <c r="A528" s="6" t="s">
        <v>507</v>
      </c>
      <c r="B528" s="8">
        <v>229294</v>
      </c>
    </row>
    <row r="529" spans="1:2" x14ac:dyDescent="0.3">
      <c r="A529" s="6" t="s">
        <v>513</v>
      </c>
      <c r="B529" s="8">
        <v>229215</v>
      </c>
    </row>
    <row r="530" spans="1:2" x14ac:dyDescent="0.3">
      <c r="A530" s="6" t="s">
        <v>493</v>
      </c>
      <c r="B530" s="8">
        <v>227700</v>
      </c>
    </row>
    <row r="531" spans="1:2" x14ac:dyDescent="0.3">
      <c r="A531" s="6" t="s">
        <v>511</v>
      </c>
      <c r="B531" s="8">
        <v>226309</v>
      </c>
    </row>
    <row r="532" spans="1:2" x14ac:dyDescent="0.3">
      <c r="A532" s="6" t="s">
        <v>542</v>
      </c>
      <c r="B532" s="8">
        <v>225088</v>
      </c>
    </row>
    <row r="533" spans="1:2" x14ac:dyDescent="0.3">
      <c r="A533" s="6" t="s">
        <v>891</v>
      </c>
      <c r="B533" s="8">
        <v>224337</v>
      </c>
    </row>
    <row r="534" spans="1:2" x14ac:dyDescent="0.3">
      <c r="A534" s="6" t="s">
        <v>540</v>
      </c>
      <c r="B534" s="8">
        <v>215572</v>
      </c>
    </row>
    <row r="535" spans="1:2" x14ac:dyDescent="0.3">
      <c r="A535" s="6" t="s">
        <v>504</v>
      </c>
      <c r="B535" s="8">
        <v>204159</v>
      </c>
    </row>
    <row r="536" spans="1:2" x14ac:dyDescent="0.3">
      <c r="A536" s="6" t="s">
        <v>500</v>
      </c>
      <c r="B536" s="8">
        <v>201070</v>
      </c>
    </row>
    <row r="537" spans="1:2" x14ac:dyDescent="0.3">
      <c r="A537" s="6" t="s">
        <v>539</v>
      </c>
      <c r="B537" s="8">
        <v>183051</v>
      </c>
    </row>
    <row r="538" spans="1:2" x14ac:dyDescent="0.3">
      <c r="A538" s="6" t="s">
        <v>571</v>
      </c>
      <c r="B538" s="8">
        <v>166052</v>
      </c>
    </row>
    <row r="539" spans="1:2" x14ac:dyDescent="0.3">
      <c r="A539" s="6" t="s">
        <v>529</v>
      </c>
      <c r="B539" s="8">
        <v>156358</v>
      </c>
    </row>
    <row r="540" spans="1:2" x14ac:dyDescent="0.3">
      <c r="A540" s="6" t="s">
        <v>556</v>
      </c>
      <c r="B540" s="8">
        <v>151452</v>
      </c>
    </row>
    <row r="541" spans="1:2" x14ac:dyDescent="0.3">
      <c r="A541" s="6" t="s">
        <v>554</v>
      </c>
      <c r="B541" s="8">
        <v>139231</v>
      </c>
    </row>
    <row r="542" spans="1:2" x14ac:dyDescent="0.3">
      <c r="A542" s="6" t="s">
        <v>588</v>
      </c>
      <c r="B542" s="8">
        <v>139094</v>
      </c>
    </row>
    <row r="543" spans="1:2" x14ac:dyDescent="0.3">
      <c r="A543" s="6" t="s">
        <v>655</v>
      </c>
      <c r="B543" s="8">
        <v>133141</v>
      </c>
    </row>
    <row r="544" spans="1:2" x14ac:dyDescent="0.3">
      <c r="A544" s="6" t="s">
        <v>506</v>
      </c>
      <c r="B544" s="8">
        <v>127748</v>
      </c>
    </row>
    <row r="545" spans="1:2" x14ac:dyDescent="0.3">
      <c r="A545" s="6" t="s">
        <v>558</v>
      </c>
      <c r="B545" s="8">
        <v>127408</v>
      </c>
    </row>
    <row r="546" spans="1:2" x14ac:dyDescent="0.3">
      <c r="A546" s="6" t="s">
        <v>555</v>
      </c>
      <c r="B546" s="8">
        <v>124022</v>
      </c>
    </row>
    <row r="547" spans="1:2" x14ac:dyDescent="0.3">
      <c r="A547" s="6" t="s">
        <v>509</v>
      </c>
      <c r="B547" s="8">
        <v>123291</v>
      </c>
    </row>
    <row r="548" spans="1:2" x14ac:dyDescent="0.3">
      <c r="A548" s="6" t="s">
        <v>559</v>
      </c>
      <c r="B548" s="8">
        <v>120354</v>
      </c>
    </row>
    <row r="549" spans="1:2" x14ac:dyDescent="0.3">
      <c r="A549" s="6" t="s">
        <v>753</v>
      </c>
      <c r="B549" s="8">
        <v>115899</v>
      </c>
    </row>
    <row r="550" spans="1:2" x14ac:dyDescent="0.3">
      <c r="A550" s="6" t="s">
        <v>530</v>
      </c>
      <c r="B550" s="8">
        <v>96551</v>
      </c>
    </row>
    <row r="551" spans="1:2" x14ac:dyDescent="0.3">
      <c r="A551" s="6" t="s">
        <v>525</v>
      </c>
      <c r="B551" s="8">
        <v>96150</v>
      </c>
    </row>
    <row r="552" spans="1:2" x14ac:dyDescent="0.3">
      <c r="A552" s="6" t="s">
        <v>524</v>
      </c>
      <c r="B552" s="8">
        <v>95714</v>
      </c>
    </row>
    <row r="553" spans="1:2" x14ac:dyDescent="0.3">
      <c r="A553" s="6" t="s">
        <v>537</v>
      </c>
      <c r="B553" s="8">
        <v>92644</v>
      </c>
    </row>
    <row r="554" spans="1:2" x14ac:dyDescent="0.3">
      <c r="A554" s="6" t="s">
        <v>595</v>
      </c>
      <c r="B554" s="8">
        <v>90226</v>
      </c>
    </row>
    <row r="555" spans="1:2" x14ac:dyDescent="0.3">
      <c r="A555" s="6" t="s">
        <v>533</v>
      </c>
      <c r="B555" s="8">
        <v>89510</v>
      </c>
    </row>
    <row r="556" spans="1:2" x14ac:dyDescent="0.3">
      <c r="A556" s="6" t="s">
        <v>499</v>
      </c>
      <c r="B556" s="8">
        <v>84917</v>
      </c>
    </row>
    <row r="557" spans="1:2" x14ac:dyDescent="0.3">
      <c r="A557" s="6" t="s">
        <v>561</v>
      </c>
      <c r="B557" s="8">
        <v>84462</v>
      </c>
    </row>
    <row r="558" spans="1:2" x14ac:dyDescent="0.3">
      <c r="A558" s="6" t="s">
        <v>596</v>
      </c>
      <c r="B558" s="8">
        <v>72887</v>
      </c>
    </row>
    <row r="559" spans="1:2" x14ac:dyDescent="0.3">
      <c r="A559" s="6" t="s">
        <v>521</v>
      </c>
      <c r="B559" s="8">
        <v>72687</v>
      </c>
    </row>
    <row r="560" spans="1:2" x14ac:dyDescent="0.3">
      <c r="A560" s="6" t="s">
        <v>662</v>
      </c>
      <c r="B560" s="8">
        <v>72034</v>
      </c>
    </row>
    <row r="561" spans="1:2" x14ac:dyDescent="0.3">
      <c r="A561" s="6" t="s">
        <v>560</v>
      </c>
      <c r="B561" s="8">
        <v>64638</v>
      </c>
    </row>
    <row r="562" spans="1:2" x14ac:dyDescent="0.3">
      <c r="A562" s="6" t="s">
        <v>980</v>
      </c>
      <c r="B562" s="8">
        <v>60536</v>
      </c>
    </row>
    <row r="563" spans="1:2" x14ac:dyDescent="0.3">
      <c r="A563" s="6" t="s">
        <v>552</v>
      </c>
      <c r="B563" s="8">
        <v>59732</v>
      </c>
    </row>
    <row r="564" spans="1:2" x14ac:dyDescent="0.3">
      <c r="A564" s="6" t="s">
        <v>685</v>
      </c>
      <c r="B564" s="8">
        <v>59129</v>
      </c>
    </row>
    <row r="565" spans="1:2" x14ac:dyDescent="0.3">
      <c r="A565" s="6" t="s">
        <v>548</v>
      </c>
      <c r="B565" s="8">
        <v>58002</v>
      </c>
    </row>
    <row r="566" spans="1:2" x14ac:dyDescent="0.3">
      <c r="A566" s="6" t="s">
        <v>532</v>
      </c>
      <c r="B566" s="8">
        <v>56233</v>
      </c>
    </row>
    <row r="567" spans="1:2" x14ac:dyDescent="0.3">
      <c r="A567" s="6" t="s">
        <v>547</v>
      </c>
      <c r="B567" s="8">
        <v>55317</v>
      </c>
    </row>
    <row r="568" spans="1:2" x14ac:dyDescent="0.3">
      <c r="A568" s="6" t="s">
        <v>979</v>
      </c>
      <c r="B568" s="8">
        <v>51394</v>
      </c>
    </row>
    <row r="569" spans="1:2" x14ac:dyDescent="0.3">
      <c r="A569" s="6" t="s">
        <v>553</v>
      </c>
      <c r="B569" s="8">
        <v>50674</v>
      </c>
    </row>
    <row r="570" spans="1:2" x14ac:dyDescent="0.3">
      <c r="A570" s="6" t="s">
        <v>978</v>
      </c>
      <c r="B570" s="8">
        <v>46596</v>
      </c>
    </row>
    <row r="571" spans="1:2" x14ac:dyDescent="0.3">
      <c r="A571" s="6" t="s">
        <v>562</v>
      </c>
      <c r="B571" s="8">
        <v>45872</v>
      </c>
    </row>
    <row r="572" spans="1:2" x14ac:dyDescent="0.3">
      <c r="A572" s="6" t="s">
        <v>557</v>
      </c>
      <c r="B572" s="8">
        <v>42142</v>
      </c>
    </row>
    <row r="573" spans="1:2" x14ac:dyDescent="0.3">
      <c r="A573" s="6" t="s">
        <v>977</v>
      </c>
      <c r="B573" s="8">
        <v>39151</v>
      </c>
    </row>
    <row r="574" spans="1:2" x14ac:dyDescent="0.3">
      <c r="A574" s="6" t="s">
        <v>692</v>
      </c>
      <c r="B574" s="8">
        <v>38785</v>
      </c>
    </row>
    <row r="575" spans="1:2" x14ac:dyDescent="0.3">
      <c r="A575" s="6" t="s">
        <v>544</v>
      </c>
      <c r="B575" s="8">
        <v>38419</v>
      </c>
    </row>
    <row r="576" spans="1:2" x14ac:dyDescent="0.3">
      <c r="A576" s="6" t="s">
        <v>648</v>
      </c>
      <c r="B576" s="8">
        <v>35938</v>
      </c>
    </row>
    <row r="577" spans="1:2" x14ac:dyDescent="0.3">
      <c r="A577" s="6" t="s">
        <v>566</v>
      </c>
      <c r="B577" s="8">
        <v>35578</v>
      </c>
    </row>
    <row r="578" spans="1:2" x14ac:dyDescent="0.3">
      <c r="A578" s="6" t="s">
        <v>550</v>
      </c>
      <c r="B578" s="8">
        <v>35522</v>
      </c>
    </row>
    <row r="579" spans="1:2" x14ac:dyDescent="0.3">
      <c r="A579" s="6" t="s">
        <v>565</v>
      </c>
      <c r="B579" s="8">
        <v>35358</v>
      </c>
    </row>
    <row r="580" spans="1:2" x14ac:dyDescent="0.3">
      <c r="A580" s="6" t="s">
        <v>976</v>
      </c>
      <c r="B580" s="8">
        <v>34940</v>
      </c>
    </row>
    <row r="581" spans="1:2" x14ac:dyDescent="0.3">
      <c r="A581" s="6" t="s">
        <v>670</v>
      </c>
      <c r="B581" s="8">
        <v>33698</v>
      </c>
    </row>
    <row r="582" spans="1:2" x14ac:dyDescent="0.3">
      <c r="A582" s="6" t="s">
        <v>624</v>
      </c>
      <c r="B582" s="8">
        <v>31276</v>
      </c>
    </row>
    <row r="583" spans="1:2" x14ac:dyDescent="0.3">
      <c r="A583" s="6" t="s">
        <v>896</v>
      </c>
      <c r="B583" s="8">
        <v>30670</v>
      </c>
    </row>
    <row r="584" spans="1:2" x14ac:dyDescent="0.3">
      <c r="A584" s="6" t="s">
        <v>515</v>
      </c>
      <c r="B584" s="8">
        <v>29972</v>
      </c>
    </row>
    <row r="585" spans="1:2" x14ac:dyDescent="0.3">
      <c r="A585" s="6" t="s">
        <v>688</v>
      </c>
      <c r="B585" s="8">
        <v>26609</v>
      </c>
    </row>
    <row r="586" spans="1:2" x14ac:dyDescent="0.3">
      <c r="A586" s="6" t="s">
        <v>975</v>
      </c>
      <c r="B586" s="8">
        <v>26546</v>
      </c>
    </row>
    <row r="587" spans="1:2" x14ac:dyDescent="0.3">
      <c r="A587" s="6" t="s">
        <v>971</v>
      </c>
      <c r="B587" s="8">
        <v>25964</v>
      </c>
    </row>
    <row r="588" spans="1:2" x14ac:dyDescent="0.3">
      <c r="A588" s="6" t="s">
        <v>945</v>
      </c>
      <c r="B588" s="8">
        <v>25855</v>
      </c>
    </row>
    <row r="589" spans="1:2" x14ac:dyDescent="0.3">
      <c r="A589" s="6" t="s">
        <v>973</v>
      </c>
      <c r="B589" s="8">
        <v>25814</v>
      </c>
    </row>
    <row r="590" spans="1:2" x14ac:dyDescent="0.3">
      <c r="A590" s="6" t="s">
        <v>599</v>
      </c>
      <c r="B590" s="8">
        <v>24876</v>
      </c>
    </row>
    <row r="591" spans="1:2" x14ac:dyDescent="0.3">
      <c r="A591" s="6" t="s">
        <v>970</v>
      </c>
      <c r="B591" s="8">
        <v>24226</v>
      </c>
    </row>
    <row r="592" spans="1:2" x14ac:dyDescent="0.3">
      <c r="A592" s="6" t="s">
        <v>651</v>
      </c>
      <c r="B592" s="8">
        <v>24015</v>
      </c>
    </row>
    <row r="593" spans="1:2" x14ac:dyDescent="0.3">
      <c r="A593" s="6" t="s">
        <v>616</v>
      </c>
      <c r="B593" s="8">
        <v>23712</v>
      </c>
    </row>
    <row r="594" spans="1:2" x14ac:dyDescent="0.3">
      <c r="A594" s="6" t="s">
        <v>569</v>
      </c>
      <c r="B594" s="8">
        <v>23676</v>
      </c>
    </row>
    <row r="595" spans="1:2" x14ac:dyDescent="0.3">
      <c r="A595" s="6" t="s">
        <v>800</v>
      </c>
      <c r="B595" s="8">
        <v>22669</v>
      </c>
    </row>
    <row r="596" spans="1:2" x14ac:dyDescent="0.3">
      <c r="A596" s="6" t="s">
        <v>957</v>
      </c>
      <c r="B596" s="8">
        <v>21486</v>
      </c>
    </row>
    <row r="597" spans="1:2" x14ac:dyDescent="0.3">
      <c r="A597" s="6" t="s">
        <v>587</v>
      </c>
      <c r="B597" s="8">
        <v>21464</v>
      </c>
    </row>
    <row r="598" spans="1:2" x14ac:dyDescent="0.3">
      <c r="A598" s="6" t="s">
        <v>625</v>
      </c>
      <c r="B598" s="8">
        <v>20558</v>
      </c>
    </row>
    <row r="599" spans="1:2" x14ac:dyDescent="0.3">
      <c r="A599" s="6" t="s">
        <v>972</v>
      </c>
      <c r="B599" s="8">
        <v>20488</v>
      </c>
    </row>
    <row r="600" spans="1:2" x14ac:dyDescent="0.3">
      <c r="A600" s="6" t="s">
        <v>888</v>
      </c>
      <c r="B600" s="8">
        <v>19943</v>
      </c>
    </row>
    <row r="601" spans="1:2" x14ac:dyDescent="0.3">
      <c r="A601" s="6" t="s">
        <v>527</v>
      </c>
      <c r="B601" s="8">
        <v>19886</v>
      </c>
    </row>
    <row r="602" spans="1:2" x14ac:dyDescent="0.3">
      <c r="A602" s="6" t="s">
        <v>930</v>
      </c>
      <c r="B602" s="8">
        <v>19790</v>
      </c>
    </row>
    <row r="603" spans="1:2" x14ac:dyDescent="0.3">
      <c r="A603" s="6" t="s">
        <v>956</v>
      </c>
      <c r="B603" s="8">
        <v>19736</v>
      </c>
    </row>
    <row r="604" spans="1:2" x14ac:dyDescent="0.3">
      <c r="A604" s="6" t="s">
        <v>872</v>
      </c>
      <c r="B604" s="8">
        <v>19237</v>
      </c>
    </row>
    <row r="605" spans="1:2" x14ac:dyDescent="0.3">
      <c r="A605" s="6" t="s">
        <v>568</v>
      </c>
      <c r="B605" s="8">
        <v>19114</v>
      </c>
    </row>
    <row r="606" spans="1:2" x14ac:dyDescent="0.3">
      <c r="A606" s="6" t="s">
        <v>969</v>
      </c>
      <c r="B606" s="8">
        <v>18701</v>
      </c>
    </row>
    <row r="607" spans="1:2" x14ac:dyDescent="0.3">
      <c r="A607" s="6" t="s">
        <v>725</v>
      </c>
      <c r="B607" s="8">
        <v>18621</v>
      </c>
    </row>
    <row r="608" spans="1:2" x14ac:dyDescent="0.3">
      <c r="A608" s="6" t="s">
        <v>807</v>
      </c>
      <c r="B608" s="8">
        <v>18558</v>
      </c>
    </row>
    <row r="609" spans="1:2" x14ac:dyDescent="0.3">
      <c r="A609" s="6" t="s">
        <v>927</v>
      </c>
      <c r="B609" s="8">
        <v>18243</v>
      </c>
    </row>
    <row r="610" spans="1:2" x14ac:dyDescent="0.3">
      <c r="A610" s="6" t="s">
        <v>564</v>
      </c>
      <c r="B610" s="8">
        <v>17281</v>
      </c>
    </row>
    <row r="611" spans="1:2" x14ac:dyDescent="0.3">
      <c r="A611" s="6" t="s">
        <v>832</v>
      </c>
      <c r="B611" s="8">
        <v>17096</v>
      </c>
    </row>
    <row r="612" spans="1:2" x14ac:dyDescent="0.3">
      <c r="A612" s="6" t="s">
        <v>754</v>
      </c>
      <c r="B612" s="8">
        <v>16973</v>
      </c>
    </row>
    <row r="613" spans="1:2" x14ac:dyDescent="0.3">
      <c r="A613" s="6" t="s">
        <v>633</v>
      </c>
      <c r="B613" s="8">
        <v>16363</v>
      </c>
    </row>
    <row r="614" spans="1:2" x14ac:dyDescent="0.3">
      <c r="A614" s="6" t="s">
        <v>917</v>
      </c>
      <c r="B614" s="8">
        <v>16121</v>
      </c>
    </row>
    <row r="615" spans="1:2" x14ac:dyDescent="0.3">
      <c r="A615" s="6" t="s">
        <v>658</v>
      </c>
      <c r="B615" s="8">
        <v>15890</v>
      </c>
    </row>
    <row r="616" spans="1:2" x14ac:dyDescent="0.3">
      <c r="A616" s="6" t="s">
        <v>576</v>
      </c>
      <c r="B616" s="8">
        <v>15852</v>
      </c>
    </row>
    <row r="617" spans="1:2" x14ac:dyDescent="0.3">
      <c r="A617" s="6" t="s">
        <v>629</v>
      </c>
      <c r="B617" s="8">
        <v>15810</v>
      </c>
    </row>
    <row r="618" spans="1:2" x14ac:dyDescent="0.3">
      <c r="A618" s="6" t="s">
        <v>549</v>
      </c>
      <c r="B618" s="8">
        <v>15269</v>
      </c>
    </row>
    <row r="619" spans="1:2" x14ac:dyDescent="0.3">
      <c r="A619" s="6" t="s">
        <v>893</v>
      </c>
      <c r="B619" s="8">
        <v>15202</v>
      </c>
    </row>
    <row r="620" spans="1:2" x14ac:dyDescent="0.3">
      <c r="A620" s="6" t="s">
        <v>955</v>
      </c>
      <c r="B620" s="8">
        <v>15098</v>
      </c>
    </row>
    <row r="621" spans="1:2" x14ac:dyDescent="0.3">
      <c r="A621" s="6" t="s">
        <v>645</v>
      </c>
      <c r="B621" s="8">
        <v>14973</v>
      </c>
    </row>
    <row r="622" spans="1:2" x14ac:dyDescent="0.3">
      <c r="A622" s="6" t="s">
        <v>709</v>
      </c>
      <c r="B622" s="8">
        <v>14927</v>
      </c>
    </row>
    <row r="623" spans="1:2" x14ac:dyDescent="0.3">
      <c r="A623" s="6" t="s">
        <v>751</v>
      </c>
      <c r="B623" s="8">
        <v>14248</v>
      </c>
    </row>
    <row r="624" spans="1:2" x14ac:dyDescent="0.3">
      <c r="A624" s="6" t="s">
        <v>630</v>
      </c>
      <c r="B624" s="8">
        <v>14011</v>
      </c>
    </row>
    <row r="625" spans="1:2" x14ac:dyDescent="0.3">
      <c r="A625" s="6" t="s">
        <v>634</v>
      </c>
      <c r="B625" s="8">
        <v>13444</v>
      </c>
    </row>
    <row r="626" spans="1:2" x14ac:dyDescent="0.3">
      <c r="A626" s="6" t="s">
        <v>570</v>
      </c>
      <c r="B626" s="8">
        <v>13087</v>
      </c>
    </row>
    <row r="627" spans="1:2" x14ac:dyDescent="0.3">
      <c r="A627" s="6" t="s">
        <v>577</v>
      </c>
      <c r="B627" s="8">
        <v>13064</v>
      </c>
    </row>
    <row r="628" spans="1:2" x14ac:dyDescent="0.3">
      <c r="A628" s="6" t="s">
        <v>678</v>
      </c>
      <c r="B628" s="8">
        <v>12701</v>
      </c>
    </row>
    <row r="629" spans="1:2" x14ac:dyDescent="0.3">
      <c r="A629" s="6" t="s">
        <v>948</v>
      </c>
      <c r="B629" s="8">
        <v>12624</v>
      </c>
    </row>
    <row r="630" spans="1:2" x14ac:dyDescent="0.3">
      <c r="A630" s="6" t="s">
        <v>579</v>
      </c>
      <c r="B630" s="8">
        <v>12524</v>
      </c>
    </row>
    <row r="631" spans="1:2" x14ac:dyDescent="0.3">
      <c r="A631" s="6" t="s">
        <v>574</v>
      </c>
      <c r="B631" s="8">
        <v>12326</v>
      </c>
    </row>
    <row r="632" spans="1:2" x14ac:dyDescent="0.3">
      <c r="A632" s="6" t="s">
        <v>546</v>
      </c>
      <c r="B632" s="8">
        <v>12225</v>
      </c>
    </row>
    <row r="633" spans="1:2" x14ac:dyDescent="0.3">
      <c r="A633" s="6" t="s">
        <v>665</v>
      </c>
      <c r="B633" s="8">
        <v>12185</v>
      </c>
    </row>
    <row r="634" spans="1:2" x14ac:dyDescent="0.3">
      <c r="A634" s="6" t="s">
        <v>641</v>
      </c>
      <c r="B634" s="8">
        <v>12100</v>
      </c>
    </row>
    <row r="635" spans="1:2" x14ac:dyDescent="0.3">
      <c r="A635" s="6" t="s">
        <v>592</v>
      </c>
      <c r="B635" s="8">
        <v>12088</v>
      </c>
    </row>
    <row r="636" spans="1:2" x14ac:dyDescent="0.3">
      <c r="A636" s="6" t="s">
        <v>958</v>
      </c>
      <c r="B636" s="8">
        <v>12054</v>
      </c>
    </row>
    <row r="637" spans="1:2" x14ac:dyDescent="0.3">
      <c r="A637" s="6" t="s">
        <v>551</v>
      </c>
      <c r="B637" s="8">
        <v>12052</v>
      </c>
    </row>
    <row r="638" spans="1:2" x14ac:dyDescent="0.3">
      <c r="A638" s="6" t="s">
        <v>687</v>
      </c>
      <c r="B638" s="8">
        <v>11629</v>
      </c>
    </row>
    <row r="639" spans="1:2" x14ac:dyDescent="0.3">
      <c r="A639" s="6" t="s">
        <v>732</v>
      </c>
      <c r="B639" s="8">
        <v>11498</v>
      </c>
    </row>
    <row r="640" spans="1:2" x14ac:dyDescent="0.3">
      <c r="A640" s="6" t="s">
        <v>867</v>
      </c>
      <c r="B640" s="8">
        <v>10794</v>
      </c>
    </row>
    <row r="641" spans="1:2" x14ac:dyDescent="0.3">
      <c r="A641" s="6" t="s">
        <v>961</v>
      </c>
      <c r="B641" s="8">
        <v>10763</v>
      </c>
    </row>
    <row r="642" spans="1:2" x14ac:dyDescent="0.3">
      <c r="A642" s="6" t="s">
        <v>708</v>
      </c>
      <c r="B642" s="8">
        <v>10655</v>
      </c>
    </row>
    <row r="643" spans="1:2" x14ac:dyDescent="0.3">
      <c r="A643" s="6" t="s">
        <v>874</v>
      </c>
      <c r="B643" s="8">
        <v>10573</v>
      </c>
    </row>
    <row r="644" spans="1:2" x14ac:dyDescent="0.3">
      <c r="A644" s="6" t="s">
        <v>946</v>
      </c>
      <c r="B644" s="8">
        <v>10515</v>
      </c>
    </row>
    <row r="645" spans="1:2" x14ac:dyDescent="0.3">
      <c r="A645" s="6" t="s">
        <v>584</v>
      </c>
      <c r="B645" s="8">
        <v>10286</v>
      </c>
    </row>
    <row r="646" spans="1:2" x14ac:dyDescent="0.3">
      <c r="A646" s="6" t="s">
        <v>803</v>
      </c>
      <c r="B646" s="8">
        <v>9717</v>
      </c>
    </row>
    <row r="647" spans="1:2" x14ac:dyDescent="0.3">
      <c r="A647" s="6" t="s">
        <v>614</v>
      </c>
      <c r="B647" s="8">
        <v>9653</v>
      </c>
    </row>
    <row r="648" spans="1:2" x14ac:dyDescent="0.3">
      <c r="A648" s="6" t="s">
        <v>952</v>
      </c>
      <c r="B648" s="8">
        <v>9639</v>
      </c>
    </row>
    <row r="649" spans="1:2" x14ac:dyDescent="0.3">
      <c r="A649" s="6">
        <v>1500</v>
      </c>
      <c r="B649" s="8">
        <v>9597</v>
      </c>
    </row>
    <row r="650" spans="1:2" x14ac:dyDescent="0.3">
      <c r="A650" s="6" t="s">
        <v>885</v>
      </c>
      <c r="B650" s="8">
        <v>9496</v>
      </c>
    </row>
    <row r="651" spans="1:2" x14ac:dyDescent="0.3">
      <c r="A651" s="6" t="s">
        <v>922</v>
      </c>
      <c r="B651" s="8">
        <v>9456</v>
      </c>
    </row>
    <row r="652" spans="1:2" x14ac:dyDescent="0.3">
      <c r="A652" s="6" t="s">
        <v>963</v>
      </c>
      <c r="B652" s="8">
        <v>9328</v>
      </c>
    </row>
    <row r="653" spans="1:2" x14ac:dyDescent="0.3">
      <c r="A653" s="6" t="s">
        <v>960</v>
      </c>
      <c r="B653" s="8">
        <v>9284</v>
      </c>
    </row>
    <row r="654" spans="1:2" x14ac:dyDescent="0.3">
      <c r="A654" s="6" t="s">
        <v>809</v>
      </c>
      <c r="B654" s="8">
        <v>9220</v>
      </c>
    </row>
    <row r="655" spans="1:2" x14ac:dyDescent="0.3">
      <c r="A655" s="6" t="s">
        <v>575</v>
      </c>
      <c r="B655" s="8">
        <v>9211</v>
      </c>
    </row>
    <row r="656" spans="1:2" x14ac:dyDescent="0.3">
      <c r="A656" s="6" t="s">
        <v>964</v>
      </c>
      <c r="B656" s="8">
        <v>9143</v>
      </c>
    </row>
    <row r="657" spans="1:2" x14ac:dyDescent="0.3">
      <c r="A657" s="6" t="s">
        <v>953</v>
      </c>
      <c r="B657" s="8">
        <v>8502</v>
      </c>
    </row>
    <row r="658" spans="1:2" x14ac:dyDescent="0.3">
      <c r="A658" s="6" t="s">
        <v>622</v>
      </c>
      <c r="B658" s="8">
        <v>8489</v>
      </c>
    </row>
    <row r="659" spans="1:2" x14ac:dyDescent="0.3">
      <c r="A659" s="6" t="s">
        <v>954</v>
      </c>
      <c r="B659" s="8">
        <v>8468</v>
      </c>
    </row>
    <row r="660" spans="1:2" x14ac:dyDescent="0.3">
      <c r="A660" s="6" t="s">
        <v>865</v>
      </c>
      <c r="B660" s="8">
        <v>8358</v>
      </c>
    </row>
    <row r="661" spans="1:2" x14ac:dyDescent="0.3">
      <c r="A661" s="6" t="s">
        <v>768</v>
      </c>
      <c r="B661" s="8">
        <v>8317</v>
      </c>
    </row>
    <row r="662" spans="1:2" x14ac:dyDescent="0.3">
      <c r="A662" s="6" t="s">
        <v>962</v>
      </c>
      <c r="B662" s="8">
        <v>8247</v>
      </c>
    </row>
    <row r="663" spans="1:2" x14ac:dyDescent="0.3">
      <c r="A663" s="6" t="s">
        <v>959</v>
      </c>
      <c r="B663" s="8">
        <v>8190</v>
      </c>
    </row>
    <row r="664" spans="1:2" x14ac:dyDescent="0.3">
      <c r="A664" s="6" t="s">
        <v>862</v>
      </c>
      <c r="B664" s="8">
        <v>8155</v>
      </c>
    </row>
    <row r="665" spans="1:2" x14ac:dyDescent="0.3">
      <c r="A665" s="6" t="s">
        <v>701</v>
      </c>
      <c r="B665" s="8">
        <v>8063</v>
      </c>
    </row>
    <row r="666" spans="1:2" x14ac:dyDescent="0.3">
      <c r="A666" s="6" t="s">
        <v>914</v>
      </c>
      <c r="B666" s="8">
        <v>7940</v>
      </c>
    </row>
    <row r="667" spans="1:2" x14ac:dyDescent="0.3">
      <c r="A667" s="6" t="s">
        <v>604</v>
      </c>
      <c r="B667" s="8">
        <v>7789</v>
      </c>
    </row>
    <row r="668" spans="1:2" x14ac:dyDescent="0.3">
      <c r="A668" s="6" t="s">
        <v>892</v>
      </c>
      <c r="B668" s="8">
        <v>7785</v>
      </c>
    </row>
    <row r="669" spans="1:2" x14ac:dyDescent="0.3">
      <c r="A669" s="6" t="s">
        <v>941</v>
      </c>
      <c r="B669" s="8">
        <v>7699</v>
      </c>
    </row>
    <row r="670" spans="1:2" x14ac:dyDescent="0.3">
      <c r="A670" s="6" t="s">
        <v>929</v>
      </c>
      <c r="B670" s="8">
        <v>7698</v>
      </c>
    </row>
    <row r="671" spans="1:2" x14ac:dyDescent="0.3">
      <c r="A671" s="6" t="s">
        <v>823</v>
      </c>
      <c r="B671" s="8">
        <v>7696</v>
      </c>
    </row>
    <row r="672" spans="1:2" x14ac:dyDescent="0.3">
      <c r="A672" s="6" t="s">
        <v>563</v>
      </c>
      <c r="B672" s="8">
        <v>7692</v>
      </c>
    </row>
    <row r="673" spans="1:2" x14ac:dyDescent="0.3">
      <c r="A673" s="6" t="s">
        <v>699</v>
      </c>
      <c r="B673" s="8">
        <v>7676</v>
      </c>
    </row>
    <row r="674" spans="1:2" x14ac:dyDescent="0.3">
      <c r="A674" s="6" t="s">
        <v>623</v>
      </c>
      <c r="B674" s="8">
        <v>7590</v>
      </c>
    </row>
    <row r="675" spans="1:2" x14ac:dyDescent="0.3">
      <c r="A675" s="6" t="s">
        <v>585</v>
      </c>
      <c r="B675" s="8">
        <v>7546</v>
      </c>
    </row>
    <row r="676" spans="1:2" x14ac:dyDescent="0.3">
      <c r="A676" s="6" t="s">
        <v>736</v>
      </c>
      <c r="B676" s="8">
        <v>7475</v>
      </c>
    </row>
    <row r="677" spans="1:2" x14ac:dyDescent="0.3">
      <c r="A677" s="6" t="s">
        <v>582</v>
      </c>
      <c r="B677" s="8">
        <v>7262</v>
      </c>
    </row>
    <row r="678" spans="1:2" x14ac:dyDescent="0.3">
      <c r="A678" s="6" t="s">
        <v>944</v>
      </c>
      <c r="B678" s="8">
        <v>7153</v>
      </c>
    </row>
    <row r="679" spans="1:2" x14ac:dyDescent="0.3">
      <c r="A679" s="6" t="s">
        <v>937</v>
      </c>
      <c r="B679" s="8">
        <v>7140</v>
      </c>
    </row>
    <row r="680" spans="1:2" x14ac:dyDescent="0.3">
      <c r="A680" s="6" t="s">
        <v>619</v>
      </c>
      <c r="B680" s="8">
        <v>7077</v>
      </c>
    </row>
    <row r="681" spans="1:2" x14ac:dyDescent="0.3">
      <c r="A681" s="6" t="s">
        <v>947</v>
      </c>
      <c r="B681" s="8">
        <v>7025</v>
      </c>
    </row>
    <row r="682" spans="1:2" x14ac:dyDescent="0.3">
      <c r="A682" s="6" t="s">
        <v>677</v>
      </c>
      <c r="B682" s="8">
        <v>6875</v>
      </c>
    </row>
    <row r="683" spans="1:2" x14ac:dyDescent="0.3">
      <c r="A683" s="6" t="s">
        <v>921</v>
      </c>
      <c r="B683" s="8">
        <v>6779</v>
      </c>
    </row>
    <row r="684" spans="1:2" x14ac:dyDescent="0.3">
      <c r="A684" s="6" t="s">
        <v>573</v>
      </c>
      <c r="B684" s="8">
        <v>6608</v>
      </c>
    </row>
    <row r="685" spans="1:2" x14ac:dyDescent="0.3">
      <c r="A685" s="6" t="s">
        <v>643</v>
      </c>
      <c r="B685" s="8">
        <v>6521</v>
      </c>
    </row>
    <row r="686" spans="1:2" x14ac:dyDescent="0.3">
      <c r="A686" s="6">
        <v>20000</v>
      </c>
      <c r="B686" s="8">
        <v>6502</v>
      </c>
    </row>
    <row r="687" spans="1:2" x14ac:dyDescent="0.3">
      <c r="A687" s="6" t="s">
        <v>935</v>
      </c>
      <c r="B687" s="8">
        <v>6428</v>
      </c>
    </row>
    <row r="688" spans="1:2" x14ac:dyDescent="0.3">
      <c r="A688" s="6" t="s">
        <v>669</v>
      </c>
      <c r="B688" s="8">
        <v>6425</v>
      </c>
    </row>
    <row r="689" spans="1:2" x14ac:dyDescent="0.3">
      <c r="A689" s="6" t="s">
        <v>951</v>
      </c>
      <c r="B689" s="8">
        <v>6248</v>
      </c>
    </row>
    <row r="690" spans="1:2" x14ac:dyDescent="0.3">
      <c r="A690" s="6" t="s">
        <v>607</v>
      </c>
      <c r="B690" s="8">
        <v>6238</v>
      </c>
    </row>
    <row r="691" spans="1:2" x14ac:dyDescent="0.3">
      <c r="A691" s="6" t="s">
        <v>859</v>
      </c>
      <c r="B691" s="8">
        <v>6226</v>
      </c>
    </row>
    <row r="692" spans="1:2" x14ac:dyDescent="0.3">
      <c r="A692" s="6" t="s">
        <v>949</v>
      </c>
      <c r="B692" s="8">
        <v>6198</v>
      </c>
    </row>
    <row r="693" spans="1:2" x14ac:dyDescent="0.3">
      <c r="A693" s="6" t="s">
        <v>567</v>
      </c>
      <c r="B693" s="8">
        <v>6166</v>
      </c>
    </row>
    <row r="694" spans="1:2" x14ac:dyDescent="0.3">
      <c r="A694" s="6" t="s">
        <v>858</v>
      </c>
      <c r="B694" s="8">
        <v>6079</v>
      </c>
    </row>
    <row r="695" spans="1:2" x14ac:dyDescent="0.3">
      <c r="A695" s="6" t="s">
        <v>950</v>
      </c>
      <c r="B695" s="8">
        <v>5984</v>
      </c>
    </row>
    <row r="696" spans="1:2" x14ac:dyDescent="0.3">
      <c r="A696" s="6" t="s">
        <v>621</v>
      </c>
      <c r="B696" s="8">
        <v>5942</v>
      </c>
    </row>
    <row r="697" spans="1:2" x14ac:dyDescent="0.3">
      <c r="A697" s="6" t="s">
        <v>611</v>
      </c>
      <c r="B697" s="8">
        <v>5907</v>
      </c>
    </row>
    <row r="698" spans="1:2" x14ac:dyDescent="0.3">
      <c r="A698" s="6" t="s">
        <v>943</v>
      </c>
      <c r="B698" s="8">
        <v>5871</v>
      </c>
    </row>
    <row r="699" spans="1:2" x14ac:dyDescent="0.3">
      <c r="A699" s="6" t="s">
        <v>578</v>
      </c>
      <c r="B699" s="8">
        <v>5821</v>
      </c>
    </row>
    <row r="700" spans="1:2" x14ac:dyDescent="0.3">
      <c r="A700" s="6" t="s">
        <v>581</v>
      </c>
      <c r="B700" s="8">
        <v>5779</v>
      </c>
    </row>
    <row r="701" spans="1:2" x14ac:dyDescent="0.3">
      <c r="A701" s="6" t="s">
        <v>871</v>
      </c>
      <c r="B701" s="8">
        <v>5636</v>
      </c>
    </row>
    <row r="702" spans="1:2" x14ac:dyDescent="0.3">
      <c r="A702" s="6" t="s">
        <v>600</v>
      </c>
      <c r="B702" s="8">
        <v>5575</v>
      </c>
    </row>
    <row r="703" spans="1:2" x14ac:dyDescent="0.3">
      <c r="A703" s="6" t="s">
        <v>838</v>
      </c>
      <c r="B703" s="8">
        <v>5549</v>
      </c>
    </row>
    <row r="704" spans="1:2" x14ac:dyDescent="0.3">
      <c r="A704" s="6" t="s">
        <v>940</v>
      </c>
      <c r="B704" s="8">
        <v>5490</v>
      </c>
    </row>
    <row r="705" spans="1:2" x14ac:dyDescent="0.3">
      <c r="A705" s="6" t="s">
        <v>598</v>
      </c>
      <c r="B705" s="8">
        <v>5426</v>
      </c>
    </row>
    <row r="706" spans="1:2" x14ac:dyDescent="0.3">
      <c r="A706" s="6" t="s">
        <v>942</v>
      </c>
      <c r="B706" s="8">
        <v>5351</v>
      </c>
    </row>
    <row r="707" spans="1:2" x14ac:dyDescent="0.3">
      <c r="A707" s="6" t="s">
        <v>586</v>
      </c>
      <c r="B707" s="8">
        <v>5342</v>
      </c>
    </row>
    <row r="708" spans="1:2" x14ac:dyDescent="0.3">
      <c r="A708" s="6" t="s">
        <v>591</v>
      </c>
      <c r="B708" s="8">
        <v>5203</v>
      </c>
    </row>
    <row r="709" spans="1:2" x14ac:dyDescent="0.3">
      <c r="A709" s="6" t="s">
        <v>881</v>
      </c>
      <c r="B709" s="8">
        <v>5124</v>
      </c>
    </row>
    <row r="710" spans="1:2" x14ac:dyDescent="0.3">
      <c r="A710" s="6" t="s">
        <v>825</v>
      </c>
      <c r="B710" s="8">
        <v>5046</v>
      </c>
    </row>
    <row r="711" spans="1:2" x14ac:dyDescent="0.3">
      <c r="A711" s="6" t="s">
        <v>925</v>
      </c>
      <c r="B711" s="8">
        <v>5014</v>
      </c>
    </row>
    <row r="712" spans="1:2" x14ac:dyDescent="0.3">
      <c r="A712" s="6" t="s">
        <v>834</v>
      </c>
      <c r="B712" s="8">
        <v>5011</v>
      </c>
    </row>
    <row r="713" spans="1:2" x14ac:dyDescent="0.3">
      <c r="A713" s="6" t="s">
        <v>924</v>
      </c>
      <c r="B713" s="8">
        <v>4967</v>
      </c>
    </row>
    <row r="714" spans="1:2" x14ac:dyDescent="0.3">
      <c r="A714" s="6" t="s">
        <v>657</v>
      </c>
      <c r="B714" s="8">
        <v>4961</v>
      </c>
    </row>
    <row r="715" spans="1:2" x14ac:dyDescent="0.3">
      <c r="A715" s="6" t="s">
        <v>938</v>
      </c>
      <c r="B715" s="8">
        <v>4922</v>
      </c>
    </row>
    <row r="716" spans="1:2" x14ac:dyDescent="0.3">
      <c r="A716" s="6" t="s">
        <v>741</v>
      </c>
      <c r="B716" s="8">
        <v>4850</v>
      </c>
    </row>
    <row r="717" spans="1:2" x14ac:dyDescent="0.3">
      <c r="A717" s="6" t="s">
        <v>580</v>
      </c>
      <c r="B717" s="8">
        <v>4821</v>
      </c>
    </row>
    <row r="718" spans="1:2" x14ac:dyDescent="0.3">
      <c r="A718" s="6" t="s">
        <v>928</v>
      </c>
      <c r="B718" s="8">
        <v>4798</v>
      </c>
    </row>
    <row r="719" spans="1:2" x14ac:dyDescent="0.3">
      <c r="A719" s="6" t="s">
        <v>590</v>
      </c>
      <c r="B719" s="8">
        <v>4790</v>
      </c>
    </row>
    <row r="720" spans="1:2" x14ac:dyDescent="0.3">
      <c r="A720" s="6" t="s">
        <v>608</v>
      </c>
      <c r="B720" s="8">
        <v>4739</v>
      </c>
    </row>
    <row r="721" spans="1:2" x14ac:dyDescent="0.3">
      <c r="A721" s="6" t="s">
        <v>672</v>
      </c>
      <c r="B721" s="8">
        <v>4673</v>
      </c>
    </row>
    <row r="722" spans="1:2" x14ac:dyDescent="0.3">
      <c r="A722" s="6" t="s">
        <v>602</v>
      </c>
      <c r="B722" s="8">
        <v>4667</v>
      </c>
    </row>
    <row r="723" spans="1:2" x14ac:dyDescent="0.3">
      <c r="A723" s="6" t="s">
        <v>626</v>
      </c>
      <c r="B723" s="8">
        <v>4638</v>
      </c>
    </row>
    <row r="724" spans="1:2" x14ac:dyDescent="0.3">
      <c r="A724" s="6" t="s">
        <v>617</v>
      </c>
      <c r="B724" s="8">
        <v>4626</v>
      </c>
    </row>
    <row r="725" spans="1:2" x14ac:dyDescent="0.3">
      <c r="A725" s="6" t="s">
        <v>808</v>
      </c>
      <c r="B725" s="8">
        <v>4615</v>
      </c>
    </row>
    <row r="726" spans="1:2" x14ac:dyDescent="0.3">
      <c r="A726" s="6" t="s">
        <v>707</v>
      </c>
      <c r="B726" s="8">
        <v>4592</v>
      </c>
    </row>
    <row r="727" spans="1:2" x14ac:dyDescent="0.3">
      <c r="A727" s="6" t="s">
        <v>628</v>
      </c>
      <c r="B727" s="8">
        <v>4561</v>
      </c>
    </row>
    <row r="728" spans="1:2" x14ac:dyDescent="0.3">
      <c r="A728" s="6" t="s">
        <v>934</v>
      </c>
      <c r="B728" s="8">
        <v>4547</v>
      </c>
    </row>
    <row r="729" spans="1:2" x14ac:dyDescent="0.3">
      <c r="A729" s="6" t="s">
        <v>744</v>
      </c>
      <c r="B729" s="8">
        <v>4543</v>
      </c>
    </row>
    <row r="730" spans="1:2" x14ac:dyDescent="0.3">
      <c r="A730" s="6" t="s">
        <v>939</v>
      </c>
      <c r="B730" s="8">
        <v>4511</v>
      </c>
    </row>
    <row r="731" spans="1:2" x14ac:dyDescent="0.3">
      <c r="A731" s="6" t="s">
        <v>649</v>
      </c>
      <c r="B731" s="8">
        <v>4496</v>
      </c>
    </row>
    <row r="732" spans="1:2" x14ac:dyDescent="0.3">
      <c r="A732" s="6" t="s">
        <v>816</v>
      </c>
      <c r="B732" s="8">
        <v>4457</v>
      </c>
    </row>
    <row r="733" spans="1:2" x14ac:dyDescent="0.3">
      <c r="A733" s="6" t="s">
        <v>654</v>
      </c>
      <c r="B733" s="8">
        <v>4437</v>
      </c>
    </row>
    <row r="734" spans="1:2" x14ac:dyDescent="0.3">
      <c r="A734" s="6" t="s">
        <v>780</v>
      </c>
      <c r="B734" s="8">
        <v>4429</v>
      </c>
    </row>
    <row r="735" spans="1:2" x14ac:dyDescent="0.3">
      <c r="A735" s="6" t="s">
        <v>936</v>
      </c>
      <c r="B735" s="8">
        <v>4404</v>
      </c>
    </row>
    <row r="736" spans="1:2" x14ac:dyDescent="0.3">
      <c r="A736" s="6" t="s">
        <v>610</v>
      </c>
      <c r="B736" s="8">
        <v>4389</v>
      </c>
    </row>
    <row r="737" spans="1:2" x14ac:dyDescent="0.3">
      <c r="A737" s="6" t="s">
        <v>835</v>
      </c>
      <c r="B737" s="8">
        <v>4384</v>
      </c>
    </row>
    <row r="738" spans="1:2" x14ac:dyDescent="0.3">
      <c r="A738" s="6" t="s">
        <v>933</v>
      </c>
      <c r="B738" s="8">
        <v>4355</v>
      </c>
    </row>
    <row r="739" spans="1:2" x14ac:dyDescent="0.3">
      <c r="A739" s="6" t="s">
        <v>653</v>
      </c>
      <c r="B739" s="8">
        <v>4344</v>
      </c>
    </row>
    <row r="740" spans="1:2" x14ac:dyDescent="0.3">
      <c r="A740" s="6" t="s">
        <v>730</v>
      </c>
      <c r="B740" s="8">
        <v>4303</v>
      </c>
    </row>
    <row r="741" spans="1:2" x14ac:dyDescent="0.3">
      <c r="A741" s="6" t="s">
        <v>696</v>
      </c>
      <c r="B741" s="8">
        <v>4270</v>
      </c>
    </row>
    <row r="742" spans="1:2" x14ac:dyDescent="0.3">
      <c r="A742" s="6" t="s">
        <v>627</v>
      </c>
      <c r="B742" s="8">
        <v>4269</v>
      </c>
    </row>
    <row r="743" spans="1:2" x14ac:dyDescent="0.3">
      <c r="A743" s="6" t="s">
        <v>659</v>
      </c>
      <c r="B743" s="8">
        <v>4246</v>
      </c>
    </row>
    <row r="744" spans="1:2" x14ac:dyDescent="0.3">
      <c r="A744" s="6" t="s">
        <v>920</v>
      </c>
      <c r="B744" s="8">
        <v>4215</v>
      </c>
    </row>
    <row r="745" spans="1:2" x14ac:dyDescent="0.3">
      <c r="A745" s="6" t="s">
        <v>721</v>
      </c>
      <c r="B745" s="8">
        <v>4181</v>
      </c>
    </row>
    <row r="746" spans="1:2" x14ac:dyDescent="0.3">
      <c r="A746" s="6" t="s">
        <v>875</v>
      </c>
      <c r="B746" s="8">
        <v>4133</v>
      </c>
    </row>
    <row r="747" spans="1:2" x14ac:dyDescent="0.3">
      <c r="A747" s="6" t="s">
        <v>636</v>
      </c>
      <c r="B747" s="8">
        <v>4054</v>
      </c>
    </row>
    <row r="748" spans="1:2" x14ac:dyDescent="0.3">
      <c r="A748" s="6" t="s">
        <v>918</v>
      </c>
      <c r="B748" s="8">
        <v>3997</v>
      </c>
    </row>
    <row r="749" spans="1:2" x14ac:dyDescent="0.3">
      <c r="A749" s="6" t="s">
        <v>926</v>
      </c>
      <c r="B749" s="8">
        <v>3963</v>
      </c>
    </row>
    <row r="750" spans="1:2" x14ac:dyDescent="0.3">
      <c r="A750" s="6" t="s">
        <v>931</v>
      </c>
      <c r="B750" s="8">
        <v>3941</v>
      </c>
    </row>
    <row r="751" spans="1:2" x14ac:dyDescent="0.3">
      <c r="A751" s="6" t="s">
        <v>603</v>
      </c>
      <c r="B751" s="8">
        <v>3931</v>
      </c>
    </row>
    <row r="752" spans="1:2" x14ac:dyDescent="0.3">
      <c r="A752" s="6" t="s">
        <v>894</v>
      </c>
      <c r="B752" s="8">
        <v>3882</v>
      </c>
    </row>
    <row r="753" spans="1:2" x14ac:dyDescent="0.3">
      <c r="A753" s="6" t="s">
        <v>733</v>
      </c>
      <c r="B753" s="8">
        <v>3856</v>
      </c>
    </row>
    <row r="754" spans="1:2" x14ac:dyDescent="0.3">
      <c r="A754" s="6" t="s">
        <v>695</v>
      </c>
      <c r="B754" s="8">
        <v>3840</v>
      </c>
    </row>
    <row r="755" spans="1:2" x14ac:dyDescent="0.3">
      <c r="A755" s="6" t="s">
        <v>836</v>
      </c>
      <c r="B755" s="8">
        <v>3837</v>
      </c>
    </row>
    <row r="756" spans="1:2" x14ac:dyDescent="0.3">
      <c r="A756" s="6" t="s">
        <v>792</v>
      </c>
      <c r="B756" s="8">
        <v>3806</v>
      </c>
    </row>
    <row r="757" spans="1:2" x14ac:dyDescent="0.3">
      <c r="A757" s="6" t="s">
        <v>932</v>
      </c>
      <c r="B757" s="8">
        <v>3762</v>
      </c>
    </row>
    <row r="758" spans="1:2" x14ac:dyDescent="0.3">
      <c r="A758" s="6" t="s">
        <v>804</v>
      </c>
      <c r="B758" s="8">
        <v>3740</v>
      </c>
    </row>
    <row r="759" spans="1:2" x14ac:dyDescent="0.3">
      <c r="A759" s="6" t="s">
        <v>613</v>
      </c>
      <c r="B759" s="8">
        <v>3686</v>
      </c>
    </row>
    <row r="760" spans="1:2" x14ac:dyDescent="0.3">
      <c r="A760" s="6" t="s">
        <v>698</v>
      </c>
      <c r="B760" s="8">
        <v>3685</v>
      </c>
    </row>
    <row r="761" spans="1:2" x14ac:dyDescent="0.3">
      <c r="A761" s="6" t="s">
        <v>694</v>
      </c>
      <c r="B761" s="8">
        <v>3666</v>
      </c>
    </row>
    <row r="762" spans="1:2" x14ac:dyDescent="0.3">
      <c r="A762" s="6" t="s">
        <v>644</v>
      </c>
      <c r="B762" s="8">
        <v>3651</v>
      </c>
    </row>
    <row r="763" spans="1:2" x14ac:dyDescent="0.3">
      <c r="A763" s="6" t="s">
        <v>820</v>
      </c>
      <c r="B763" s="8">
        <v>3650</v>
      </c>
    </row>
    <row r="764" spans="1:2" x14ac:dyDescent="0.3">
      <c r="A764" s="6" t="s">
        <v>889</v>
      </c>
      <c r="B764" s="8">
        <v>3648</v>
      </c>
    </row>
    <row r="765" spans="1:2" x14ac:dyDescent="0.3">
      <c r="A765" s="6" t="s">
        <v>916</v>
      </c>
      <c r="B765" s="8">
        <v>3647</v>
      </c>
    </row>
    <row r="766" spans="1:2" x14ac:dyDescent="0.3">
      <c r="A766" s="6" t="s">
        <v>828</v>
      </c>
      <c r="B766" s="8">
        <v>3597</v>
      </c>
    </row>
    <row r="767" spans="1:2" x14ac:dyDescent="0.3">
      <c r="A767" s="6" t="s">
        <v>631</v>
      </c>
      <c r="B767" s="8">
        <v>3582</v>
      </c>
    </row>
    <row r="768" spans="1:2" x14ac:dyDescent="0.3">
      <c r="A768" s="6" t="s">
        <v>913</v>
      </c>
      <c r="B768" s="8">
        <v>3510</v>
      </c>
    </row>
    <row r="769" spans="1:2" x14ac:dyDescent="0.3">
      <c r="A769" s="6" t="s">
        <v>915</v>
      </c>
      <c r="B769" s="8">
        <v>3473</v>
      </c>
    </row>
    <row r="770" spans="1:2" x14ac:dyDescent="0.3">
      <c r="A770" s="6" t="s">
        <v>750</v>
      </c>
      <c r="B770" s="8">
        <v>3460</v>
      </c>
    </row>
    <row r="771" spans="1:2" x14ac:dyDescent="0.3">
      <c r="A771" s="6" t="s">
        <v>869</v>
      </c>
      <c r="B771" s="8">
        <v>3453</v>
      </c>
    </row>
    <row r="772" spans="1:2" x14ac:dyDescent="0.3">
      <c r="A772" s="6" t="s">
        <v>755</v>
      </c>
      <c r="B772" s="8">
        <v>3428</v>
      </c>
    </row>
    <row r="773" spans="1:2" x14ac:dyDescent="0.3">
      <c r="A773" s="6" t="s">
        <v>886</v>
      </c>
      <c r="B773" s="8">
        <v>3408</v>
      </c>
    </row>
    <row r="774" spans="1:2" x14ac:dyDescent="0.3">
      <c r="A774" s="6" t="s">
        <v>746</v>
      </c>
      <c r="B774" s="8">
        <v>3394</v>
      </c>
    </row>
    <row r="775" spans="1:2" x14ac:dyDescent="0.3">
      <c r="A775" s="6" t="s">
        <v>883</v>
      </c>
      <c r="B775" s="8">
        <v>3359</v>
      </c>
    </row>
    <row r="776" spans="1:2" x14ac:dyDescent="0.3">
      <c r="A776" s="6" t="s">
        <v>716</v>
      </c>
      <c r="B776" s="8">
        <v>3356</v>
      </c>
    </row>
    <row r="777" spans="1:2" x14ac:dyDescent="0.3">
      <c r="A777" s="6" t="s">
        <v>671</v>
      </c>
      <c r="B777" s="8">
        <v>3336</v>
      </c>
    </row>
    <row r="778" spans="1:2" x14ac:dyDescent="0.3">
      <c r="A778" s="6" t="s">
        <v>663</v>
      </c>
      <c r="B778" s="8">
        <v>3282</v>
      </c>
    </row>
    <row r="779" spans="1:2" x14ac:dyDescent="0.3">
      <c r="A779" s="6" t="s">
        <v>861</v>
      </c>
      <c r="B779" s="8">
        <v>3275</v>
      </c>
    </row>
    <row r="780" spans="1:2" x14ac:dyDescent="0.3">
      <c r="A780" s="6" t="s">
        <v>686</v>
      </c>
      <c r="B780" s="8">
        <v>3274</v>
      </c>
    </row>
    <row r="781" spans="1:2" x14ac:dyDescent="0.3">
      <c r="A781" s="6" t="s">
        <v>691</v>
      </c>
      <c r="B781" s="8">
        <v>3262</v>
      </c>
    </row>
    <row r="782" spans="1:2" x14ac:dyDescent="0.3">
      <c r="A782" s="6" t="s">
        <v>714</v>
      </c>
      <c r="B782" s="8">
        <v>3243</v>
      </c>
    </row>
    <row r="783" spans="1:2" x14ac:dyDescent="0.3">
      <c r="A783" s="6" t="s">
        <v>615</v>
      </c>
      <c r="B783" s="8">
        <v>3242</v>
      </c>
    </row>
    <row r="784" spans="1:2" x14ac:dyDescent="0.3">
      <c r="A784" s="6" t="s">
        <v>848</v>
      </c>
      <c r="B784" s="8">
        <v>3161</v>
      </c>
    </row>
    <row r="785" spans="1:2" x14ac:dyDescent="0.3">
      <c r="A785" s="6" t="s">
        <v>919</v>
      </c>
      <c r="B785" s="8">
        <v>3134</v>
      </c>
    </row>
    <row r="786" spans="1:2" x14ac:dyDescent="0.3">
      <c r="A786" s="6" t="s">
        <v>842</v>
      </c>
      <c r="B786" s="8">
        <v>3128</v>
      </c>
    </row>
    <row r="787" spans="1:2" x14ac:dyDescent="0.3">
      <c r="A787" s="6" t="s">
        <v>597</v>
      </c>
      <c r="B787" s="8">
        <v>2981</v>
      </c>
    </row>
    <row r="788" spans="1:2" x14ac:dyDescent="0.3">
      <c r="A788" s="6" t="s">
        <v>609</v>
      </c>
      <c r="B788" s="8">
        <v>2956</v>
      </c>
    </row>
    <row r="789" spans="1:2" x14ac:dyDescent="0.3">
      <c r="A789" s="6" t="s">
        <v>788</v>
      </c>
      <c r="B789" s="8">
        <v>2941</v>
      </c>
    </row>
    <row r="790" spans="1:2" x14ac:dyDescent="0.3">
      <c r="A790" s="6" t="s">
        <v>767</v>
      </c>
      <c r="B790" s="8">
        <v>2884</v>
      </c>
    </row>
    <row r="791" spans="1:2" x14ac:dyDescent="0.3">
      <c r="A791" s="6" t="s">
        <v>868</v>
      </c>
      <c r="B791" s="8">
        <v>2883</v>
      </c>
    </row>
    <row r="792" spans="1:2" x14ac:dyDescent="0.3">
      <c r="A792" s="6" t="s">
        <v>681</v>
      </c>
      <c r="B792" s="8">
        <v>2882</v>
      </c>
    </row>
    <row r="793" spans="1:2" x14ac:dyDescent="0.3">
      <c r="A793" s="6" t="s">
        <v>713</v>
      </c>
      <c r="B793" s="8">
        <v>2868</v>
      </c>
    </row>
    <row r="794" spans="1:2" x14ac:dyDescent="0.3">
      <c r="A794" s="6" t="s">
        <v>890</v>
      </c>
      <c r="B794" s="8">
        <v>2859</v>
      </c>
    </row>
    <row r="795" spans="1:2" x14ac:dyDescent="0.3">
      <c r="A795" s="6" t="s">
        <v>724</v>
      </c>
      <c r="B795" s="8">
        <v>2812</v>
      </c>
    </row>
    <row r="796" spans="1:2" x14ac:dyDescent="0.3">
      <c r="A796" s="6" t="s">
        <v>637</v>
      </c>
      <c r="B796" s="8">
        <v>2771</v>
      </c>
    </row>
    <row r="797" spans="1:2" x14ac:dyDescent="0.3">
      <c r="A797" s="6" t="s">
        <v>656</v>
      </c>
      <c r="B797" s="8">
        <v>2767</v>
      </c>
    </row>
    <row r="798" spans="1:2" x14ac:dyDescent="0.3">
      <c r="A798" s="6" t="s">
        <v>620</v>
      </c>
      <c r="B798" s="8">
        <v>2739</v>
      </c>
    </row>
    <row r="799" spans="1:2" x14ac:dyDescent="0.3">
      <c r="A799" s="6" t="s">
        <v>594</v>
      </c>
      <c r="B799" s="8">
        <v>2717</v>
      </c>
    </row>
    <row r="800" spans="1:2" x14ac:dyDescent="0.3">
      <c r="A800" s="6" t="s">
        <v>910</v>
      </c>
      <c r="B800" s="8">
        <v>2671</v>
      </c>
    </row>
    <row r="801" spans="1:2" x14ac:dyDescent="0.3">
      <c r="A801" s="6" t="s">
        <v>593</v>
      </c>
      <c r="B801" s="8">
        <v>2656</v>
      </c>
    </row>
    <row r="802" spans="1:2" x14ac:dyDescent="0.3">
      <c r="A802" s="6" t="s">
        <v>605</v>
      </c>
      <c r="B802" s="8">
        <v>2634</v>
      </c>
    </row>
    <row r="803" spans="1:2" x14ac:dyDescent="0.3">
      <c r="A803" s="6" t="s">
        <v>718</v>
      </c>
      <c r="B803" s="8">
        <v>2628</v>
      </c>
    </row>
    <row r="804" spans="1:2" x14ac:dyDescent="0.3">
      <c r="A804" s="6" t="s">
        <v>911</v>
      </c>
      <c r="B804" s="8">
        <v>2585</v>
      </c>
    </row>
    <row r="805" spans="1:2" x14ac:dyDescent="0.3">
      <c r="A805" s="6" t="s">
        <v>639</v>
      </c>
      <c r="B805" s="8">
        <v>2560</v>
      </c>
    </row>
    <row r="806" spans="1:2" x14ac:dyDescent="0.3">
      <c r="A806" s="6" t="s">
        <v>782</v>
      </c>
      <c r="B806" s="8">
        <v>2532</v>
      </c>
    </row>
    <row r="807" spans="1:2" x14ac:dyDescent="0.3">
      <c r="A807" s="6" t="s">
        <v>857</v>
      </c>
      <c r="B807" s="8">
        <v>2527</v>
      </c>
    </row>
    <row r="808" spans="1:2" x14ac:dyDescent="0.3">
      <c r="A808" s="6" t="s">
        <v>583</v>
      </c>
      <c r="B808" s="8">
        <v>2507</v>
      </c>
    </row>
    <row r="809" spans="1:2" x14ac:dyDescent="0.3">
      <c r="A809" s="6" t="s">
        <v>747</v>
      </c>
      <c r="B809" s="8">
        <v>2503</v>
      </c>
    </row>
    <row r="810" spans="1:2" x14ac:dyDescent="0.3">
      <c r="A810" s="6" t="s">
        <v>895</v>
      </c>
      <c r="B810" s="8">
        <v>2494</v>
      </c>
    </row>
    <row r="811" spans="1:2" x14ac:dyDescent="0.3">
      <c r="A811" s="6" t="s">
        <v>912</v>
      </c>
      <c r="B811" s="8">
        <v>2491</v>
      </c>
    </row>
    <row r="812" spans="1:2" x14ac:dyDescent="0.3">
      <c r="A812" s="6" t="s">
        <v>801</v>
      </c>
      <c r="B812" s="8">
        <v>2469</v>
      </c>
    </row>
    <row r="813" spans="1:2" x14ac:dyDescent="0.3">
      <c r="A813" s="6" t="s">
        <v>612</v>
      </c>
      <c r="B813" s="8">
        <v>2460</v>
      </c>
    </row>
    <row r="814" spans="1:2" x14ac:dyDescent="0.3">
      <c r="A814" s="6" t="s">
        <v>728</v>
      </c>
      <c r="B814" s="8">
        <v>2459</v>
      </c>
    </row>
    <row r="815" spans="1:2" x14ac:dyDescent="0.3">
      <c r="A815" s="6" t="s">
        <v>647</v>
      </c>
      <c r="B815" s="8">
        <v>2450</v>
      </c>
    </row>
    <row r="816" spans="1:2" x14ac:dyDescent="0.3">
      <c r="A816" s="6" t="s">
        <v>846</v>
      </c>
      <c r="B816" s="8">
        <v>2448</v>
      </c>
    </row>
    <row r="817" spans="1:2" x14ac:dyDescent="0.3">
      <c r="A817" s="6" t="s">
        <v>664</v>
      </c>
      <c r="B817" s="8">
        <v>2441</v>
      </c>
    </row>
    <row r="818" spans="1:2" x14ac:dyDescent="0.3">
      <c r="A818" s="6" t="s">
        <v>899</v>
      </c>
      <c r="B818" s="8">
        <v>2434</v>
      </c>
    </row>
    <row r="819" spans="1:2" x14ac:dyDescent="0.3">
      <c r="A819" s="6" t="s">
        <v>864</v>
      </c>
      <c r="B819" s="8">
        <v>2409</v>
      </c>
    </row>
    <row r="820" spans="1:2" x14ac:dyDescent="0.3">
      <c r="A820" s="6" t="s">
        <v>901</v>
      </c>
      <c r="B820" s="8">
        <v>2399</v>
      </c>
    </row>
    <row r="821" spans="1:2" x14ac:dyDescent="0.3">
      <c r="A821" s="6" t="s">
        <v>826</v>
      </c>
      <c r="B821" s="8">
        <v>2399</v>
      </c>
    </row>
    <row r="822" spans="1:2" x14ac:dyDescent="0.3">
      <c r="A822" s="6" t="s">
        <v>769</v>
      </c>
      <c r="B822" s="8">
        <v>2394</v>
      </c>
    </row>
    <row r="823" spans="1:2" x14ac:dyDescent="0.3">
      <c r="A823" s="6" t="s">
        <v>667</v>
      </c>
      <c r="B823" s="8">
        <v>2387</v>
      </c>
    </row>
    <row r="824" spans="1:2" x14ac:dyDescent="0.3">
      <c r="A824" s="6" t="s">
        <v>726</v>
      </c>
      <c r="B824" s="8">
        <v>2375</v>
      </c>
    </row>
    <row r="825" spans="1:2" x14ac:dyDescent="0.3">
      <c r="A825" s="6" t="s">
        <v>760</v>
      </c>
      <c r="B825" s="8">
        <v>2375</v>
      </c>
    </row>
    <row r="826" spans="1:2" x14ac:dyDescent="0.3">
      <c r="A826" s="6" t="s">
        <v>740</v>
      </c>
      <c r="B826" s="8">
        <v>2372</v>
      </c>
    </row>
    <row r="827" spans="1:2" x14ac:dyDescent="0.3">
      <c r="A827" s="6" t="s">
        <v>712</v>
      </c>
      <c r="B827" s="8">
        <v>2363</v>
      </c>
    </row>
    <row r="828" spans="1:2" x14ac:dyDescent="0.3">
      <c r="A828" s="6" t="s">
        <v>822</v>
      </c>
      <c r="B828" s="8">
        <v>2357</v>
      </c>
    </row>
    <row r="829" spans="1:2" x14ac:dyDescent="0.3">
      <c r="A829" s="6" t="s">
        <v>887</v>
      </c>
      <c r="B829" s="8">
        <v>2341</v>
      </c>
    </row>
    <row r="830" spans="1:2" x14ac:dyDescent="0.3">
      <c r="A830" s="6" t="s">
        <v>680</v>
      </c>
      <c r="B830" s="8">
        <v>2335</v>
      </c>
    </row>
    <row r="831" spans="1:2" x14ac:dyDescent="0.3">
      <c r="A831" s="6" t="s">
        <v>737</v>
      </c>
      <c r="B831" s="8">
        <v>2301</v>
      </c>
    </row>
    <row r="832" spans="1:2" x14ac:dyDescent="0.3">
      <c r="A832" s="6" t="s">
        <v>661</v>
      </c>
      <c r="B832" s="8">
        <v>2298</v>
      </c>
    </row>
    <row r="833" spans="1:2" x14ac:dyDescent="0.3">
      <c r="A833" s="6" t="s">
        <v>909</v>
      </c>
      <c r="B833" s="8">
        <v>2296</v>
      </c>
    </row>
    <row r="834" spans="1:2" x14ac:dyDescent="0.3">
      <c r="A834" s="6" t="s">
        <v>756</v>
      </c>
      <c r="B834" s="8">
        <v>2294</v>
      </c>
    </row>
    <row r="835" spans="1:2" x14ac:dyDescent="0.3">
      <c r="A835" s="6" t="s">
        <v>673</v>
      </c>
      <c r="B835" s="8">
        <v>2292</v>
      </c>
    </row>
    <row r="836" spans="1:2" x14ac:dyDescent="0.3">
      <c r="A836" s="6" t="s">
        <v>720</v>
      </c>
      <c r="B836" s="8">
        <v>2276</v>
      </c>
    </row>
    <row r="837" spans="1:2" x14ac:dyDescent="0.3">
      <c r="A837" s="6" t="s">
        <v>829</v>
      </c>
      <c r="B837" s="8">
        <v>2275</v>
      </c>
    </row>
    <row r="838" spans="1:2" x14ac:dyDescent="0.3">
      <c r="A838" s="6" t="s">
        <v>618</v>
      </c>
      <c r="B838" s="8">
        <v>2270</v>
      </c>
    </row>
    <row r="839" spans="1:2" x14ac:dyDescent="0.3">
      <c r="A839" s="6" t="s">
        <v>666</v>
      </c>
      <c r="B839" s="8">
        <v>2267</v>
      </c>
    </row>
    <row r="840" spans="1:2" x14ac:dyDescent="0.3">
      <c r="A840" s="6" t="s">
        <v>702</v>
      </c>
      <c r="B840" s="8">
        <v>2240</v>
      </c>
    </row>
    <row r="841" spans="1:2" x14ac:dyDescent="0.3">
      <c r="A841" s="6" t="s">
        <v>710</v>
      </c>
      <c r="B841" s="8">
        <v>2235</v>
      </c>
    </row>
    <row r="842" spans="1:2" x14ac:dyDescent="0.3">
      <c r="A842" s="6" t="s">
        <v>758</v>
      </c>
      <c r="B842" s="8">
        <v>2231</v>
      </c>
    </row>
    <row r="843" spans="1:2" x14ac:dyDescent="0.3">
      <c r="A843" s="6" t="s">
        <v>676</v>
      </c>
      <c r="B843" s="8">
        <v>2228</v>
      </c>
    </row>
    <row r="844" spans="1:2" x14ac:dyDescent="0.3">
      <c r="A844" s="6" t="s">
        <v>742</v>
      </c>
      <c r="B844" s="8">
        <v>2211</v>
      </c>
    </row>
    <row r="845" spans="1:2" x14ac:dyDescent="0.3">
      <c r="A845" s="6" t="s">
        <v>908</v>
      </c>
      <c r="B845" s="8">
        <v>2201</v>
      </c>
    </row>
    <row r="846" spans="1:2" x14ac:dyDescent="0.3">
      <c r="A846" s="6" t="s">
        <v>903</v>
      </c>
      <c r="B846" s="8">
        <v>2179</v>
      </c>
    </row>
    <row r="847" spans="1:2" x14ac:dyDescent="0.3">
      <c r="A847" s="6" t="s">
        <v>650</v>
      </c>
      <c r="B847" s="8">
        <v>2178</v>
      </c>
    </row>
    <row r="848" spans="1:2" x14ac:dyDescent="0.3">
      <c r="A848" s="6" t="s">
        <v>902</v>
      </c>
      <c r="B848" s="8">
        <v>2160</v>
      </c>
    </row>
    <row r="849" spans="1:2" x14ac:dyDescent="0.3">
      <c r="A849" s="6" t="s">
        <v>906</v>
      </c>
      <c r="B849" s="8">
        <v>2160</v>
      </c>
    </row>
    <row r="850" spans="1:2" x14ac:dyDescent="0.3">
      <c r="A850" s="6" t="s">
        <v>905</v>
      </c>
      <c r="B850" s="8">
        <v>2154</v>
      </c>
    </row>
    <row r="851" spans="1:2" x14ac:dyDescent="0.3">
      <c r="A851" s="6" t="s">
        <v>897</v>
      </c>
      <c r="B851" s="8">
        <v>2132</v>
      </c>
    </row>
    <row r="852" spans="1:2" x14ac:dyDescent="0.3">
      <c r="A852" s="6" t="s">
        <v>831</v>
      </c>
      <c r="B852" s="8">
        <v>2130</v>
      </c>
    </row>
    <row r="853" spans="1:2" x14ac:dyDescent="0.3">
      <c r="A853" s="6" t="s">
        <v>907</v>
      </c>
      <c r="B853" s="8">
        <v>2128</v>
      </c>
    </row>
    <row r="854" spans="1:2" x14ac:dyDescent="0.3">
      <c r="A854" s="6" t="s">
        <v>855</v>
      </c>
      <c r="B854" s="8">
        <v>2120</v>
      </c>
    </row>
    <row r="855" spans="1:2" x14ac:dyDescent="0.3">
      <c r="A855" s="6" t="s">
        <v>652</v>
      </c>
      <c r="B855" s="8">
        <v>2117</v>
      </c>
    </row>
    <row r="856" spans="1:2" x14ac:dyDescent="0.3">
      <c r="A856" s="6" t="s">
        <v>900</v>
      </c>
      <c r="B856" s="8">
        <v>2116</v>
      </c>
    </row>
    <row r="857" spans="1:2" x14ac:dyDescent="0.3">
      <c r="A857" s="6" t="s">
        <v>904</v>
      </c>
      <c r="B857" s="8">
        <v>2116</v>
      </c>
    </row>
    <row r="858" spans="1:2" x14ac:dyDescent="0.3">
      <c r="A858" s="6" t="s">
        <v>795</v>
      </c>
      <c r="B858" s="8">
        <v>2108</v>
      </c>
    </row>
    <row r="859" spans="1:2" x14ac:dyDescent="0.3">
      <c r="A859" s="6" t="s">
        <v>884</v>
      </c>
      <c r="B859" s="8">
        <v>2108</v>
      </c>
    </row>
    <row r="860" spans="1:2" x14ac:dyDescent="0.3">
      <c r="A860" s="6" t="s">
        <v>840</v>
      </c>
      <c r="B860" s="8">
        <v>2106</v>
      </c>
    </row>
    <row r="861" spans="1:2" x14ac:dyDescent="0.3">
      <c r="A861" s="6" t="s">
        <v>738</v>
      </c>
      <c r="B861" s="8">
        <v>2105</v>
      </c>
    </row>
    <row r="862" spans="1:2" x14ac:dyDescent="0.3">
      <c r="A862" s="6" t="s">
        <v>845</v>
      </c>
      <c r="B862" s="8">
        <v>2099</v>
      </c>
    </row>
    <row r="863" spans="1:2" x14ac:dyDescent="0.3">
      <c r="A863" s="6" t="s">
        <v>675</v>
      </c>
      <c r="B863" s="8">
        <v>2097</v>
      </c>
    </row>
    <row r="864" spans="1:2" x14ac:dyDescent="0.3">
      <c r="A864" s="6" t="s">
        <v>706</v>
      </c>
      <c r="B864" s="8">
        <v>2084</v>
      </c>
    </row>
    <row r="865" spans="1:2" x14ac:dyDescent="0.3">
      <c r="A865" s="6" t="s">
        <v>877</v>
      </c>
      <c r="B865" s="8">
        <v>2083</v>
      </c>
    </row>
    <row r="866" spans="1:2" x14ac:dyDescent="0.3">
      <c r="A866" s="6" t="s">
        <v>898</v>
      </c>
      <c r="B866" s="8">
        <v>2082</v>
      </c>
    </row>
    <row r="867" spans="1:2" x14ac:dyDescent="0.3">
      <c r="A867" s="6" t="s">
        <v>601</v>
      </c>
      <c r="B867" s="8">
        <v>2081</v>
      </c>
    </row>
    <row r="868" spans="1:2" x14ac:dyDescent="0.3">
      <c r="A868" s="6" t="s">
        <v>683</v>
      </c>
      <c r="B868" s="8">
        <v>2071</v>
      </c>
    </row>
    <row r="869" spans="1:2" x14ac:dyDescent="0.3">
      <c r="A869" s="6" t="s">
        <v>882</v>
      </c>
      <c r="B869" s="8">
        <v>2068</v>
      </c>
    </row>
    <row r="870" spans="1:2" x14ac:dyDescent="0.3">
      <c r="A870" s="6" t="s">
        <v>763</v>
      </c>
      <c r="B870" s="8">
        <v>2063</v>
      </c>
    </row>
    <row r="871" spans="1:2" x14ac:dyDescent="0.3">
      <c r="A871" s="6" t="s">
        <v>806</v>
      </c>
      <c r="B871" s="8">
        <v>2059</v>
      </c>
    </row>
    <row r="872" spans="1:2" x14ac:dyDescent="0.3">
      <c r="A872" s="6" t="s">
        <v>772</v>
      </c>
      <c r="B872" s="8">
        <v>2053</v>
      </c>
    </row>
    <row r="873" spans="1:2" x14ac:dyDescent="0.3">
      <c r="A873" s="6" t="s">
        <v>879</v>
      </c>
      <c r="B873" s="8">
        <v>2043</v>
      </c>
    </row>
    <row r="874" spans="1:2" x14ac:dyDescent="0.3">
      <c r="A874" s="6" t="s">
        <v>731</v>
      </c>
      <c r="B874" s="8">
        <v>2000</v>
      </c>
    </row>
    <row r="875" spans="1:2" x14ac:dyDescent="0.3">
      <c r="A875" s="6" t="s">
        <v>727</v>
      </c>
      <c r="B875" s="8">
        <v>1997</v>
      </c>
    </row>
    <row r="876" spans="1:2" x14ac:dyDescent="0.3">
      <c r="A876" s="6" t="s">
        <v>852</v>
      </c>
      <c r="B876" s="8">
        <v>1991</v>
      </c>
    </row>
    <row r="877" spans="1:2" x14ac:dyDescent="0.3">
      <c r="A877" s="6" t="s">
        <v>642</v>
      </c>
      <c r="B877" s="8">
        <v>1988</v>
      </c>
    </row>
    <row r="878" spans="1:2" x14ac:dyDescent="0.3">
      <c r="A878" s="6" t="s">
        <v>770</v>
      </c>
      <c r="B878" s="8">
        <v>1977</v>
      </c>
    </row>
    <row r="879" spans="1:2" x14ac:dyDescent="0.3">
      <c r="A879" s="6" t="s">
        <v>689</v>
      </c>
      <c r="B879" s="8">
        <v>1968</v>
      </c>
    </row>
    <row r="880" spans="1:2" x14ac:dyDescent="0.3">
      <c r="A880" s="6" t="s">
        <v>854</v>
      </c>
      <c r="B880" s="8">
        <v>1965</v>
      </c>
    </row>
    <row r="881" spans="1:2" x14ac:dyDescent="0.3">
      <c r="A881" s="6" t="s">
        <v>711</v>
      </c>
      <c r="B881" s="8">
        <v>1963</v>
      </c>
    </row>
    <row r="882" spans="1:2" x14ac:dyDescent="0.3">
      <c r="A882" s="6" t="s">
        <v>784</v>
      </c>
      <c r="B882" s="8">
        <v>1954</v>
      </c>
    </row>
    <row r="883" spans="1:2" x14ac:dyDescent="0.3">
      <c r="A883" s="6" t="s">
        <v>679</v>
      </c>
      <c r="B883" s="8">
        <v>1950</v>
      </c>
    </row>
    <row r="884" spans="1:2" x14ac:dyDescent="0.3">
      <c r="A884" s="6" t="s">
        <v>878</v>
      </c>
      <c r="B884" s="8">
        <v>1950</v>
      </c>
    </row>
    <row r="885" spans="1:2" x14ac:dyDescent="0.3">
      <c r="A885" s="6" t="s">
        <v>786</v>
      </c>
      <c r="B885" s="8">
        <v>1939</v>
      </c>
    </row>
    <row r="886" spans="1:2" x14ac:dyDescent="0.3">
      <c r="A886" s="6" t="s">
        <v>589</v>
      </c>
      <c r="B886" s="8">
        <v>1937</v>
      </c>
    </row>
    <row r="887" spans="1:2" x14ac:dyDescent="0.3">
      <c r="A887" s="6" t="s">
        <v>764</v>
      </c>
      <c r="B887" s="8">
        <v>1921</v>
      </c>
    </row>
    <row r="888" spans="1:2" x14ac:dyDescent="0.3">
      <c r="A888" s="6" t="s">
        <v>860</v>
      </c>
      <c r="B888" s="8">
        <v>1911</v>
      </c>
    </row>
    <row r="889" spans="1:2" x14ac:dyDescent="0.3">
      <c r="A889" s="6" t="s">
        <v>660</v>
      </c>
      <c r="B889" s="8">
        <v>1903</v>
      </c>
    </row>
    <row r="890" spans="1:2" x14ac:dyDescent="0.3">
      <c r="A890" s="6" t="s">
        <v>853</v>
      </c>
      <c r="B890" s="8">
        <v>1901</v>
      </c>
    </row>
    <row r="891" spans="1:2" x14ac:dyDescent="0.3">
      <c r="A891" s="6" t="s">
        <v>850</v>
      </c>
      <c r="B891" s="8">
        <v>1900</v>
      </c>
    </row>
    <row r="892" spans="1:2" x14ac:dyDescent="0.3">
      <c r="A892" s="6" t="s">
        <v>773</v>
      </c>
      <c r="B892" s="8">
        <v>1898</v>
      </c>
    </row>
    <row r="893" spans="1:2" x14ac:dyDescent="0.3">
      <c r="A893" s="6" t="s">
        <v>797</v>
      </c>
      <c r="B893" s="8">
        <v>1872</v>
      </c>
    </row>
    <row r="894" spans="1:2" x14ac:dyDescent="0.3">
      <c r="A894" s="6" t="s">
        <v>814</v>
      </c>
      <c r="B894" s="8">
        <v>1872</v>
      </c>
    </row>
    <row r="895" spans="1:2" x14ac:dyDescent="0.3">
      <c r="A895" s="6" t="s">
        <v>705</v>
      </c>
      <c r="B895" s="8">
        <v>1869</v>
      </c>
    </row>
    <row r="896" spans="1:2" x14ac:dyDescent="0.3">
      <c r="A896" s="6" t="s">
        <v>880</v>
      </c>
      <c r="B896" s="8">
        <v>1868</v>
      </c>
    </row>
    <row r="897" spans="1:2" x14ac:dyDescent="0.3">
      <c r="A897" s="6" t="s">
        <v>684</v>
      </c>
      <c r="B897" s="8">
        <v>1864</v>
      </c>
    </row>
    <row r="898" spans="1:2" x14ac:dyDescent="0.3">
      <c r="A898" s="6" t="s">
        <v>783</v>
      </c>
      <c r="B898" s="8">
        <v>1860</v>
      </c>
    </row>
    <row r="899" spans="1:2" x14ac:dyDescent="0.3">
      <c r="A899" s="6" t="s">
        <v>830</v>
      </c>
      <c r="B899" s="8">
        <v>1857</v>
      </c>
    </row>
    <row r="900" spans="1:2" x14ac:dyDescent="0.3">
      <c r="A900" s="6" t="s">
        <v>810</v>
      </c>
      <c r="B900" s="8">
        <v>1842</v>
      </c>
    </row>
    <row r="901" spans="1:2" x14ac:dyDescent="0.3">
      <c r="A901" s="6" t="s">
        <v>849</v>
      </c>
      <c r="B901" s="8">
        <v>1842</v>
      </c>
    </row>
    <row r="902" spans="1:2" x14ac:dyDescent="0.3">
      <c r="A902" s="6" t="s">
        <v>668</v>
      </c>
      <c r="B902" s="8">
        <v>1830</v>
      </c>
    </row>
    <row r="903" spans="1:2" x14ac:dyDescent="0.3">
      <c r="A903" s="6" t="s">
        <v>690</v>
      </c>
      <c r="B903" s="8">
        <v>1823</v>
      </c>
    </row>
    <row r="904" spans="1:2" x14ac:dyDescent="0.3">
      <c r="A904" s="6" t="s">
        <v>847</v>
      </c>
      <c r="B904" s="8">
        <v>1815</v>
      </c>
    </row>
    <row r="905" spans="1:2" x14ac:dyDescent="0.3">
      <c r="A905" s="6" t="s">
        <v>693</v>
      </c>
      <c r="B905" s="8">
        <v>1812</v>
      </c>
    </row>
    <row r="906" spans="1:2" x14ac:dyDescent="0.3">
      <c r="A906" s="6" t="s">
        <v>866</v>
      </c>
      <c r="B906" s="8">
        <v>1810</v>
      </c>
    </row>
    <row r="907" spans="1:2" x14ac:dyDescent="0.3">
      <c r="A907" s="6" t="s">
        <v>799</v>
      </c>
      <c r="B907" s="8">
        <v>1809</v>
      </c>
    </row>
    <row r="908" spans="1:2" x14ac:dyDescent="0.3">
      <c r="A908" s="6" t="s">
        <v>791</v>
      </c>
      <c r="B908" s="8">
        <v>1800</v>
      </c>
    </row>
    <row r="909" spans="1:2" x14ac:dyDescent="0.3">
      <c r="A909" s="6" t="s">
        <v>844</v>
      </c>
      <c r="B909" s="8">
        <v>1798</v>
      </c>
    </row>
    <row r="910" spans="1:2" x14ac:dyDescent="0.3">
      <c r="A910" s="6" t="s">
        <v>856</v>
      </c>
      <c r="B910" s="8">
        <v>1793</v>
      </c>
    </row>
    <row r="911" spans="1:2" x14ac:dyDescent="0.3">
      <c r="A911" s="6" t="s">
        <v>646</v>
      </c>
      <c r="B911" s="8">
        <v>1789</v>
      </c>
    </row>
    <row r="912" spans="1:2" x14ac:dyDescent="0.3">
      <c r="A912" s="6" t="s">
        <v>762</v>
      </c>
      <c r="B912" s="8">
        <v>1763</v>
      </c>
    </row>
    <row r="913" spans="1:2" x14ac:dyDescent="0.3">
      <c r="A913" s="6" t="s">
        <v>876</v>
      </c>
      <c r="B913" s="8">
        <v>1762</v>
      </c>
    </row>
    <row r="914" spans="1:2" x14ac:dyDescent="0.3">
      <c r="A914" s="6" t="s">
        <v>798</v>
      </c>
      <c r="B914" s="8">
        <v>1759</v>
      </c>
    </row>
    <row r="915" spans="1:2" x14ac:dyDescent="0.3">
      <c r="A915" s="6" t="s">
        <v>787</v>
      </c>
      <c r="B915" s="8">
        <v>1757</v>
      </c>
    </row>
    <row r="916" spans="1:2" x14ac:dyDescent="0.3">
      <c r="A916" s="6" t="s">
        <v>790</v>
      </c>
      <c r="B916" s="8">
        <v>1757</v>
      </c>
    </row>
    <row r="917" spans="1:2" x14ac:dyDescent="0.3">
      <c r="A917" s="6" t="s">
        <v>759</v>
      </c>
      <c r="B917" s="8">
        <v>1756</v>
      </c>
    </row>
    <row r="918" spans="1:2" x14ac:dyDescent="0.3">
      <c r="A918" s="6" t="s">
        <v>722</v>
      </c>
      <c r="B918" s="8">
        <v>1756</v>
      </c>
    </row>
    <row r="919" spans="1:2" x14ac:dyDescent="0.3">
      <c r="A919" s="6" t="s">
        <v>813</v>
      </c>
      <c r="B919" s="8">
        <v>1748</v>
      </c>
    </row>
    <row r="920" spans="1:2" x14ac:dyDescent="0.3">
      <c r="A920" s="6" t="s">
        <v>719</v>
      </c>
      <c r="B920" s="8">
        <v>1746</v>
      </c>
    </row>
    <row r="921" spans="1:2" x14ac:dyDescent="0.3">
      <c r="A921" s="6" t="s">
        <v>824</v>
      </c>
      <c r="B921" s="8">
        <v>1745</v>
      </c>
    </row>
    <row r="922" spans="1:2" x14ac:dyDescent="0.3">
      <c r="A922" s="6" t="s">
        <v>796</v>
      </c>
      <c r="B922" s="8">
        <v>1736</v>
      </c>
    </row>
    <row r="923" spans="1:2" x14ac:dyDescent="0.3">
      <c r="A923" s="6" t="s">
        <v>717</v>
      </c>
      <c r="B923" s="8">
        <v>1731</v>
      </c>
    </row>
    <row r="924" spans="1:2" x14ac:dyDescent="0.3">
      <c r="A924" s="6" t="s">
        <v>704</v>
      </c>
      <c r="B924" s="8">
        <v>1720</v>
      </c>
    </row>
    <row r="925" spans="1:2" x14ac:dyDescent="0.3">
      <c r="A925" s="6" t="s">
        <v>682</v>
      </c>
      <c r="B925" s="8">
        <v>1717</v>
      </c>
    </row>
    <row r="926" spans="1:2" x14ac:dyDescent="0.3">
      <c r="A926" s="6" t="s">
        <v>839</v>
      </c>
      <c r="B926" s="8">
        <v>1701</v>
      </c>
    </row>
    <row r="927" spans="1:2" x14ac:dyDescent="0.3">
      <c r="A927" s="6" t="s">
        <v>775</v>
      </c>
      <c r="B927" s="8">
        <v>1695</v>
      </c>
    </row>
    <row r="928" spans="1:2" x14ac:dyDescent="0.3">
      <c r="A928" s="6" t="s">
        <v>781</v>
      </c>
      <c r="B928" s="8">
        <v>1688</v>
      </c>
    </row>
    <row r="929" spans="1:2" x14ac:dyDescent="0.3">
      <c r="A929" s="6" t="s">
        <v>827</v>
      </c>
      <c r="B929" s="8">
        <v>1686</v>
      </c>
    </row>
    <row r="930" spans="1:2" x14ac:dyDescent="0.3">
      <c r="A930" s="6" t="s">
        <v>843</v>
      </c>
      <c r="B930" s="8">
        <v>1681</v>
      </c>
    </row>
    <row r="931" spans="1:2" x14ac:dyDescent="0.3">
      <c r="A931" s="6" t="s">
        <v>697</v>
      </c>
      <c r="B931" s="8">
        <v>1673</v>
      </c>
    </row>
    <row r="932" spans="1:2" x14ac:dyDescent="0.3">
      <c r="A932" s="6" t="s">
        <v>793</v>
      </c>
      <c r="B932" s="8">
        <v>1668</v>
      </c>
    </row>
    <row r="933" spans="1:2" x14ac:dyDescent="0.3">
      <c r="A933" s="6" t="s">
        <v>771</v>
      </c>
      <c r="B933" s="8">
        <v>1642</v>
      </c>
    </row>
    <row r="934" spans="1:2" x14ac:dyDescent="0.3">
      <c r="A934" s="6" t="s">
        <v>794</v>
      </c>
      <c r="B934" s="8">
        <v>1638</v>
      </c>
    </row>
    <row r="935" spans="1:2" x14ac:dyDescent="0.3">
      <c r="A935" s="6" t="s">
        <v>817</v>
      </c>
      <c r="B935" s="8">
        <v>1637</v>
      </c>
    </row>
    <row r="936" spans="1:2" x14ac:dyDescent="0.3">
      <c r="A936" s="6" t="s">
        <v>715</v>
      </c>
      <c r="B936" s="8">
        <v>1633</v>
      </c>
    </row>
    <row r="937" spans="1:2" x14ac:dyDescent="0.3">
      <c r="A937" s="6" t="s">
        <v>761</v>
      </c>
      <c r="B937" s="8">
        <v>1624</v>
      </c>
    </row>
    <row r="938" spans="1:2" x14ac:dyDescent="0.3">
      <c r="A938" s="6" t="s">
        <v>757</v>
      </c>
      <c r="B938" s="8">
        <v>1622</v>
      </c>
    </row>
    <row r="939" spans="1:2" x14ac:dyDescent="0.3">
      <c r="A939" s="6" t="s">
        <v>734</v>
      </c>
      <c r="B939" s="8">
        <v>1612</v>
      </c>
    </row>
    <row r="940" spans="1:2" x14ac:dyDescent="0.3">
      <c r="A940" s="6" t="s">
        <v>789</v>
      </c>
      <c r="B940" s="8">
        <v>1609</v>
      </c>
    </row>
    <row r="941" spans="1:2" x14ac:dyDescent="0.3">
      <c r="A941" s="6" t="s">
        <v>765</v>
      </c>
      <c r="B941" s="8">
        <v>1597</v>
      </c>
    </row>
    <row r="942" spans="1:2" x14ac:dyDescent="0.3">
      <c r="A942" s="6" t="s">
        <v>723</v>
      </c>
      <c r="B942" s="8">
        <v>1587</v>
      </c>
    </row>
    <row r="943" spans="1:2" x14ac:dyDescent="0.3">
      <c r="A943" s="6" t="s">
        <v>863</v>
      </c>
      <c r="B943" s="8">
        <v>1582</v>
      </c>
    </row>
    <row r="944" spans="1:2" x14ac:dyDescent="0.3">
      <c r="A944" s="6" t="s">
        <v>812</v>
      </c>
      <c r="B944" s="8">
        <v>1579</v>
      </c>
    </row>
    <row r="945" spans="1:2" x14ac:dyDescent="0.3">
      <c r="A945" s="6" t="s">
        <v>818</v>
      </c>
      <c r="B945" s="8">
        <v>1576</v>
      </c>
    </row>
    <row r="946" spans="1:2" x14ac:dyDescent="0.3">
      <c r="A946" s="6" t="s">
        <v>752</v>
      </c>
      <c r="B946" s="8">
        <v>1572</v>
      </c>
    </row>
    <row r="947" spans="1:2" x14ac:dyDescent="0.3">
      <c r="A947" s="6" t="s">
        <v>700</v>
      </c>
      <c r="B947" s="8">
        <v>1561</v>
      </c>
    </row>
    <row r="948" spans="1:2" x14ac:dyDescent="0.3">
      <c r="A948" s="6" t="s">
        <v>821</v>
      </c>
      <c r="B948" s="8">
        <v>1559</v>
      </c>
    </row>
    <row r="949" spans="1:2" x14ac:dyDescent="0.3">
      <c r="A949" s="6" t="s">
        <v>735</v>
      </c>
      <c r="B949" s="8">
        <v>1529</v>
      </c>
    </row>
    <row r="950" spans="1:2" x14ac:dyDescent="0.3">
      <c r="A950" s="6" t="s">
        <v>851</v>
      </c>
      <c r="B950" s="8">
        <v>1529</v>
      </c>
    </row>
    <row r="951" spans="1:2" x14ac:dyDescent="0.3">
      <c r="A951" s="6" t="s">
        <v>777</v>
      </c>
      <c r="B951" s="8">
        <v>1528</v>
      </c>
    </row>
    <row r="952" spans="1:2" x14ac:dyDescent="0.3">
      <c r="A952" s="6" t="s">
        <v>703</v>
      </c>
      <c r="B952" s="8">
        <v>1522</v>
      </c>
    </row>
    <row r="953" spans="1:2" x14ac:dyDescent="0.3">
      <c r="A953" s="6" t="s">
        <v>776</v>
      </c>
      <c r="B953" s="8">
        <v>1502</v>
      </c>
    </row>
    <row r="954" spans="1:2" x14ac:dyDescent="0.3">
      <c r="A954" s="6" t="s">
        <v>632</v>
      </c>
      <c r="B954" s="8">
        <v>1495</v>
      </c>
    </row>
    <row r="955" spans="1:2" x14ac:dyDescent="0.3">
      <c r="A955" s="6" t="s">
        <v>815</v>
      </c>
      <c r="B955" s="8">
        <v>1480</v>
      </c>
    </row>
    <row r="956" spans="1:2" x14ac:dyDescent="0.3">
      <c r="A956" s="6" t="s">
        <v>779</v>
      </c>
      <c r="B956" s="8">
        <v>1478</v>
      </c>
    </row>
    <row r="957" spans="1:2" x14ac:dyDescent="0.3">
      <c r="A957" s="6" t="s">
        <v>745</v>
      </c>
      <c r="B957" s="8">
        <v>1477</v>
      </c>
    </row>
    <row r="958" spans="1:2" x14ac:dyDescent="0.3">
      <c r="A958" s="6" t="s">
        <v>873</v>
      </c>
      <c r="B958" s="8">
        <v>1461</v>
      </c>
    </row>
    <row r="959" spans="1:2" x14ac:dyDescent="0.3">
      <c r="A959" s="6" t="s">
        <v>774</v>
      </c>
      <c r="B959" s="8">
        <v>1435</v>
      </c>
    </row>
    <row r="960" spans="1:2" x14ac:dyDescent="0.3">
      <c r="A960" s="6" t="s">
        <v>802</v>
      </c>
      <c r="B960" s="8">
        <v>1424</v>
      </c>
    </row>
    <row r="961" spans="1:2" x14ac:dyDescent="0.3">
      <c r="A961" s="6" t="s">
        <v>833</v>
      </c>
      <c r="B961" s="8">
        <v>1416</v>
      </c>
    </row>
    <row r="962" spans="1:2" x14ac:dyDescent="0.3">
      <c r="A962" s="6" t="s">
        <v>640</v>
      </c>
      <c r="B962" s="8">
        <v>1408</v>
      </c>
    </row>
    <row r="963" spans="1:2" x14ac:dyDescent="0.3">
      <c r="A963" s="6" t="s">
        <v>811</v>
      </c>
      <c r="B963" s="8">
        <v>1393</v>
      </c>
    </row>
    <row r="964" spans="1:2" x14ac:dyDescent="0.3">
      <c r="A964" s="6" t="s">
        <v>837</v>
      </c>
      <c r="B964" s="8">
        <v>1391</v>
      </c>
    </row>
    <row r="965" spans="1:2" x14ac:dyDescent="0.3">
      <c r="A965" s="6" t="s">
        <v>743</v>
      </c>
      <c r="B965" s="8">
        <v>1387</v>
      </c>
    </row>
    <row r="966" spans="1:2" x14ac:dyDescent="0.3">
      <c r="A966" s="6" t="s">
        <v>766</v>
      </c>
      <c r="B966" s="8">
        <v>1372</v>
      </c>
    </row>
    <row r="967" spans="1:2" x14ac:dyDescent="0.3">
      <c r="A967" s="6" t="s">
        <v>785</v>
      </c>
      <c r="B967" s="8">
        <v>1311</v>
      </c>
    </row>
    <row r="968" spans="1:2" x14ac:dyDescent="0.3">
      <c r="A968" s="6" t="s">
        <v>729</v>
      </c>
      <c r="B968" s="8">
        <v>1307</v>
      </c>
    </row>
    <row r="969" spans="1:2" x14ac:dyDescent="0.3">
      <c r="A969" s="6" t="s">
        <v>749</v>
      </c>
      <c r="B969" s="8">
        <v>1299</v>
      </c>
    </row>
    <row r="970" spans="1:2" x14ac:dyDescent="0.3">
      <c r="A970" s="6" t="s">
        <v>778</v>
      </c>
      <c r="B970" s="8">
        <v>1296</v>
      </c>
    </row>
    <row r="971" spans="1:2" x14ac:dyDescent="0.3">
      <c r="A971" s="6" t="s">
        <v>819</v>
      </c>
      <c r="B971" s="8">
        <v>1281</v>
      </c>
    </row>
    <row r="972" spans="1:2" x14ac:dyDescent="0.3">
      <c r="A972" s="6" t="s">
        <v>748</v>
      </c>
      <c r="B972" s="8">
        <v>1231</v>
      </c>
    </row>
    <row r="973" spans="1:2" x14ac:dyDescent="0.3">
      <c r="A973" s="6" t="s">
        <v>805</v>
      </c>
      <c r="B973" s="8">
        <v>1225</v>
      </c>
    </row>
    <row r="974" spans="1:2" x14ac:dyDescent="0.3">
      <c r="A974" s="6" t="s">
        <v>841</v>
      </c>
      <c r="B974" s="8">
        <v>1194</v>
      </c>
    </row>
    <row r="975" spans="1:2" x14ac:dyDescent="0.3">
      <c r="A975" s="6" t="s">
        <v>967</v>
      </c>
      <c r="B975" s="8">
        <v>0</v>
      </c>
    </row>
    <row r="976" spans="1:2" x14ac:dyDescent="0.3">
      <c r="A976" s="6" t="s">
        <v>966</v>
      </c>
      <c r="B976" s="8">
        <v>0</v>
      </c>
    </row>
    <row r="977" spans="1:2" x14ac:dyDescent="0.3">
      <c r="A977" s="6" t="s">
        <v>968</v>
      </c>
      <c r="B977" s="8">
        <v>0</v>
      </c>
    </row>
    <row r="978" spans="1:2" x14ac:dyDescent="0.3">
      <c r="A978" s="6" t="s">
        <v>965</v>
      </c>
      <c r="B978" s="8">
        <v>0</v>
      </c>
    </row>
    <row r="979" spans="1:2" x14ac:dyDescent="0.3">
      <c r="A979" s="6" t="s">
        <v>739</v>
      </c>
      <c r="B979" s="8">
        <v>0</v>
      </c>
    </row>
    <row r="980" spans="1:2" x14ac:dyDescent="0.3">
      <c r="A980" s="6" t="s">
        <v>981</v>
      </c>
      <c r="B980" s="8">
        <v>0</v>
      </c>
    </row>
    <row r="981" spans="1:2" x14ac:dyDescent="0.3">
      <c r="A981" s="6" t="s">
        <v>974</v>
      </c>
      <c r="B981" s="8">
        <v>0</v>
      </c>
    </row>
    <row r="982" spans="1:2" x14ac:dyDescent="0.3">
      <c r="A982" s="6" t="s">
        <v>991</v>
      </c>
      <c r="B982" s="4">
        <v>2997590415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B941-5548-40AF-97BD-FFECC8F6F3A1}">
  <dimension ref="A2:B982"/>
  <sheetViews>
    <sheetView workbookViewId="0">
      <selection activeCell="C10" sqref="C10"/>
    </sheetView>
  </sheetViews>
  <sheetFormatPr defaultRowHeight="14.4" x14ac:dyDescent="0.3"/>
  <cols>
    <col min="1" max="1" width="90.21875" bestFit="1" customWidth="1"/>
    <col min="2" max="2" width="16.6640625" bestFit="1" customWidth="1"/>
  </cols>
  <sheetData>
    <row r="2" spans="1:2" ht="25.8" x14ac:dyDescent="0.5">
      <c r="A2" s="10" t="s">
        <v>996</v>
      </c>
    </row>
    <row r="3" spans="1:2" x14ac:dyDescent="0.3">
      <c r="A3" s="5" t="s">
        <v>990</v>
      </c>
      <c r="B3" t="s">
        <v>995</v>
      </c>
    </row>
    <row r="4" spans="1:2" x14ac:dyDescent="0.3">
      <c r="A4" s="6" t="s">
        <v>20</v>
      </c>
      <c r="B4" s="8">
        <v>1399899</v>
      </c>
    </row>
    <row r="5" spans="1:2" x14ac:dyDescent="0.3">
      <c r="A5" s="6" t="s">
        <v>17</v>
      </c>
      <c r="B5" s="8">
        <v>1054577</v>
      </c>
    </row>
    <row r="6" spans="1:2" x14ac:dyDescent="0.3">
      <c r="A6" s="6" t="s">
        <v>190</v>
      </c>
      <c r="B6" s="8">
        <v>828970</v>
      </c>
    </row>
    <row r="7" spans="1:2" x14ac:dyDescent="0.3">
      <c r="A7" s="6" t="s">
        <v>313</v>
      </c>
      <c r="B7" s="8">
        <v>723459</v>
      </c>
    </row>
    <row r="8" spans="1:2" x14ac:dyDescent="0.3">
      <c r="A8" s="6" t="s">
        <v>289</v>
      </c>
      <c r="B8" s="8">
        <v>653246</v>
      </c>
    </row>
    <row r="9" spans="1:2" x14ac:dyDescent="0.3">
      <c r="A9" s="6" t="s">
        <v>54</v>
      </c>
      <c r="B9" s="8">
        <v>417603</v>
      </c>
    </row>
    <row r="10" spans="1:2" x14ac:dyDescent="0.3">
      <c r="A10" s="6" t="s">
        <v>245</v>
      </c>
      <c r="B10" s="8">
        <v>381323</v>
      </c>
    </row>
    <row r="11" spans="1:2" x14ac:dyDescent="0.3">
      <c r="A11" s="6" t="s">
        <v>266</v>
      </c>
      <c r="B11" s="8">
        <v>378164</v>
      </c>
    </row>
    <row r="12" spans="1:2" x14ac:dyDescent="0.3">
      <c r="A12" s="6" t="s">
        <v>183</v>
      </c>
      <c r="B12" s="8">
        <v>350709</v>
      </c>
    </row>
    <row r="13" spans="1:2" x14ac:dyDescent="0.3">
      <c r="A13" s="6" t="s">
        <v>188</v>
      </c>
      <c r="B13" s="8">
        <v>343473</v>
      </c>
    </row>
    <row r="14" spans="1:2" x14ac:dyDescent="0.3">
      <c r="A14" s="6" t="s">
        <v>412</v>
      </c>
      <c r="B14" s="8">
        <v>309730</v>
      </c>
    </row>
    <row r="15" spans="1:2" x14ac:dyDescent="0.3">
      <c r="A15" s="6" t="s">
        <v>353</v>
      </c>
      <c r="B15" s="8">
        <v>295240</v>
      </c>
    </row>
    <row r="16" spans="1:2" x14ac:dyDescent="0.3">
      <c r="A16" s="6" t="s">
        <v>186</v>
      </c>
      <c r="B16" s="8">
        <v>293043</v>
      </c>
    </row>
    <row r="17" spans="1:2" x14ac:dyDescent="0.3">
      <c r="A17" s="6" t="s">
        <v>311</v>
      </c>
      <c r="B17" s="8">
        <v>272448</v>
      </c>
    </row>
    <row r="18" spans="1:2" x14ac:dyDescent="0.3">
      <c r="A18" s="6" t="s">
        <v>320</v>
      </c>
      <c r="B18" s="8">
        <v>263976</v>
      </c>
    </row>
    <row r="19" spans="1:2" x14ac:dyDescent="0.3">
      <c r="A19" s="6" t="s">
        <v>305</v>
      </c>
      <c r="B19" s="8">
        <v>242233</v>
      </c>
    </row>
    <row r="20" spans="1:2" x14ac:dyDescent="0.3">
      <c r="A20" s="6" t="s">
        <v>212</v>
      </c>
      <c r="B20" s="8">
        <v>229660</v>
      </c>
    </row>
    <row r="21" spans="1:2" x14ac:dyDescent="0.3">
      <c r="A21" s="6" t="s">
        <v>279</v>
      </c>
      <c r="B21" s="8">
        <v>224596</v>
      </c>
    </row>
    <row r="22" spans="1:2" x14ac:dyDescent="0.3">
      <c r="A22" s="6" t="s">
        <v>326</v>
      </c>
      <c r="B22" s="8">
        <v>224082</v>
      </c>
    </row>
    <row r="23" spans="1:2" x14ac:dyDescent="0.3">
      <c r="A23" s="6" t="s">
        <v>200</v>
      </c>
      <c r="B23" s="8">
        <v>218939</v>
      </c>
    </row>
    <row r="24" spans="1:2" x14ac:dyDescent="0.3">
      <c r="A24" s="6" t="s">
        <v>225</v>
      </c>
      <c r="B24" s="8">
        <v>214794</v>
      </c>
    </row>
    <row r="25" spans="1:2" x14ac:dyDescent="0.3">
      <c r="A25" s="6" t="s">
        <v>330</v>
      </c>
      <c r="B25" s="8">
        <v>206942</v>
      </c>
    </row>
    <row r="26" spans="1:2" x14ac:dyDescent="0.3">
      <c r="A26" s="6" t="s">
        <v>207</v>
      </c>
      <c r="B26" s="8">
        <v>201734</v>
      </c>
    </row>
    <row r="27" spans="1:2" x14ac:dyDescent="0.3">
      <c r="A27" s="6" t="s">
        <v>332</v>
      </c>
      <c r="B27" s="8">
        <v>197616</v>
      </c>
    </row>
    <row r="28" spans="1:2" x14ac:dyDescent="0.3">
      <c r="A28" s="6" t="s">
        <v>59</v>
      </c>
      <c r="B28" s="8">
        <v>193899</v>
      </c>
    </row>
    <row r="29" spans="1:2" x14ac:dyDescent="0.3">
      <c r="A29" s="6" t="s">
        <v>317</v>
      </c>
      <c r="B29" s="8">
        <v>192695</v>
      </c>
    </row>
    <row r="30" spans="1:2" x14ac:dyDescent="0.3">
      <c r="A30" s="6" t="s">
        <v>310</v>
      </c>
      <c r="B30" s="8">
        <v>192002</v>
      </c>
    </row>
    <row r="31" spans="1:2" x14ac:dyDescent="0.3">
      <c r="A31" s="6" t="s">
        <v>314</v>
      </c>
      <c r="B31" s="8">
        <v>185445</v>
      </c>
    </row>
    <row r="32" spans="1:2" x14ac:dyDescent="0.3">
      <c r="A32" s="6" t="s">
        <v>322</v>
      </c>
      <c r="B32" s="8">
        <v>184999</v>
      </c>
    </row>
    <row r="33" spans="1:2" x14ac:dyDescent="0.3">
      <c r="A33" s="6" t="s">
        <v>331</v>
      </c>
      <c r="B33" s="8">
        <v>182005</v>
      </c>
    </row>
    <row r="34" spans="1:2" x14ac:dyDescent="0.3">
      <c r="A34" s="6" t="s">
        <v>390</v>
      </c>
      <c r="B34" s="8">
        <v>180067</v>
      </c>
    </row>
    <row r="35" spans="1:2" x14ac:dyDescent="0.3">
      <c r="A35" s="6" t="s">
        <v>382</v>
      </c>
      <c r="B35" s="8">
        <v>179748</v>
      </c>
    </row>
    <row r="36" spans="1:2" x14ac:dyDescent="0.3">
      <c r="A36" s="6" t="s">
        <v>261</v>
      </c>
      <c r="B36" s="8">
        <v>176255</v>
      </c>
    </row>
    <row r="37" spans="1:2" x14ac:dyDescent="0.3">
      <c r="A37" s="6" t="s">
        <v>304</v>
      </c>
      <c r="B37" s="8">
        <v>173998</v>
      </c>
    </row>
    <row r="38" spans="1:2" x14ac:dyDescent="0.3">
      <c r="A38" s="6" t="s">
        <v>309</v>
      </c>
      <c r="B38" s="8">
        <v>173035</v>
      </c>
    </row>
    <row r="39" spans="1:2" x14ac:dyDescent="0.3">
      <c r="A39" s="6" t="s">
        <v>125</v>
      </c>
      <c r="B39" s="8">
        <v>172532</v>
      </c>
    </row>
    <row r="40" spans="1:2" x14ac:dyDescent="0.3">
      <c r="A40" s="6" t="s">
        <v>30</v>
      </c>
      <c r="B40" s="8">
        <v>171141</v>
      </c>
    </row>
    <row r="41" spans="1:2" x14ac:dyDescent="0.3">
      <c r="A41" s="6" t="s">
        <v>351</v>
      </c>
      <c r="B41" s="8">
        <v>170244</v>
      </c>
    </row>
    <row r="42" spans="1:2" x14ac:dyDescent="0.3">
      <c r="A42" s="6" t="s">
        <v>336</v>
      </c>
      <c r="B42" s="8">
        <v>169747</v>
      </c>
    </row>
    <row r="43" spans="1:2" x14ac:dyDescent="0.3">
      <c r="A43" s="6" t="s">
        <v>26</v>
      </c>
      <c r="B43" s="8">
        <v>168813</v>
      </c>
    </row>
    <row r="44" spans="1:2" x14ac:dyDescent="0.3">
      <c r="A44" s="6" t="s">
        <v>253</v>
      </c>
      <c r="B44" s="8">
        <v>168267</v>
      </c>
    </row>
    <row r="45" spans="1:2" x14ac:dyDescent="0.3">
      <c r="A45" s="6" t="s">
        <v>426</v>
      </c>
      <c r="B45" s="8">
        <v>166333</v>
      </c>
    </row>
    <row r="46" spans="1:2" x14ac:dyDescent="0.3">
      <c r="A46" s="6" t="s">
        <v>290</v>
      </c>
      <c r="B46" s="8">
        <v>166108</v>
      </c>
    </row>
    <row r="47" spans="1:2" x14ac:dyDescent="0.3">
      <c r="A47" s="6" t="s">
        <v>982</v>
      </c>
      <c r="B47" s="8">
        <v>164399</v>
      </c>
    </row>
    <row r="48" spans="1:2" x14ac:dyDescent="0.3">
      <c r="A48" s="6" t="s">
        <v>364</v>
      </c>
      <c r="B48" s="8">
        <v>160027</v>
      </c>
    </row>
    <row r="49" spans="1:2" x14ac:dyDescent="0.3">
      <c r="A49" s="6" t="s">
        <v>237</v>
      </c>
      <c r="B49" s="8">
        <v>159916</v>
      </c>
    </row>
    <row r="50" spans="1:2" x14ac:dyDescent="0.3">
      <c r="A50" s="6" t="s">
        <v>282</v>
      </c>
      <c r="B50" s="8">
        <v>155666</v>
      </c>
    </row>
    <row r="51" spans="1:2" x14ac:dyDescent="0.3">
      <c r="A51" s="6" t="s">
        <v>273</v>
      </c>
      <c r="B51" s="8">
        <v>154621</v>
      </c>
    </row>
    <row r="52" spans="1:2" x14ac:dyDescent="0.3">
      <c r="A52" s="6" t="s">
        <v>257</v>
      </c>
      <c r="B52" s="8">
        <v>153718</v>
      </c>
    </row>
    <row r="53" spans="1:2" x14ac:dyDescent="0.3">
      <c r="A53" s="6" t="s">
        <v>204</v>
      </c>
      <c r="B53" s="8">
        <v>152291</v>
      </c>
    </row>
    <row r="54" spans="1:2" x14ac:dyDescent="0.3">
      <c r="A54" s="6" t="s">
        <v>40</v>
      </c>
      <c r="B54" s="8">
        <v>151158</v>
      </c>
    </row>
    <row r="55" spans="1:2" x14ac:dyDescent="0.3">
      <c r="A55" s="6" t="s">
        <v>325</v>
      </c>
      <c r="B55" s="8">
        <v>150692</v>
      </c>
    </row>
    <row r="56" spans="1:2" x14ac:dyDescent="0.3">
      <c r="A56" s="6" t="s">
        <v>233</v>
      </c>
      <c r="B56" s="8">
        <v>149864</v>
      </c>
    </row>
    <row r="57" spans="1:2" x14ac:dyDescent="0.3">
      <c r="A57" s="6" t="s">
        <v>428</v>
      </c>
      <c r="B57" s="8">
        <v>144450</v>
      </c>
    </row>
    <row r="58" spans="1:2" x14ac:dyDescent="0.3">
      <c r="A58" s="6" t="s">
        <v>241</v>
      </c>
      <c r="B58" s="8">
        <v>144140</v>
      </c>
    </row>
    <row r="59" spans="1:2" x14ac:dyDescent="0.3">
      <c r="A59" s="6" t="s">
        <v>267</v>
      </c>
      <c r="B59" s="8">
        <v>143026</v>
      </c>
    </row>
    <row r="60" spans="1:2" x14ac:dyDescent="0.3">
      <c r="A60" s="6" t="s">
        <v>308</v>
      </c>
      <c r="B60" s="8">
        <v>142875</v>
      </c>
    </row>
    <row r="61" spans="1:2" x14ac:dyDescent="0.3">
      <c r="A61" s="6" t="s">
        <v>409</v>
      </c>
      <c r="B61" s="8">
        <v>142825</v>
      </c>
    </row>
    <row r="62" spans="1:2" x14ac:dyDescent="0.3">
      <c r="A62" s="6" t="s">
        <v>402</v>
      </c>
      <c r="B62" s="8">
        <v>141709</v>
      </c>
    </row>
    <row r="63" spans="1:2" x14ac:dyDescent="0.3">
      <c r="A63" s="6" t="s">
        <v>303</v>
      </c>
      <c r="B63" s="8">
        <v>139930</v>
      </c>
    </row>
    <row r="64" spans="1:2" x14ac:dyDescent="0.3">
      <c r="A64" s="6" t="s">
        <v>389</v>
      </c>
      <c r="B64" s="8">
        <v>139633</v>
      </c>
    </row>
    <row r="65" spans="1:2" x14ac:dyDescent="0.3">
      <c r="A65" s="6" t="s">
        <v>187</v>
      </c>
      <c r="B65" s="8">
        <v>139132</v>
      </c>
    </row>
    <row r="66" spans="1:2" x14ac:dyDescent="0.3">
      <c r="A66" s="6" t="s">
        <v>531</v>
      </c>
      <c r="B66" s="8">
        <v>138780</v>
      </c>
    </row>
    <row r="67" spans="1:2" x14ac:dyDescent="0.3">
      <c r="A67" s="6" t="s">
        <v>329</v>
      </c>
      <c r="B67" s="8">
        <v>138338</v>
      </c>
    </row>
    <row r="68" spans="1:2" x14ac:dyDescent="0.3">
      <c r="A68" s="6" t="s">
        <v>373</v>
      </c>
      <c r="B68" s="8">
        <v>137005</v>
      </c>
    </row>
    <row r="69" spans="1:2" x14ac:dyDescent="0.3">
      <c r="A69" s="6" t="s">
        <v>14</v>
      </c>
      <c r="B69" s="8">
        <v>136619</v>
      </c>
    </row>
    <row r="70" spans="1:2" x14ac:dyDescent="0.3">
      <c r="A70" s="6" t="s">
        <v>231</v>
      </c>
      <c r="B70" s="8">
        <v>136272</v>
      </c>
    </row>
    <row r="71" spans="1:2" x14ac:dyDescent="0.3">
      <c r="A71" s="6" t="s">
        <v>280</v>
      </c>
      <c r="B71" s="8">
        <v>136125</v>
      </c>
    </row>
    <row r="72" spans="1:2" x14ac:dyDescent="0.3">
      <c r="A72" s="6" t="s">
        <v>441</v>
      </c>
      <c r="B72" s="8">
        <v>133125</v>
      </c>
    </row>
    <row r="73" spans="1:2" x14ac:dyDescent="0.3">
      <c r="A73" s="6" t="s">
        <v>407</v>
      </c>
      <c r="B73" s="8">
        <v>132982</v>
      </c>
    </row>
    <row r="74" spans="1:2" x14ac:dyDescent="0.3">
      <c r="A74" s="6" t="s">
        <v>294</v>
      </c>
      <c r="B74" s="8">
        <v>132963</v>
      </c>
    </row>
    <row r="75" spans="1:2" x14ac:dyDescent="0.3">
      <c r="A75" s="6" t="s">
        <v>367</v>
      </c>
      <c r="B75" s="8">
        <v>132625</v>
      </c>
    </row>
    <row r="76" spans="1:2" x14ac:dyDescent="0.3">
      <c r="A76" s="6" t="s">
        <v>7</v>
      </c>
      <c r="B76" s="8">
        <v>131250</v>
      </c>
    </row>
    <row r="77" spans="1:2" x14ac:dyDescent="0.3">
      <c r="A77" s="6" t="s">
        <v>249</v>
      </c>
      <c r="B77" s="8">
        <v>129678</v>
      </c>
    </row>
    <row r="78" spans="1:2" x14ac:dyDescent="0.3">
      <c r="A78" s="6" t="s">
        <v>285</v>
      </c>
      <c r="B78" s="8">
        <v>129469</v>
      </c>
    </row>
    <row r="79" spans="1:2" x14ac:dyDescent="0.3">
      <c r="A79" s="6" t="s">
        <v>251</v>
      </c>
      <c r="B79" s="8">
        <v>129399</v>
      </c>
    </row>
    <row r="80" spans="1:2" x14ac:dyDescent="0.3">
      <c r="A80" s="6" t="s">
        <v>269</v>
      </c>
      <c r="B80" s="8">
        <v>129089</v>
      </c>
    </row>
    <row r="81" spans="1:2" x14ac:dyDescent="0.3">
      <c r="A81" s="6" t="s">
        <v>352</v>
      </c>
      <c r="B81" s="8">
        <v>127577</v>
      </c>
    </row>
    <row r="82" spans="1:2" x14ac:dyDescent="0.3">
      <c r="A82" s="6" t="s">
        <v>283</v>
      </c>
      <c r="B82" s="8">
        <v>127489</v>
      </c>
    </row>
    <row r="83" spans="1:2" x14ac:dyDescent="0.3">
      <c r="A83" s="6" t="s">
        <v>206</v>
      </c>
      <c r="B83" s="8">
        <v>127028</v>
      </c>
    </row>
    <row r="84" spans="1:2" x14ac:dyDescent="0.3">
      <c r="A84" s="6" t="s">
        <v>222</v>
      </c>
      <c r="B84" s="8">
        <v>126897</v>
      </c>
    </row>
    <row r="85" spans="1:2" x14ac:dyDescent="0.3">
      <c r="A85" s="6" t="s">
        <v>327</v>
      </c>
      <c r="B85" s="8">
        <v>126824</v>
      </c>
    </row>
    <row r="86" spans="1:2" x14ac:dyDescent="0.3">
      <c r="A86" s="6" t="s">
        <v>291</v>
      </c>
      <c r="B86" s="8">
        <v>126427</v>
      </c>
    </row>
    <row r="87" spans="1:2" x14ac:dyDescent="0.3">
      <c r="A87" s="6" t="s">
        <v>350</v>
      </c>
      <c r="B87" s="8">
        <v>124716</v>
      </c>
    </row>
    <row r="88" spans="1:2" x14ac:dyDescent="0.3">
      <c r="A88" s="6" t="s">
        <v>268</v>
      </c>
      <c r="B88" s="8">
        <v>124432</v>
      </c>
    </row>
    <row r="89" spans="1:2" x14ac:dyDescent="0.3">
      <c r="A89" s="6" t="s">
        <v>159</v>
      </c>
      <c r="B89" s="8">
        <v>122492</v>
      </c>
    </row>
    <row r="90" spans="1:2" x14ac:dyDescent="0.3">
      <c r="A90" s="6" t="s">
        <v>333</v>
      </c>
      <c r="B90" s="8">
        <v>121258</v>
      </c>
    </row>
    <row r="91" spans="1:2" x14ac:dyDescent="0.3">
      <c r="A91" s="6" t="s">
        <v>301</v>
      </c>
      <c r="B91" s="8">
        <v>119834</v>
      </c>
    </row>
    <row r="92" spans="1:2" x14ac:dyDescent="0.3">
      <c r="A92" s="6" t="s">
        <v>115</v>
      </c>
      <c r="B92" s="8">
        <v>119798</v>
      </c>
    </row>
    <row r="93" spans="1:2" x14ac:dyDescent="0.3">
      <c r="A93" s="6" t="s">
        <v>324</v>
      </c>
      <c r="B93" s="8">
        <v>119447</v>
      </c>
    </row>
    <row r="94" spans="1:2" x14ac:dyDescent="0.3">
      <c r="A94" s="6" t="s">
        <v>56</v>
      </c>
      <c r="B94" s="8">
        <v>119334</v>
      </c>
    </row>
    <row r="95" spans="1:2" x14ac:dyDescent="0.3">
      <c r="A95" s="6" t="s">
        <v>255</v>
      </c>
      <c r="B95" s="8">
        <v>119176</v>
      </c>
    </row>
    <row r="96" spans="1:2" x14ac:dyDescent="0.3">
      <c r="A96" s="6" t="s">
        <v>35</v>
      </c>
      <c r="B96" s="8">
        <v>118253</v>
      </c>
    </row>
    <row r="97" spans="1:2" x14ac:dyDescent="0.3">
      <c r="A97" s="6" t="s">
        <v>292</v>
      </c>
      <c r="B97" s="8">
        <v>117365</v>
      </c>
    </row>
    <row r="98" spans="1:2" x14ac:dyDescent="0.3">
      <c r="A98" s="6" t="s">
        <v>307</v>
      </c>
      <c r="B98" s="8">
        <v>116904</v>
      </c>
    </row>
    <row r="99" spans="1:2" x14ac:dyDescent="0.3">
      <c r="A99" s="6" t="s">
        <v>319</v>
      </c>
      <c r="B99" s="8">
        <v>116782</v>
      </c>
    </row>
    <row r="100" spans="1:2" x14ac:dyDescent="0.3">
      <c r="A100" s="6" t="s">
        <v>335</v>
      </c>
      <c r="B100" s="8">
        <v>116709</v>
      </c>
    </row>
    <row r="101" spans="1:2" x14ac:dyDescent="0.3">
      <c r="A101" s="6" t="s">
        <v>385</v>
      </c>
      <c r="B101" s="8">
        <v>116554</v>
      </c>
    </row>
    <row r="102" spans="1:2" x14ac:dyDescent="0.3">
      <c r="A102" s="6" t="s">
        <v>274</v>
      </c>
      <c r="B102" s="8">
        <v>116509</v>
      </c>
    </row>
    <row r="103" spans="1:2" x14ac:dyDescent="0.3">
      <c r="A103" s="6" t="s">
        <v>302</v>
      </c>
      <c r="B103" s="8">
        <v>116406</v>
      </c>
    </row>
    <row r="104" spans="1:2" x14ac:dyDescent="0.3">
      <c r="A104" s="6" t="s">
        <v>286</v>
      </c>
      <c r="B104" s="8">
        <v>116175</v>
      </c>
    </row>
    <row r="105" spans="1:2" x14ac:dyDescent="0.3">
      <c r="A105" s="6" t="s">
        <v>85</v>
      </c>
      <c r="B105" s="8">
        <v>114527</v>
      </c>
    </row>
    <row r="106" spans="1:2" x14ac:dyDescent="0.3">
      <c r="A106" s="6" t="s">
        <v>343</v>
      </c>
      <c r="B106" s="8">
        <v>113237</v>
      </c>
    </row>
    <row r="107" spans="1:2" x14ac:dyDescent="0.3">
      <c r="A107" s="6" t="s">
        <v>60</v>
      </c>
      <c r="B107" s="8">
        <v>112972</v>
      </c>
    </row>
    <row r="108" spans="1:2" x14ac:dyDescent="0.3">
      <c r="A108" s="6" t="s">
        <v>216</v>
      </c>
      <c r="B108" s="8">
        <v>112568</v>
      </c>
    </row>
    <row r="109" spans="1:2" x14ac:dyDescent="0.3">
      <c r="A109" s="6" t="s">
        <v>306</v>
      </c>
      <c r="B109" s="8">
        <v>111230</v>
      </c>
    </row>
    <row r="110" spans="1:2" x14ac:dyDescent="0.3">
      <c r="A110" s="6" t="s">
        <v>404</v>
      </c>
      <c r="B110" s="8">
        <v>110975</v>
      </c>
    </row>
    <row r="111" spans="1:2" x14ac:dyDescent="0.3">
      <c r="A111" s="6" t="s">
        <v>344</v>
      </c>
      <c r="B111" s="8">
        <v>110351</v>
      </c>
    </row>
    <row r="112" spans="1:2" x14ac:dyDescent="0.3">
      <c r="A112" s="6" t="s">
        <v>247</v>
      </c>
      <c r="B112" s="8">
        <v>109234</v>
      </c>
    </row>
    <row r="113" spans="1:2" x14ac:dyDescent="0.3">
      <c r="A113" s="6" t="s">
        <v>510</v>
      </c>
      <c r="B113" s="8">
        <v>108274</v>
      </c>
    </row>
    <row r="114" spans="1:2" x14ac:dyDescent="0.3">
      <c r="A114" s="6" t="s">
        <v>281</v>
      </c>
      <c r="B114" s="8">
        <v>106770</v>
      </c>
    </row>
    <row r="115" spans="1:2" x14ac:dyDescent="0.3">
      <c r="A115" s="6" t="s">
        <v>312</v>
      </c>
      <c r="B115" s="8">
        <v>105707</v>
      </c>
    </row>
    <row r="116" spans="1:2" x14ac:dyDescent="0.3">
      <c r="A116" s="6" t="s">
        <v>356</v>
      </c>
      <c r="B116" s="8">
        <v>105591</v>
      </c>
    </row>
    <row r="117" spans="1:2" x14ac:dyDescent="0.3">
      <c r="A117" s="6" t="s">
        <v>449</v>
      </c>
      <c r="B117" s="8">
        <v>105449</v>
      </c>
    </row>
    <row r="118" spans="1:2" x14ac:dyDescent="0.3">
      <c r="A118" s="6" t="s">
        <v>263</v>
      </c>
      <c r="B118" s="8">
        <v>104917</v>
      </c>
    </row>
    <row r="119" spans="1:2" x14ac:dyDescent="0.3">
      <c r="A119" s="6" t="s">
        <v>434</v>
      </c>
      <c r="B119" s="8">
        <v>104839</v>
      </c>
    </row>
    <row r="120" spans="1:2" x14ac:dyDescent="0.3">
      <c r="A120" s="6" t="s">
        <v>213</v>
      </c>
      <c r="B120" s="8">
        <v>103841</v>
      </c>
    </row>
    <row r="121" spans="1:2" x14ac:dyDescent="0.3">
      <c r="A121" s="6" t="s">
        <v>276</v>
      </c>
      <c r="B121" s="8">
        <v>101545</v>
      </c>
    </row>
    <row r="122" spans="1:2" x14ac:dyDescent="0.3">
      <c r="A122" s="6" t="s">
        <v>147</v>
      </c>
      <c r="B122" s="8">
        <v>101127</v>
      </c>
    </row>
    <row r="123" spans="1:2" x14ac:dyDescent="0.3">
      <c r="A123" s="6" t="s">
        <v>362</v>
      </c>
      <c r="B123" s="8">
        <v>100685</v>
      </c>
    </row>
    <row r="124" spans="1:2" x14ac:dyDescent="0.3">
      <c r="A124" s="6" t="s">
        <v>379</v>
      </c>
      <c r="B124" s="8">
        <v>100250</v>
      </c>
    </row>
    <row r="125" spans="1:2" x14ac:dyDescent="0.3">
      <c r="A125" s="6" t="s">
        <v>272</v>
      </c>
      <c r="B125" s="8">
        <v>99710</v>
      </c>
    </row>
    <row r="126" spans="1:2" x14ac:dyDescent="0.3">
      <c r="A126" s="6" t="s">
        <v>298</v>
      </c>
      <c r="B126" s="8">
        <v>99039</v>
      </c>
    </row>
    <row r="127" spans="1:2" x14ac:dyDescent="0.3">
      <c r="A127" s="6" t="s">
        <v>217</v>
      </c>
      <c r="B127" s="8">
        <v>98894</v>
      </c>
    </row>
    <row r="128" spans="1:2" x14ac:dyDescent="0.3">
      <c r="A128" s="6" t="s">
        <v>461</v>
      </c>
      <c r="B128" s="8">
        <v>98521</v>
      </c>
    </row>
    <row r="129" spans="1:2" x14ac:dyDescent="0.3">
      <c r="A129" s="6" t="s">
        <v>295</v>
      </c>
      <c r="B129" s="8">
        <v>97578</v>
      </c>
    </row>
    <row r="130" spans="1:2" x14ac:dyDescent="0.3">
      <c r="A130" s="6" t="s">
        <v>9</v>
      </c>
      <c r="B130" s="8">
        <v>97537</v>
      </c>
    </row>
    <row r="131" spans="1:2" x14ac:dyDescent="0.3">
      <c r="A131" s="6" t="s">
        <v>346</v>
      </c>
      <c r="B131" s="8">
        <v>97481</v>
      </c>
    </row>
    <row r="132" spans="1:2" x14ac:dyDescent="0.3">
      <c r="A132" s="6" t="s">
        <v>293</v>
      </c>
      <c r="B132" s="8">
        <v>97216</v>
      </c>
    </row>
    <row r="133" spans="1:2" x14ac:dyDescent="0.3">
      <c r="A133" s="6" t="s">
        <v>401</v>
      </c>
      <c r="B133" s="8">
        <v>96705</v>
      </c>
    </row>
    <row r="134" spans="1:2" x14ac:dyDescent="0.3">
      <c r="A134" s="6" t="s">
        <v>378</v>
      </c>
      <c r="B134" s="8">
        <v>96428</v>
      </c>
    </row>
    <row r="135" spans="1:2" x14ac:dyDescent="0.3">
      <c r="A135" s="6" t="s">
        <v>44</v>
      </c>
      <c r="B135" s="8">
        <v>96244</v>
      </c>
    </row>
    <row r="136" spans="1:2" x14ac:dyDescent="0.3">
      <c r="A136" s="6" t="s">
        <v>205</v>
      </c>
      <c r="B136" s="8">
        <v>95609</v>
      </c>
    </row>
    <row r="137" spans="1:2" x14ac:dyDescent="0.3">
      <c r="A137" s="6" t="s">
        <v>178</v>
      </c>
      <c r="B137" s="8">
        <v>94504</v>
      </c>
    </row>
    <row r="138" spans="1:2" x14ac:dyDescent="0.3">
      <c r="A138" s="6" t="s">
        <v>421</v>
      </c>
      <c r="B138" s="8">
        <v>94349</v>
      </c>
    </row>
    <row r="139" spans="1:2" x14ac:dyDescent="0.3">
      <c r="A139" s="6" t="s">
        <v>359</v>
      </c>
      <c r="B139" s="8">
        <v>94074</v>
      </c>
    </row>
    <row r="140" spans="1:2" x14ac:dyDescent="0.3">
      <c r="A140" s="6" t="s">
        <v>323</v>
      </c>
      <c r="B140" s="8">
        <v>93982</v>
      </c>
    </row>
    <row r="141" spans="1:2" x14ac:dyDescent="0.3">
      <c r="A141" s="6" t="s">
        <v>386</v>
      </c>
      <c r="B141" s="8">
        <v>93765</v>
      </c>
    </row>
    <row r="142" spans="1:2" x14ac:dyDescent="0.3">
      <c r="A142" s="6" t="s">
        <v>463</v>
      </c>
      <c r="B142" s="8">
        <v>93610</v>
      </c>
    </row>
    <row r="143" spans="1:2" x14ac:dyDescent="0.3">
      <c r="A143" s="6" t="s">
        <v>288</v>
      </c>
      <c r="B143" s="8">
        <v>93529</v>
      </c>
    </row>
    <row r="144" spans="1:2" x14ac:dyDescent="0.3">
      <c r="A144" s="6" t="s">
        <v>316</v>
      </c>
      <c r="B144" s="8">
        <v>93132</v>
      </c>
    </row>
    <row r="145" spans="1:2" x14ac:dyDescent="0.3">
      <c r="A145" s="6" t="s">
        <v>270</v>
      </c>
      <c r="B145" s="8">
        <v>93054</v>
      </c>
    </row>
    <row r="146" spans="1:2" x14ac:dyDescent="0.3">
      <c r="A146" s="6" t="s">
        <v>315</v>
      </c>
      <c r="B146" s="8">
        <v>92221</v>
      </c>
    </row>
    <row r="147" spans="1:2" x14ac:dyDescent="0.3">
      <c r="A147" s="6" t="s">
        <v>354</v>
      </c>
      <c r="B147" s="8">
        <v>91395</v>
      </c>
    </row>
    <row r="148" spans="1:2" x14ac:dyDescent="0.3">
      <c r="A148" s="6" t="s">
        <v>395</v>
      </c>
      <c r="B148" s="8">
        <v>90261</v>
      </c>
    </row>
    <row r="149" spans="1:2" x14ac:dyDescent="0.3">
      <c r="A149" s="6" t="s">
        <v>52</v>
      </c>
      <c r="B149" s="8">
        <v>90178</v>
      </c>
    </row>
    <row r="150" spans="1:2" x14ac:dyDescent="0.3">
      <c r="A150" s="6" t="s">
        <v>220</v>
      </c>
      <c r="B150" s="8">
        <v>89158</v>
      </c>
    </row>
    <row r="151" spans="1:2" x14ac:dyDescent="0.3">
      <c r="A151" s="6" t="s">
        <v>414</v>
      </c>
      <c r="B151" s="8">
        <v>89158</v>
      </c>
    </row>
    <row r="152" spans="1:2" x14ac:dyDescent="0.3">
      <c r="A152" s="6" t="s">
        <v>870</v>
      </c>
      <c r="B152" s="8">
        <v>88780</v>
      </c>
    </row>
    <row r="153" spans="1:2" x14ac:dyDescent="0.3">
      <c r="A153" s="6" t="s">
        <v>520</v>
      </c>
      <c r="B153" s="8">
        <v>88719</v>
      </c>
    </row>
    <row r="154" spans="1:2" x14ac:dyDescent="0.3">
      <c r="A154" s="6" t="s">
        <v>180</v>
      </c>
      <c r="B154" s="8">
        <v>88575</v>
      </c>
    </row>
    <row r="155" spans="1:2" x14ac:dyDescent="0.3">
      <c r="A155" s="6" t="s">
        <v>391</v>
      </c>
      <c r="B155" s="8">
        <v>87524</v>
      </c>
    </row>
    <row r="156" spans="1:2" x14ac:dyDescent="0.3">
      <c r="A156" s="6" t="s">
        <v>48</v>
      </c>
      <c r="B156" s="8">
        <v>86987</v>
      </c>
    </row>
    <row r="157" spans="1:2" x14ac:dyDescent="0.3">
      <c r="A157" s="6" t="s">
        <v>189</v>
      </c>
      <c r="B157" s="8">
        <v>86805</v>
      </c>
    </row>
    <row r="158" spans="1:2" x14ac:dyDescent="0.3">
      <c r="A158" s="6" t="s">
        <v>142</v>
      </c>
      <c r="B158" s="8">
        <v>86306</v>
      </c>
    </row>
    <row r="159" spans="1:2" x14ac:dyDescent="0.3">
      <c r="A159" s="6" t="s">
        <v>215</v>
      </c>
      <c r="B159" s="8">
        <v>86214</v>
      </c>
    </row>
    <row r="160" spans="1:2" x14ac:dyDescent="0.3">
      <c r="A160" s="6" t="s">
        <v>284</v>
      </c>
      <c r="B160" s="8">
        <v>86056</v>
      </c>
    </row>
    <row r="161" spans="1:2" x14ac:dyDescent="0.3">
      <c r="A161" s="6" t="s">
        <v>318</v>
      </c>
      <c r="B161" s="8">
        <v>85866</v>
      </c>
    </row>
    <row r="162" spans="1:2" x14ac:dyDescent="0.3">
      <c r="A162" s="6" t="s">
        <v>328</v>
      </c>
      <c r="B162" s="8">
        <v>85425</v>
      </c>
    </row>
    <row r="163" spans="1:2" x14ac:dyDescent="0.3">
      <c r="A163" s="6" t="s">
        <v>74</v>
      </c>
      <c r="B163" s="8">
        <v>85073</v>
      </c>
    </row>
    <row r="164" spans="1:2" x14ac:dyDescent="0.3">
      <c r="A164" s="6" t="s">
        <v>234</v>
      </c>
      <c r="B164" s="8">
        <v>84571</v>
      </c>
    </row>
    <row r="165" spans="1:2" x14ac:dyDescent="0.3">
      <c r="A165" s="6" t="s">
        <v>228</v>
      </c>
      <c r="B165" s="8">
        <v>83636</v>
      </c>
    </row>
    <row r="166" spans="1:2" x14ac:dyDescent="0.3">
      <c r="A166" s="6" t="s">
        <v>383</v>
      </c>
      <c r="B166" s="8">
        <v>83423</v>
      </c>
    </row>
    <row r="167" spans="1:2" x14ac:dyDescent="0.3">
      <c r="A167" s="6" t="s">
        <v>15</v>
      </c>
      <c r="B167" s="8">
        <v>83407</v>
      </c>
    </row>
    <row r="168" spans="1:2" x14ac:dyDescent="0.3">
      <c r="A168" s="6" t="s">
        <v>287</v>
      </c>
      <c r="B168" s="8">
        <v>83327</v>
      </c>
    </row>
    <row r="169" spans="1:2" x14ac:dyDescent="0.3">
      <c r="A169" s="6" t="s">
        <v>297</v>
      </c>
      <c r="B169" s="8">
        <v>83024</v>
      </c>
    </row>
    <row r="170" spans="1:2" x14ac:dyDescent="0.3">
      <c r="A170" s="6" t="s">
        <v>300</v>
      </c>
      <c r="B170" s="8">
        <v>82325</v>
      </c>
    </row>
    <row r="171" spans="1:2" x14ac:dyDescent="0.3">
      <c r="A171" s="6" t="s">
        <v>410</v>
      </c>
      <c r="B171" s="8">
        <v>82116</v>
      </c>
    </row>
    <row r="172" spans="1:2" x14ac:dyDescent="0.3">
      <c r="A172" s="6" t="s">
        <v>121</v>
      </c>
      <c r="B172" s="8">
        <v>82074</v>
      </c>
    </row>
    <row r="173" spans="1:2" x14ac:dyDescent="0.3">
      <c r="A173" s="6" t="s">
        <v>275</v>
      </c>
      <c r="B173" s="8">
        <v>81679</v>
      </c>
    </row>
    <row r="174" spans="1:2" x14ac:dyDescent="0.3">
      <c r="A174" s="6" t="s">
        <v>262</v>
      </c>
      <c r="B174" s="8">
        <v>81586</v>
      </c>
    </row>
    <row r="175" spans="1:2" x14ac:dyDescent="0.3">
      <c r="A175" s="6" t="s">
        <v>374</v>
      </c>
      <c r="B175" s="8">
        <v>81573</v>
      </c>
    </row>
    <row r="176" spans="1:2" x14ac:dyDescent="0.3">
      <c r="A176" s="6" t="s">
        <v>396</v>
      </c>
      <c r="B176" s="8">
        <v>81195</v>
      </c>
    </row>
    <row r="177" spans="1:2" x14ac:dyDescent="0.3">
      <c r="A177" s="6" t="s">
        <v>375</v>
      </c>
      <c r="B177" s="8">
        <v>80607</v>
      </c>
    </row>
    <row r="178" spans="1:2" x14ac:dyDescent="0.3">
      <c r="A178" s="6" t="s">
        <v>357</v>
      </c>
      <c r="B178" s="8">
        <v>80579</v>
      </c>
    </row>
    <row r="179" spans="1:2" x14ac:dyDescent="0.3">
      <c r="A179" s="6" t="s">
        <v>299</v>
      </c>
      <c r="B179" s="8">
        <v>80058</v>
      </c>
    </row>
    <row r="180" spans="1:2" x14ac:dyDescent="0.3">
      <c r="A180" s="6" t="s">
        <v>193</v>
      </c>
      <c r="B180" s="8">
        <v>80019</v>
      </c>
    </row>
    <row r="181" spans="1:2" x14ac:dyDescent="0.3">
      <c r="A181" s="6" t="s">
        <v>339</v>
      </c>
      <c r="B181" s="8">
        <v>79111</v>
      </c>
    </row>
    <row r="182" spans="1:2" x14ac:dyDescent="0.3">
      <c r="A182" s="6" t="s">
        <v>296</v>
      </c>
      <c r="B182" s="8">
        <v>78951</v>
      </c>
    </row>
    <row r="183" spans="1:2" x14ac:dyDescent="0.3">
      <c r="A183" s="6" t="s">
        <v>124</v>
      </c>
      <c r="B183" s="8">
        <v>78603</v>
      </c>
    </row>
    <row r="184" spans="1:2" x14ac:dyDescent="0.3">
      <c r="A184" s="6" t="s">
        <v>148</v>
      </c>
      <c r="B184" s="8">
        <v>77921</v>
      </c>
    </row>
    <row r="185" spans="1:2" x14ac:dyDescent="0.3">
      <c r="A185" s="6" t="s">
        <v>400</v>
      </c>
      <c r="B185" s="8">
        <v>77544</v>
      </c>
    </row>
    <row r="186" spans="1:2" x14ac:dyDescent="0.3">
      <c r="A186" s="6" t="s">
        <v>334</v>
      </c>
      <c r="B186" s="8">
        <v>77062</v>
      </c>
    </row>
    <row r="187" spans="1:2" x14ac:dyDescent="0.3">
      <c r="A187" s="6" t="s">
        <v>198</v>
      </c>
      <c r="B187" s="8">
        <v>76733</v>
      </c>
    </row>
    <row r="188" spans="1:2" x14ac:dyDescent="0.3">
      <c r="A188" s="6" t="s">
        <v>384</v>
      </c>
      <c r="B188" s="8">
        <v>76093</v>
      </c>
    </row>
    <row r="189" spans="1:2" x14ac:dyDescent="0.3">
      <c r="A189" s="6" t="s">
        <v>64</v>
      </c>
      <c r="B189" s="8">
        <v>74377</v>
      </c>
    </row>
    <row r="190" spans="1:2" x14ac:dyDescent="0.3">
      <c r="A190" s="6" t="s">
        <v>483</v>
      </c>
      <c r="B190" s="8">
        <v>74133</v>
      </c>
    </row>
    <row r="191" spans="1:2" x14ac:dyDescent="0.3">
      <c r="A191" s="6" t="s">
        <v>278</v>
      </c>
      <c r="B191" s="8">
        <v>74037</v>
      </c>
    </row>
    <row r="192" spans="1:2" x14ac:dyDescent="0.3">
      <c r="A192" s="6" t="s">
        <v>419</v>
      </c>
      <c r="B192" s="8">
        <v>73849</v>
      </c>
    </row>
    <row r="193" spans="1:2" x14ac:dyDescent="0.3">
      <c r="A193" s="6" t="s">
        <v>259</v>
      </c>
      <c r="B193" s="8">
        <v>73806</v>
      </c>
    </row>
    <row r="194" spans="1:2" x14ac:dyDescent="0.3">
      <c r="A194" s="6" t="s">
        <v>432</v>
      </c>
      <c r="B194" s="8">
        <v>73488</v>
      </c>
    </row>
    <row r="195" spans="1:2" x14ac:dyDescent="0.3">
      <c r="A195" s="6" t="s">
        <v>132</v>
      </c>
      <c r="B195" s="8">
        <v>73427</v>
      </c>
    </row>
    <row r="196" spans="1:2" x14ac:dyDescent="0.3">
      <c r="A196" s="6" t="s">
        <v>369</v>
      </c>
      <c r="B196" s="8">
        <v>73263</v>
      </c>
    </row>
    <row r="197" spans="1:2" x14ac:dyDescent="0.3">
      <c r="A197" s="6" t="s">
        <v>425</v>
      </c>
      <c r="B197" s="8">
        <v>73190</v>
      </c>
    </row>
    <row r="198" spans="1:2" x14ac:dyDescent="0.3">
      <c r="A198" s="6" t="s">
        <v>490</v>
      </c>
      <c r="B198" s="8">
        <v>72163</v>
      </c>
    </row>
    <row r="199" spans="1:2" x14ac:dyDescent="0.3">
      <c r="A199" s="6" t="s">
        <v>321</v>
      </c>
      <c r="B199" s="8">
        <v>71548</v>
      </c>
    </row>
    <row r="200" spans="1:2" x14ac:dyDescent="0.3">
      <c r="A200" s="6" t="s">
        <v>923</v>
      </c>
      <c r="B200" s="8">
        <v>71504</v>
      </c>
    </row>
    <row r="201" spans="1:2" x14ac:dyDescent="0.3">
      <c r="A201" s="6" t="s">
        <v>214</v>
      </c>
      <c r="B201" s="8">
        <v>70584</v>
      </c>
    </row>
    <row r="202" spans="1:2" x14ac:dyDescent="0.3">
      <c r="A202" s="6" t="s">
        <v>341</v>
      </c>
      <c r="B202" s="8">
        <v>70263</v>
      </c>
    </row>
    <row r="203" spans="1:2" x14ac:dyDescent="0.3">
      <c r="A203" s="6" t="s">
        <v>92</v>
      </c>
      <c r="B203" s="8">
        <v>70156</v>
      </c>
    </row>
    <row r="204" spans="1:2" x14ac:dyDescent="0.3">
      <c r="A204" s="6" t="s">
        <v>418</v>
      </c>
      <c r="B204" s="8">
        <v>69750</v>
      </c>
    </row>
    <row r="205" spans="1:2" x14ac:dyDescent="0.3">
      <c r="A205" s="6" t="s">
        <v>516</v>
      </c>
      <c r="B205" s="8">
        <v>69590</v>
      </c>
    </row>
    <row r="206" spans="1:2" x14ac:dyDescent="0.3">
      <c r="A206" s="6" t="s">
        <v>81</v>
      </c>
      <c r="B206" s="8">
        <v>69428</v>
      </c>
    </row>
    <row r="207" spans="1:2" x14ac:dyDescent="0.3">
      <c r="A207" s="6" t="s">
        <v>496</v>
      </c>
      <c r="B207" s="8">
        <v>69193</v>
      </c>
    </row>
    <row r="208" spans="1:2" x14ac:dyDescent="0.3">
      <c r="A208" s="6" t="s">
        <v>406</v>
      </c>
      <c r="B208" s="8">
        <v>68204</v>
      </c>
    </row>
    <row r="209" spans="1:2" x14ac:dyDescent="0.3">
      <c r="A209" s="6" t="s">
        <v>416</v>
      </c>
      <c r="B209" s="8">
        <v>68135</v>
      </c>
    </row>
    <row r="210" spans="1:2" x14ac:dyDescent="0.3">
      <c r="A210" s="6" t="s">
        <v>69</v>
      </c>
      <c r="B210" s="8">
        <v>67684</v>
      </c>
    </row>
    <row r="211" spans="1:2" x14ac:dyDescent="0.3">
      <c r="A211" s="6" t="s">
        <v>377</v>
      </c>
      <c r="B211" s="8">
        <v>67674</v>
      </c>
    </row>
    <row r="212" spans="1:2" x14ac:dyDescent="0.3">
      <c r="A212" s="6" t="s">
        <v>427</v>
      </c>
      <c r="B212" s="8">
        <v>67651</v>
      </c>
    </row>
    <row r="213" spans="1:2" x14ac:dyDescent="0.3">
      <c r="A213" s="6" t="s">
        <v>392</v>
      </c>
      <c r="B213" s="8">
        <v>67408</v>
      </c>
    </row>
    <row r="214" spans="1:2" x14ac:dyDescent="0.3">
      <c r="A214" s="6" t="s">
        <v>448</v>
      </c>
      <c r="B214" s="8">
        <v>66971</v>
      </c>
    </row>
    <row r="215" spans="1:2" x14ac:dyDescent="0.3">
      <c r="A215" s="6" t="s">
        <v>342</v>
      </c>
      <c r="B215" s="8">
        <v>66943</v>
      </c>
    </row>
    <row r="216" spans="1:2" x14ac:dyDescent="0.3">
      <c r="A216" s="6" t="s">
        <v>376</v>
      </c>
      <c r="B216" s="8">
        <v>66418</v>
      </c>
    </row>
    <row r="217" spans="1:2" x14ac:dyDescent="0.3">
      <c r="A217" s="6" t="s">
        <v>277</v>
      </c>
      <c r="B217" s="8">
        <v>65755</v>
      </c>
    </row>
    <row r="218" spans="1:2" x14ac:dyDescent="0.3">
      <c r="A218" s="6" t="s">
        <v>387</v>
      </c>
      <c r="B218" s="8">
        <v>65737</v>
      </c>
    </row>
    <row r="219" spans="1:2" x14ac:dyDescent="0.3">
      <c r="A219" s="6" t="s">
        <v>338</v>
      </c>
      <c r="B219" s="8">
        <v>65593</v>
      </c>
    </row>
    <row r="220" spans="1:2" x14ac:dyDescent="0.3">
      <c r="A220" s="6" t="s">
        <v>89</v>
      </c>
      <c r="B220" s="8">
        <v>65182</v>
      </c>
    </row>
    <row r="221" spans="1:2" x14ac:dyDescent="0.3">
      <c r="A221" s="6" t="s">
        <v>340</v>
      </c>
      <c r="B221" s="8">
        <v>64548</v>
      </c>
    </row>
    <row r="222" spans="1:2" x14ac:dyDescent="0.3">
      <c r="A222" s="6" t="s">
        <v>422</v>
      </c>
      <c r="B222" s="8">
        <v>64214</v>
      </c>
    </row>
    <row r="223" spans="1:2" x14ac:dyDescent="0.3">
      <c r="A223" s="6" t="s">
        <v>408</v>
      </c>
      <c r="B223" s="8">
        <v>63921</v>
      </c>
    </row>
    <row r="224" spans="1:2" x14ac:dyDescent="0.3">
      <c r="A224" s="6" t="s">
        <v>235</v>
      </c>
      <c r="B224" s="8">
        <v>63720</v>
      </c>
    </row>
    <row r="225" spans="1:2" x14ac:dyDescent="0.3">
      <c r="A225" s="6" t="s">
        <v>462</v>
      </c>
      <c r="B225" s="8">
        <v>63712</v>
      </c>
    </row>
    <row r="226" spans="1:2" x14ac:dyDescent="0.3">
      <c r="A226" s="6" t="s">
        <v>118</v>
      </c>
      <c r="B226" s="8">
        <v>63335</v>
      </c>
    </row>
    <row r="227" spans="1:2" x14ac:dyDescent="0.3">
      <c r="A227" s="6" t="s">
        <v>337</v>
      </c>
      <c r="B227" s="8">
        <v>63239</v>
      </c>
    </row>
    <row r="228" spans="1:2" x14ac:dyDescent="0.3">
      <c r="A228" s="6" t="s">
        <v>221</v>
      </c>
      <c r="B228" s="8">
        <v>63025</v>
      </c>
    </row>
    <row r="229" spans="1:2" x14ac:dyDescent="0.3">
      <c r="A229" s="6" t="s">
        <v>423</v>
      </c>
      <c r="B229" s="8">
        <v>62894</v>
      </c>
    </row>
    <row r="230" spans="1:2" x14ac:dyDescent="0.3">
      <c r="A230" s="6" t="s">
        <v>411</v>
      </c>
      <c r="B230" s="8">
        <v>62262</v>
      </c>
    </row>
    <row r="231" spans="1:2" x14ac:dyDescent="0.3">
      <c r="A231" s="6" t="s">
        <v>78</v>
      </c>
      <c r="B231" s="8">
        <v>61637</v>
      </c>
    </row>
    <row r="232" spans="1:2" x14ac:dyDescent="0.3">
      <c r="A232" s="6" t="s">
        <v>10</v>
      </c>
      <c r="B232" s="8">
        <v>61502</v>
      </c>
    </row>
    <row r="233" spans="1:2" x14ac:dyDescent="0.3">
      <c r="A233" s="6" t="s">
        <v>202</v>
      </c>
      <c r="B233" s="8">
        <v>60602</v>
      </c>
    </row>
    <row r="234" spans="1:2" x14ac:dyDescent="0.3">
      <c r="A234" s="6" t="s">
        <v>456</v>
      </c>
      <c r="B234" s="8">
        <v>59212</v>
      </c>
    </row>
    <row r="235" spans="1:2" x14ac:dyDescent="0.3">
      <c r="A235" s="6" t="s">
        <v>437</v>
      </c>
      <c r="B235" s="8">
        <v>58872</v>
      </c>
    </row>
    <row r="236" spans="1:2" x14ac:dyDescent="0.3">
      <c r="A236" s="6" t="s">
        <v>519</v>
      </c>
      <c r="B236" s="8">
        <v>57356</v>
      </c>
    </row>
    <row r="237" spans="1:2" x14ac:dyDescent="0.3">
      <c r="A237" s="6" t="s">
        <v>366</v>
      </c>
      <c r="B237" s="8">
        <v>57319</v>
      </c>
    </row>
    <row r="238" spans="1:2" x14ac:dyDescent="0.3">
      <c r="A238" s="6" t="s">
        <v>365</v>
      </c>
      <c r="B238" s="8">
        <v>57046</v>
      </c>
    </row>
    <row r="239" spans="1:2" x14ac:dyDescent="0.3">
      <c r="A239" s="6" t="s">
        <v>606</v>
      </c>
      <c r="B239" s="8">
        <v>56965</v>
      </c>
    </row>
    <row r="240" spans="1:2" x14ac:dyDescent="0.3">
      <c r="A240" s="6" t="s">
        <v>381</v>
      </c>
      <c r="B240" s="8">
        <v>56839</v>
      </c>
    </row>
    <row r="241" spans="1:2" x14ac:dyDescent="0.3">
      <c r="A241" s="6" t="s">
        <v>165</v>
      </c>
      <c r="B241" s="8">
        <v>56701</v>
      </c>
    </row>
    <row r="242" spans="1:2" x14ac:dyDescent="0.3">
      <c r="A242" s="6" t="s">
        <v>361</v>
      </c>
      <c r="B242" s="8">
        <v>56574</v>
      </c>
    </row>
    <row r="243" spans="1:2" x14ac:dyDescent="0.3">
      <c r="A243" s="6" t="s">
        <v>372</v>
      </c>
      <c r="B243" s="8">
        <v>56541</v>
      </c>
    </row>
    <row r="244" spans="1:2" x14ac:dyDescent="0.3">
      <c r="A244" s="6" t="s">
        <v>271</v>
      </c>
      <c r="B244" s="8">
        <v>56173</v>
      </c>
    </row>
    <row r="245" spans="1:2" x14ac:dyDescent="0.3">
      <c r="A245" s="6" t="s">
        <v>151</v>
      </c>
      <c r="B245" s="8">
        <v>56096</v>
      </c>
    </row>
    <row r="246" spans="1:2" x14ac:dyDescent="0.3">
      <c r="A246" s="6" t="s">
        <v>208</v>
      </c>
      <c r="B246" s="8">
        <v>56088</v>
      </c>
    </row>
    <row r="247" spans="1:2" x14ac:dyDescent="0.3">
      <c r="A247" s="6" t="s">
        <v>501</v>
      </c>
      <c r="B247" s="8">
        <v>55895</v>
      </c>
    </row>
    <row r="248" spans="1:2" x14ac:dyDescent="0.3">
      <c r="A248" s="6" t="s">
        <v>442</v>
      </c>
      <c r="B248" s="8">
        <v>55697</v>
      </c>
    </row>
    <row r="249" spans="1:2" x14ac:dyDescent="0.3">
      <c r="A249" s="6" t="s">
        <v>138</v>
      </c>
      <c r="B249" s="8">
        <v>55550</v>
      </c>
    </row>
    <row r="250" spans="1:2" x14ac:dyDescent="0.3">
      <c r="A250" s="6" t="s">
        <v>403</v>
      </c>
      <c r="B250" s="8">
        <v>55252</v>
      </c>
    </row>
    <row r="251" spans="1:2" x14ac:dyDescent="0.3">
      <c r="A251" s="6" t="s">
        <v>175</v>
      </c>
      <c r="B251" s="8">
        <v>54987</v>
      </c>
    </row>
    <row r="252" spans="1:2" x14ac:dyDescent="0.3">
      <c r="A252" s="6" t="s">
        <v>345</v>
      </c>
      <c r="B252" s="8">
        <v>54876</v>
      </c>
    </row>
    <row r="253" spans="1:2" x14ac:dyDescent="0.3">
      <c r="A253" s="6" t="s">
        <v>239</v>
      </c>
      <c r="B253" s="8">
        <v>54356</v>
      </c>
    </row>
    <row r="254" spans="1:2" x14ac:dyDescent="0.3">
      <c r="A254" s="6" t="s">
        <v>429</v>
      </c>
      <c r="B254" s="8">
        <v>54317</v>
      </c>
    </row>
    <row r="255" spans="1:2" x14ac:dyDescent="0.3">
      <c r="A255" s="6" t="s">
        <v>494</v>
      </c>
      <c r="B255" s="8">
        <v>54275</v>
      </c>
    </row>
    <row r="256" spans="1:2" x14ac:dyDescent="0.3">
      <c r="A256" s="6" t="s">
        <v>458</v>
      </c>
      <c r="B256" s="8">
        <v>53824</v>
      </c>
    </row>
    <row r="257" spans="1:2" x14ac:dyDescent="0.3">
      <c r="A257" s="6" t="s">
        <v>82</v>
      </c>
      <c r="B257" s="8">
        <v>52877</v>
      </c>
    </row>
    <row r="258" spans="1:2" x14ac:dyDescent="0.3">
      <c r="A258" s="6" t="s">
        <v>192</v>
      </c>
      <c r="B258" s="8">
        <v>52785</v>
      </c>
    </row>
    <row r="259" spans="1:2" x14ac:dyDescent="0.3">
      <c r="A259" s="6" t="s">
        <v>184</v>
      </c>
      <c r="B259" s="8">
        <v>52660</v>
      </c>
    </row>
    <row r="260" spans="1:2" x14ac:dyDescent="0.3">
      <c r="A260" s="6" t="s">
        <v>155</v>
      </c>
      <c r="B260" s="8">
        <v>51724</v>
      </c>
    </row>
    <row r="261" spans="1:2" x14ac:dyDescent="0.3">
      <c r="A261" s="6" t="s">
        <v>185</v>
      </c>
      <c r="B261" s="8">
        <v>51434</v>
      </c>
    </row>
    <row r="262" spans="1:2" x14ac:dyDescent="0.3">
      <c r="A262" s="6" t="s">
        <v>358</v>
      </c>
      <c r="B262" s="8">
        <v>50993</v>
      </c>
    </row>
    <row r="263" spans="1:2" x14ac:dyDescent="0.3">
      <c r="A263" s="6" t="s">
        <v>348</v>
      </c>
      <c r="B263" s="8">
        <v>50755</v>
      </c>
    </row>
    <row r="264" spans="1:2" x14ac:dyDescent="0.3">
      <c r="A264" s="6" t="s">
        <v>451</v>
      </c>
      <c r="B264" s="8">
        <v>50407</v>
      </c>
    </row>
    <row r="265" spans="1:2" x14ac:dyDescent="0.3">
      <c r="A265" s="6" t="s">
        <v>201</v>
      </c>
      <c r="B265" s="8">
        <v>50342</v>
      </c>
    </row>
    <row r="266" spans="1:2" x14ac:dyDescent="0.3">
      <c r="A266" s="6" t="s">
        <v>238</v>
      </c>
      <c r="B266" s="8">
        <v>50195</v>
      </c>
    </row>
    <row r="267" spans="1:2" x14ac:dyDescent="0.3">
      <c r="A267" s="6" t="s">
        <v>360</v>
      </c>
      <c r="B267" s="8">
        <v>49838</v>
      </c>
    </row>
    <row r="268" spans="1:2" x14ac:dyDescent="0.3">
      <c r="A268" s="6" t="s">
        <v>452</v>
      </c>
      <c r="B268" s="8">
        <v>49636</v>
      </c>
    </row>
    <row r="269" spans="1:2" x14ac:dyDescent="0.3">
      <c r="A269" s="6" t="s">
        <v>393</v>
      </c>
      <c r="B269" s="8">
        <v>49527</v>
      </c>
    </row>
    <row r="270" spans="1:2" x14ac:dyDescent="0.3">
      <c r="A270" s="6" t="s">
        <v>18</v>
      </c>
      <c r="B270" s="8">
        <v>49162</v>
      </c>
    </row>
    <row r="271" spans="1:2" x14ac:dyDescent="0.3">
      <c r="A271" s="6" t="s">
        <v>420</v>
      </c>
      <c r="B271" s="8">
        <v>48959</v>
      </c>
    </row>
    <row r="272" spans="1:2" x14ac:dyDescent="0.3">
      <c r="A272" s="6" t="s">
        <v>355</v>
      </c>
      <c r="B272" s="8">
        <v>48631</v>
      </c>
    </row>
    <row r="273" spans="1:2" x14ac:dyDescent="0.3">
      <c r="A273" s="6" t="s">
        <v>424</v>
      </c>
      <c r="B273" s="8">
        <v>48534</v>
      </c>
    </row>
    <row r="274" spans="1:2" x14ac:dyDescent="0.3">
      <c r="A274" s="6" t="s">
        <v>112</v>
      </c>
      <c r="B274" s="8">
        <v>48023</v>
      </c>
    </row>
    <row r="275" spans="1:2" x14ac:dyDescent="0.3">
      <c r="A275" s="6" t="s">
        <v>109</v>
      </c>
      <c r="B275" s="8">
        <v>47726</v>
      </c>
    </row>
    <row r="276" spans="1:2" x14ac:dyDescent="0.3">
      <c r="A276" s="6" t="s">
        <v>439</v>
      </c>
      <c r="B276" s="8">
        <v>47086</v>
      </c>
    </row>
    <row r="277" spans="1:2" x14ac:dyDescent="0.3">
      <c r="A277" s="6" t="s">
        <v>104</v>
      </c>
      <c r="B277" s="8">
        <v>47020</v>
      </c>
    </row>
    <row r="278" spans="1:2" x14ac:dyDescent="0.3">
      <c r="A278" s="6" t="s">
        <v>474</v>
      </c>
      <c r="B278" s="8">
        <v>46666</v>
      </c>
    </row>
    <row r="279" spans="1:2" x14ac:dyDescent="0.3">
      <c r="A279" s="6" t="s">
        <v>435</v>
      </c>
      <c r="B279" s="8">
        <v>46300</v>
      </c>
    </row>
    <row r="280" spans="1:2" x14ac:dyDescent="0.3">
      <c r="A280" s="6" t="s">
        <v>380</v>
      </c>
      <c r="B280" s="8">
        <v>46223</v>
      </c>
    </row>
    <row r="281" spans="1:2" x14ac:dyDescent="0.3">
      <c r="A281" s="6" t="s">
        <v>347</v>
      </c>
      <c r="B281" s="8">
        <v>45743</v>
      </c>
    </row>
    <row r="282" spans="1:2" x14ac:dyDescent="0.3">
      <c r="A282" s="6" t="s">
        <v>502</v>
      </c>
      <c r="B282" s="8">
        <v>44920</v>
      </c>
    </row>
    <row r="283" spans="1:2" x14ac:dyDescent="0.3">
      <c r="A283" s="6" t="s">
        <v>399</v>
      </c>
      <c r="B283" s="8">
        <v>44675</v>
      </c>
    </row>
    <row r="284" spans="1:2" x14ac:dyDescent="0.3">
      <c r="A284" s="6" t="s">
        <v>195</v>
      </c>
      <c r="B284" s="8">
        <v>44635</v>
      </c>
    </row>
    <row r="285" spans="1:2" x14ac:dyDescent="0.3">
      <c r="A285" s="6" t="s">
        <v>199</v>
      </c>
      <c r="B285" s="8">
        <v>44356</v>
      </c>
    </row>
    <row r="286" spans="1:2" x14ac:dyDescent="0.3">
      <c r="A286" s="6" t="s">
        <v>415</v>
      </c>
      <c r="B286" s="8">
        <v>44314</v>
      </c>
    </row>
    <row r="287" spans="1:2" x14ac:dyDescent="0.3">
      <c r="A287" s="6" t="s">
        <v>475</v>
      </c>
      <c r="B287" s="8">
        <v>44265</v>
      </c>
    </row>
    <row r="288" spans="1:2" x14ac:dyDescent="0.3">
      <c r="A288" s="6" t="s">
        <v>481</v>
      </c>
      <c r="B288" s="8">
        <v>44156</v>
      </c>
    </row>
    <row r="289" spans="1:2" x14ac:dyDescent="0.3">
      <c r="A289" s="6" t="s">
        <v>250</v>
      </c>
      <c r="B289" s="8">
        <v>43992</v>
      </c>
    </row>
    <row r="290" spans="1:2" x14ac:dyDescent="0.3">
      <c r="A290" s="6" t="s">
        <v>467</v>
      </c>
      <c r="B290" s="8">
        <v>43961</v>
      </c>
    </row>
    <row r="291" spans="1:2" x14ac:dyDescent="0.3">
      <c r="A291" s="6" t="s">
        <v>99</v>
      </c>
      <c r="B291" s="8">
        <v>43701</v>
      </c>
    </row>
    <row r="292" spans="1:2" x14ac:dyDescent="0.3">
      <c r="A292" s="6" t="s">
        <v>129</v>
      </c>
      <c r="B292" s="8">
        <v>43698</v>
      </c>
    </row>
    <row r="293" spans="1:2" x14ac:dyDescent="0.3">
      <c r="A293" s="6" t="s">
        <v>370</v>
      </c>
      <c r="B293" s="8">
        <v>43600</v>
      </c>
    </row>
    <row r="294" spans="1:2" x14ac:dyDescent="0.3">
      <c r="A294" s="6" t="s">
        <v>459</v>
      </c>
      <c r="B294" s="8">
        <v>43496</v>
      </c>
    </row>
    <row r="295" spans="1:2" x14ac:dyDescent="0.3">
      <c r="A295" s="6" t="s">
        <v>236</v>
      </c>
      <c r="B295" s="8">
        <v>43200</v>
      </c>
    </row>
    <row r="296" spans="1:2" x14ac:dyDescent="0.3">
      <c r="A296" s="6" t="s">
        <v>457</v>
      </c>
      <c r="B296" s="8">
        <v>42888</v>
      </c>
    </row>
    <row r="297" spans="1:2" x14ac:dyDescent="0.3">
      <c r="A297" s="6" t="s">
        <v>368</v>
      </c>
      <c r="B297" s="8">
        <v>42438</v>
      </c>
    </row>
    <row r="298" spans="1:2" x14ac:dyDescent="0.3">
      <c r="A298" s="6" t="s">
        <v>503</v>
      </c>
      <c r="B298" s="8">
        <v>42324</v>
      </c>
    </row>
    <row r="299" spans="1:2" x14ac:dyDescent="0.3">
      <c r="A299" s="6" t="s">
        <v>248</v>
      </c>
      <c r="B299" s="8">
        <v>41505</v>
      </c>
    </row>
    <row r="300" spans="1:2" x14ac:dyDescent="0.3">
      <c r="A300" s="6" t="s">
        <v>58</v>
      </c>
      <c r="B300" s="8">
        <v>41215</v>
      </c>
    </row>
    <row r="301" spans="1:2" x14ac:dyDescent="0.3">
      <c r="A301" s="6" t="s">
        <v>226</v>
      </c>
      <c r="B301" s="8">
        <v>41164</v>
      </c>
    </row>
    <row r="302" spans="1:2" x14ac:dyDescent="0.3">
      <c r="A302" s="6" t="s">
        <v>536</v>
      </c>
      <c r="B302" s="8">
        <v>41094</v>
      </c>
    </row>
    <row r="303" spans="1:2" x14ac:dyDescent="0.3">
      <c r="A303" s="6" t="s">
        <v>394</v>
      </c>
      <c r="B303" s="8">
        <v>41059</v>
      </c>
    </row>
    <row r="304" spans="1:2" x14ac:dyDescent="0.3">
      <c r="A304" s="6" t="s">
        <v>484</v>
      </c>
      <c r="B304" s="8">
        <v>40763</v>
      </c>
    </row>
    <row r="305" spans="1:2" x14ac:dyDescent="0.3">
      <c r="A305" s="6" t="s">
        <v>50</v>
      </c>
      <c r="B305" s="8">
        <v>40603</v>
      </c>
    </row>
    <row r="306" spans="1:2" x14ac:dyDescent="0.3">
      <c r="A306" s="6" t="s">
        <v>246</v>
      </c>
      <c r="B306" s="8">
        <v>40536</v>
      </c>
    </row>
    <row r="307" spans="1:2" x14ac:dyDescent="0.3">
      <c r="A307" s="6" t="s">
        <v>444</v>
      </c>
      <c r="B307" s="8">
        <v>39661</v>
      </c>
    </row>
    <row r="308" spans="1:2" x14ac:dyDescent="0.3">
      <c r="A308" s="6" t="s">
        <v>508</v>
      </c>
      <c r="B308" s="8">
        <v>39556</v>
      </c>
    </row>
    <row r="309" spans="1:2" x14ac:dyDescent="0.3">
      <c r="A309" s="6" t="s">
        <v>349</v>
      </c>
      <c r="B309" s="8">
        <v>39543</v>
      </c>
    </row>
    <row r="310" spans="1:2" x14ac:dyDescent="0.3">
      <c r="A310" s="6" t="s">
        <v>252</v>
      </c>
      <c r="B310" s="8">
        <v>39406</v>
      </c>
    </row>
    <row r="311" spans="1:2" x14ac:dyDescent="0.3">
      <c r="A311" s="6" t="s">
        <v>227</v>
      </c>
      <c r="B311" s="8">
        <v>39094</v>
      </c>
    </row>
    <row r="312" spans="1:2" x14ac:dyDescent="0.3">
      <c r="A312" s="6" t="s">
        <v>158</v>
      </c>
      <c r="B312" s="8">
        <v>38883</v>
      </c>
    </row>
    <row r="313" spans="1:2" x14ac:dyDescent="0.3">
      <c r="A313" s="6" t="s">
        <v>95</v>
      </c>
      <c r="B313" s="8">
        <v>38785</v>
      </c>
    </row>
    <row r="314" spans="1:2" x14ac:dyDescent="0.3">
      <c r="A314" s="6" t="s">
        <v>258</v>
      </c>
      <c r="B314" s="8">
        <v>38613</v>
      </c>
    </row>
    <row r="315" spans="1:2" x14ac:dyDescent="0.3">
      <c r="A315" s="6" t="s">
        <v>197</v>
      </c>
      <c r="B315" s="8">
        <v>38283</v>
      </c>
    </row>
    <row r="316" spans="1:2" x14ac:dyDescent="0.3">
      <c r="A316" s="6" t="s">
        <v>489</v>
      </c>
      <c r="B316" s="8">
        <v>38260</v>
      </c>
    </row>
    <row r="317" spans="1:2" x14ac:dyDescent="0.3">
      <c r="A317" s="6" t="s">
        <v>505</v>
      </c>
      <c r="B317" s="8">
        <v>38120</v>
      </c>
    </row>
    <row r="318" spans="1:2" x14ac:dyDescent="0.3">
      <c r="A318" s="6" t="s">
        <v>477</v>
      </c>
      <c r="B318" s="8">
        <v>38007</v>
      </c>
    </row>
    <row r="319" spans="1:2" x14ac:dyDescent="0.3">
      <c r="A319" s="6" t="s">
        <v>495</v>
      </c>
      <c r="B319" s="8">
        <v>37979</v>
      </c>
    </row>
    <row r="320" spans="1:2" x14ac:dyDescent="0.3">
      <c r="A320" s="6" t="s">
        <v>211</v>
      </c>
      <c r="B320" s="8">
        <v>37766</v>
      </c>
    </row>
    <row r="321" spans="1:2" x14ac:dyDescent="0.3">
      <c r="A321" s="6" t="s">
        <v>11</v>
      </c>
      <c r="B321" s="8">
        <v>37637</v>
      </c>
    </row>
    <row r="322" spans="1:2" x14ac:dyDescent="0.3">
      <c r="A322" s="6" t="s">
        <v>446</v>
      </c>
      <c r="B322" s="8">
        <v>37610</v>
      </c>
    </row>
    <row r="323" spans="1:2" x14ac:dyDescent="0.3">
      <c r="A323" s="6" t="s">
        <v>223</v>
      </c>
      <c r="B323" s="8">
        <v>37583</v>
      </c>
    </row>
    <row r="324" spans="1:2" x14ac:dyDescent="0.3">
      <c r="A324" s="6" t="s">
        <v>514</v>
      </c>
      <c r="B324" s="8">
        <v>37525</v>
      </c>
    </row>
    <row r="325" spans="1:2" x14ac:dyDescent="0.3">
      <c r="A325" s="6" t="s">
        <v>232</v>
      </c>
      <c r="B325" s="8">
        <v>36788</v>
      </c>
    </row>
    <row r="326" spans="1:2" x14ac:dyDescent="0.3">
      <c r="A326" s="6" t="s">
        <v>405</v>
      </c>
      <c r="B326" s="8">
        <v>36720</v>
      </c>
    </row>
    <row r="327" spans="1:2" x14ac:dyDescent="0.3">
      <c r="A327" s="6" t="s">
        <v>12</v>
      </c>
      <c r="B327" s="8">
        <v>36624</v>
      </c>
    </row>
    <row r="328" spans="1:2" x14ac:dyDescent="0.3">
      <c r="A328" s="6" t="s">
        <v>455</v>
      </c>
      <c r="B328" s="8">
        <v>36432</v>
      </c>
    </row>
    <row r="329" spans="1:2" x14ac:dyDescent="0.3">
      <c r="A329" s="6" t="s">
        <v>194</v>
      </c>
      <c r="B329" s="8">
        <v>36075</v>
      </c>
    </row>
    <row r="330" spans="1:2" x14ac:dyDescent="0.3">
      <c r="A330" s="6" t="s">
        <v>497</v>
      </c>
      <c r="B330" s="8">
        <v>35988</v>
      </c>
    </row>
    <row r="331" spans="1:2" x14ac:dyDescent="0.3">
      <c r="A331" s="6" t="s">
        <v>191</v>
      </c>
      <c r="B331" s="8">
        <v>35897</v>
      </c>
    </row>
    <row r="332" spans="1:2" x14ac:dyDescent="0.3">
      <c r="A332" s="6" t="s">
        <v>465</v>
      </c>
      <c r="B332" s="8">
        <v>35866</v>
      </c>
    </row>
    <row r="333" spans="1:2" x14ac:dyDescent="0.3">
      <c r="A333" s="6" t="s">
        <v>160</v>
      </c>
      <c r="B333" s="8">
        <v>35768</v>
      </c>
    </row>
    <row r="334" spans="1:2" x14ac:dyDescent="0.3">
      <c r="A334" s="6" t="s">
        <v>168</v>
      </c>
      <c r="B334" s="8">
        <v>35386</v>
      </c>
    </row>
    <row r="335" spans="1:2" x14ac:dyDescent="0.3">
      <c r="A335" s="6" t="s">
        <v>433</v>
      </c>
      <c r="B335" s="8">
        <v>35213</v>
      </c>
    </row>
    <row r="336" spans="1:2" x14ac:dyDescent="0.3">
      <c r="A336" s="6" t="s">
        <v>491</v>
      </c>
      <c r="B336" s="8">
        <v>35021</v>
      </c>
    </row>
    <row r="337" spans="1:2" x14ac:dyDescent="0.3">
      <c r="A337" s="6" t="s">
        <v>371</v>
      </c>
      <c r="B337" s="8">
        <v>34741</v>
      </c>
    </row>
    <row r="338" spans="1:2" x14ac:dyDescent="0.3">
      <c r="A338" s="6" t="s">
        <v>638</v>
      </c>
      <c r="B338" s="8">
        <v>34725</v>
      </c>
    </row>
    <row r="339" spans="1:2" x14ac:dyDescent="0.3">
      <c r="A339" s="6" t="s">
        <v>388</v>
      </c>
      <c r="B339" s="8">
        <v>34503</v>
      </c>
    </row>
    <row r="340" spans="1:2" x14ac:dyDescent="0.3">
      <c r="A340" s="6" t="s">
        <v>397</v>
      </c>
      <c r="B340" s="8">
        <v>34285</v>
      </c>
    </row>
    <row r="341" spans="1:2" x14ac:dyDescent="0.3">
      <c r="A341" s="6" t="s">
        <v>91</v>
      </c>
      <c r="B341" s="8">
        <v>33965</v>
      </c>
    </row>
    <row r="342" spans="1:2" x14ac:dyDescent="0.3">
      <c r="A342" s="6" t="s">
        <v>242</v>
      </c>
      <c r="B342" s="8">
        <v>33946</v>
      </c>
    </row>
    <row r="343" spans="1:2" x14ac:dyDescent="0.3">
      <c r="A343" s="6" t="s">
        <v>166</v>
      </c>
      <c r="B343" s="8">
        <v>33852</v>
      </c>
    </row>
    <row r="344" spans="1:2" x14ac:dyDescent="0.3">
      <c r="A344" s="6" t="s">
        <v>153</v>
      </c>
      <c r="B344" s="8">
        <v>33682</v>
      </c>
    </row>
    <row r="345" spans="1:2" x14ac:dyDescent="0.3">
      <c r="A345" s="6" t="s">
        <v>517</v>
      </c>
      <c r="B345" s="8">
        <v>33666</v>
      </c>
    </row>
    <row r="346" spans="1:2" x14ac:dyDescent="0.3">
      <c r="A346" s="6" t="s">
        <v>179</v>
      </c>
      <c r="B346" s="8">
        <v>33605</v>
      </c>
    </row>
    <row r="347" spans="1:2" x14ac:dyDescent="0.3">
      <c r="A347" s="6" t="s">
        <v>417</v>
      </c>
      <c r="B347" s="8">
        <v>33576</v>
      </c>
    </row>
    <row r="348" spans="1:2" x14ac:dyDescent="0.3">
      <c r="A348" s="6" t="s">
        <v>96</v>
      </c>
      <c r="B348" s="8">
        <v>33539</v>
      </c>
    </row>
    <row r="349" spans="1:2" x14ac:dyDescent="0.3">
      <c r="A349" s="6" t="s">
        <v>512</v>
      </c>
      <c r="B349" s="8">
        <v>33506</v>
      </c>
    </row>
    <row r="350" spans="1:2" x14ac:dyDescent="0.3">
      <c r="A350" s="6" t="s">
        <v>436</v>
      </c>
      <c r="B350" s="8">
        <v>33184</v>
      </c>
    </row>
    <row r="351" spans="1:2" x14ac:dyDescent="0.3">
      <c r="A351" s="6" t="s">
        <v>534</v>
      </c>
      <c r="B351" s="8">
        <v>33174</v>
      </c>
    </row>
    <row r="352" spans="1:2" x14ac:dyDescent="0.3">
      <c r="A352" s="6" t="s">
        <v>51</v>
      </c>
      <c r="B352" s="8">
        <v>33150</v>
      </c>
    </row>
    <row r="353" spans="1:2" x14ac:dyDescent="0.3">
      <c r="A353" s="6" t="s">
        <v>438</v>
      </c>
      <c r="B353" s="8">
        <v>32617</v>
      </c>
    </row>
    <row r="354" spans="1:2" x14ac:dyDescent="0.3">
      <c r="A354" s="6" t="s">
        <v>123</v>
      </c>
      <c r="B354" s="8">
        <v>32555</v>
      </c>
    </row>
    <row r="355" spans="1:2" x14ac:dyDescent="0.3">
      <c r="A355" s="6" t="s">
        <v>87</v>
      </c>
      <c r="B355" s="8">
        <v>32428</v>
      </c>
    </row>
    <row r="356" spans="1:2" x14ac:dyDescent="0.3">
      <c r="A356" s="6" t="s">
        <v>47</v>
      </c>
      <c r="B356" s="8">
        <v>32337</v>
      </c>
    </row>
    <row r="357" spans="1:2" x14ac:dyDescent="0.3">
      <c r="A357" s="6" t="s">
        <v>218</v>
      </c>
      <c r="B357" s="8">
        <v>32298</v>
      </c>
    </row>
    <row r="358" spans="1:2" x14ac:dyDescent="0.3">
      <c r="A358" s="6" t="s">
        <v>450</v>
      </c>
      <c r="B358" s="8">
        <v>32050</v>
      </c>
    </row>
    <row r="359" spans="1:2" x14ac:dyDescent="0.3">
      <c r="A359" s="6" t="s">
        <v>430</v>
      </c>
      <c r="B359" s="8">
        <v>32015</v>
      </c>
    </row>
    <row r="360" spans="1:2" x14ac:dyDescent="0.3">
      <c r="A360" s="6" t="s">
        <v>454</v>
      </c>
      <c r="B360" s="8">
        <v>31965</v>
      </c>
    </row>
    <row r="361" spans="1:2" x14ac:dyDescent="0.3">
      <c r="A361" s="6" t="s">
        <v>128</v>
      </c>
      <c r="B361" s="8">
        <v>31574</v>
      </c>
    </row>
    <row r="362" spans="1:2" x14ac:dyDescent="0.3">
      <c r="A362" s="6" t="s">
        <v>219</v>
      </c>
      <c r="B362" s="8">
        <v>31382</v>
      </c>
    </row>
    <row r="363" spans="1:2" x14ac:dyDescent="0.3">
      <c r="A363" s="6" t="s">
        <v>196</v>
      </c>
      <c r="B363" s="8">
        <v>30640</v>
      </c>
    </row>
    <row r="364" spans="1:2" x14ac:dyDescent="0.3">
      <c r="A364" s="6" t="s">
        <v>209</v>
      </c>
      <c r="B364" s="8">
        <v>30585</v>
      </c>
    </row>
    <row r="365" spans="1:2" x14ac:dyDescent="0.3">
      <c r="A365" s="6" t="s">
        <v>469</v>
      </c>
      <c r="B365" s="8">
        <v>30503</v>
      </c>
    </row>
    <row r="366" spans="1:2" x14ac:dyDescent="0.3">
      <c r="A366" s="6" t="s">
        <v>265</v>
      </c>
      <c r="B366" s="8">
        <v>30322</v>
      </c>
    </row>
    <row r="367" spans="1:2" x14ac:dyDescent="0.3">
      <c r="A367" s="6" t="s">
        <v>181</v>
      </c>
      <c r="B367" s="8">
        <v>30213</v>
      </c>
    </row>
    <row r="368" spans="1:2" x14ac:dyDescent="0.3">
      <c r="A368" s="6" t="s">
        <v>172</v>
      </c>
      <c r="B368" s="8">
        <v>29883</v>
      </c>
    </row>
    <row r="369" spans="1:2" x14ac:dyDescent="0.3">
      <c r="A369" s="6" t="s">
        <v>260</v>
      </c>
      <c r="B369" s="8">
        <v>29871</v>
      </c>
    </row>
    <row r="370" spans="1:2" x14ac:dyDescent="0.3">
      <c r="A370" s="6" t="s">
        <v>67</v>
      </c>
      <c r="B370" s="8">
        <v>29830</v>
      </c>
    </row>
    <row r="371" spans="1:2" x14ac:dyDescent="0.3">
      <c r="A371" s="6" t="s">
        <v>363</v>
      </c>
      <c r="B371" s="8">
        <v>29812</v>
      </c>
    </row>
    <row r="372" spans="1:2" x14ac:dyDescent="0.3">
      <c r="A372" s="6" t="s">
        <v>244</v>
      </c>
      <c r="B372" s="8">
        <v>29588</v>
      </c>
    </row>
    <row r="373" spans="1:2" x14ac:dyDescent="0.3">
      <c r="A373" s="6" t="s">
        <v>240</v>
      </c>
      <c r="B373" s="8">
        <v>29577</v>
      </c>
    </row>
    <row r="374" spans="1:2" x14ac:dyDescent="0.3">
      <c r="A374" s="6" t="s">
        <v>472</v>
      </c>
      <c r="B374" s="8">
        <v>29466</v>
      </c>
    </row>
    <row r="375" spans="1:2" x14ac:dyDescent="0.3">
      <c r="A375" s="6" t="s">
        <v>229</v>
      </c>
      <c r="B375" s="8">
        <v>29003</v>
      </c>
    </row>
    <row r="376" spans="1:2" x14ac:dyDescent="0.3">
      <c r="A376" s="6" t="s">
        <v>100</v>
      </c>
      <c r="B376" s="8">
        <v>28950</v>
      </c>
    </row>
    <row r="377" spans="1:2" x14ac:dyDescent="0.3">
      <c r="A377" s="6" t="s">
        <v>476</v>
      </c>
      <c r="B377" s="8">
        <v>28885</v>
      </c>
    </row>
    <row r="378" spans="1:2" x14ac:dyDescent="0.3">
      <c r="A378" s="6" t="s">
        <v>487</v>
      </c>
      <c r="B378" s="8">
        <v>28286</v>
      </c>
    </row>
    <row r="379" spans="1:2" x14ac:dyDescent="0.3">
      <c r="A379" s="6" t="s">
        <v>133</v>
      </c>
      <c r="B379" s="8">
        <v>27577</v>
      </c>
    </row>
    <row r="380" spans="1:2" x14ac:dyDescent="0.3">
      <c r="A380" s="6" t="s">
        <v>572</v>
      </c>
      <c r="B380" s="8">
        <v>27300</v>
      </c>
    </row>
    <row r="381" spans="1:2" x14ac:dyDescent="0.3">
      <c r="A381" s="6" t="s">
        <v>254</v>
      </c>
      <c r="B381" s="8">
        <v>26955</v>
      </c>
    </row>
    <row r="382" spans="1:2" x14ac:dyDescent="0.3">
      <c r="A382" s="6" t="s">
        <v>470</v>
      </c>
      <c r="B382" s="8">
        <v>26524</v>
      </c>
    </row>
    <row r="383" spans="1:2" x14ac:dyDescent="0.3">
      <c r="A383" s="6" t="s">
        <v>117</v>
      </c>
      <c r="B383" s="8">
        <v>26094</v>
      </c>
    </row>
    <row r="384" spans="1:2" x14ac:dyDescent="0.3">
      <c r="A384" s="6" t="s">
        <v>139</v>
      </c>
      <c r="B384" s="8">
        <v>25775</v>
      </c>
    </row>
    <row r="385" spans="1:2" x14ac:dyDescent="0.3">
      <c r="A385" s="6" t="s">
        <v>62</v>
      </c>
      <c r="B385" s="8">
        <v>25493</v>
      </c>
    </row>
    <row r="386" spans="1:2" x14ac:dyDescent="0.3">
      <c r="A386" s="6" t="s">
        <v>42</v>
      </c>
      <c r="B386" s="8">
        <v>25039</v>
      </c>
    </row>
    <row r="387" spans="1:2" x14ac:dyDescent="0.3">
      <c r="A387" s="6" t="s">
        <v>431</v>
      </c>
      <c r="B387" s="8">
        <v>24959</v>
      </c>
    </row>
    <row r="388" spans="1:2" x14ac:dyDescent="0.3">
      <c r="A388" s="6" t="s">
        <v>492</v>
      </c>
      <c r="B388" s="8">
        <v>24658</v>
      </c>
    </row>
    <row r="389" spans="1:2" x14ac:dyDescent="0.3">
      <c r="A389" s="6" t="s">
        <v>256</v>
      </c>
      <c r="B389" s="8">
        <v>24594</v>
      </c>
    </row>
    <row r="390" spans="1:2" x14ac:dyDescent="0.3">
      <c r="A390" s="6" t="s">
        <v>528</v>
      </c>
      <c r="B390" s="8">
        <v>24567</v>
      </c>
    </row>
    <row r="391" spans="1:2" x14ac:dyDescent="0.3">
      <c r="A391" s="6" t="s">
        <v>460</v>
      </c>
      <c r="B391" s="8">
        <v>24392</v>
      </c>
    </row>
    <row r="392" spans="1:2" x14ac:dyDescent="0.3">
      <c r="A392" s="6" t="s">
        <v>635</v>
      </c>
      <c r="B392" s="8">
        <v>24365</v>
      </c>
    </row>
    <row r="393" spans="1:2" x14ac:dyDescent="0.3">
      <c r="A393" s="6" t="s">
        <v>473</v>
      </c>
      <c r="B393" s="8">
        <v>24270</v>
      </c>
    </row>
    <row r="394" spans="1:2" x14ac:dyDescent="0.3">
      <c r="A394" s="6" t="s">
        <v>230</v>
      </c>
      <c r="B394" s="8">
        <v>24038</v>
      </c>
    </row>
    <row r="395" spans="1:2" x14ac:dyDescent="0.3">
      <c r="A395" s="6" t="s">
        <v>479</v>
      </c>
      <c r="B395" s="8">
        <v>24029</v>
      </c>
    </row>
    <row r="396" spans="1:2" x14ac:dyDescent="0.3">
      <c r="A396" s="6" t="s">
        <v>498</v>
      </c>
      <c r="B396" s="8">
        <v>23578</v>
      </c>
    </row>
    <row r="397" spans="1:2" x14ac:dyDescent="0.3">
      <c r="A397" s="6" t="s">
        <v>413</v>
      </c>
      <c r="B397" s="8">
        <v>23360</v>
      </c>
    </row>
    <row r="398" spans="1:2" x14ac:dyDescent="0.3">
      <c r="A398" s="6" t="s">
        <v>482</v>
      </c>
      <c r="B398" s="8">
        <v>23209</v>
      </c>
    </row>
    <row r="399" spans="1:2" x14ac:dyDescent="0.3">
      <c r="A399" s="6" t="s">
        <v>177</v>
      </c>
      <c r="B399" s="8">
        <v>23152</v>
      </c>
    </row>
    <row r="400" spans="1:2" x14ac:dyDescent="0.3">
      <c r="A400" s="6" t="s">
        <v>167</v>
      </c>
      <c r="B400" s="8">
        <v>22617</v>
      </c>
    </row>
    <row r="401" spans="1:2" x14ac:dyDescent="0.3">
      <c r="A401" s="6" t="s">
        <v>164</v>
      </c>
      <c r="B401" s="8">
        <v>22167</v>
      </c>
    </row>
    <row r="402" spans="1:2" x14ac:dyDescent="0.3">
      <c r="A402" s="6" t="s">
        <v>119</v>
      </c>
      <c r="B402" s="8">
        <v>22040</v>
      </c>
    </row>
    <row r="403" spans="1:2" x14ac:dyDescent="0.3">
      <c r="A403" s="6" t="s">
        <v>33</v>
      </c>
      <c r="B403" s="8">
        <v>21756</v>
      </c>
    </row>
    <row r="404" spans="1:2" x14ac:dyDescent="0.3">
      <c r="A404" s="6" t="s">
        <v>488</v>
      </c>
      <c r="B404" s="8">
        <v>21739</v>
      </c>
    </row>
    <row r="405" spans="1:2" x14ac:dyDescent="0.3">
      <c r="A405" s="6" t="s">
        <v>478</v>
      </c>
      <c r="B405" s="8">
        <v>21729</v>
      </c>
    </row>
    <row r="406" spans="1:2" x14ac:dyDescent="0.3">
      <c r="A406" s="6" t="s">
        <v>38</v>
      </c>
      <c r="B406" s="8">
        <v>21677</v>
      </c>
    </row>
    <row r="407" spans="1:2" x14ac:dyDescent="0.3">
      <c r="A407" s="6" t="s">
        <v>6</v>
      </c>
      <c r="B407" s="8">
        <v>21554</v>
      </c>
    </row>
    <row r="408" spans="1:2" x14ac:dyDescent="0.3">
      <c r="A408" s="6" t="s">
        <v>440</v>
      </c>
      <c r="B408" s="8">
        <v>21552</v>
      </c>
    </row>
    <row r="409" spans="1:2" x14ac:dyDescent="0.3">
      <c r="A409" s="6" t="s">
        <v>13</v>
      </c>
      <c r="B409" s="8">
        <v>21083</v>
      </c>
    </row>
    <row r="410" spans="1:2" x14ac:dyDescent="0.3">
      <c r="A410" s="6" t="s">
        <v>471</v>
      </c>
      <c r="B410" s="8">
        <v>20929</v>
      </c>
    </row>
    <row r="411" spans="1:2" x14ac:dyDescent="0.3">
      <c r="A411" s="6" t="s">
        <v>103</v>
      </c>
      <c r="B411" s="8">
        <v>20410</v>
      </c>
    </row>
    <row r="412" spans="1:2" x14ac:dyDescent="0.3">
      <c r="A412" s="6" t="s">
        <v>264</v>
      </c>
      <c r="B412" s="8">
        <v>20201</v>
      </c>
    </row>
    <row r="413" spans="1:2" x14ac:dyDescent="0.3">
      <c r="A413" s="6" t="s">
        <v>16</v>
      </c>
      <c r="B413" s="8">
        <v>20137</v>
      </c>
    </row>
    <row r="414" spans="1:2" x14ac:dyDescent="0.3">
      <c r="A414" s="6" t="s">
        <v>39</v>
      </c>
      <c r="B414" s="8">
        <v>20005</v>
      </c>
    </row>
    <row r="415" spans="1:2" x14ac:dyDescent="0.3">
      <c r="A415" s="6" t="s">
        <v>107</v>
      </c>
      <c r="B415" s="8">
        <v>20003</v>
      </c>
    </row>
    <row r="416" spans="1:2" x14ac:dyDescent="0.3">
      <c r="A416" s="6" t="s">
        <v>398</v>
      </c>
      <c r="B416" s="8">
        <v>19818</v>
      </c>
    </row>
    <row r="417" spans="1:2" x14ac:dyDescent="0.3">
      <c r="A417" s="6" t="s">
        <v>157</v>
      </c>
      <c r="B417" s="8">
        <v>19740</v>
      </c>
    </row>
    <row r="418" spans="1:2" x14ac:dyDescent="0.3">
      <c r="A418" s="6" t="s">
        <v>8</v>
      </c>
      <c r="B418" s="8">
        <v>19736</v>
      </c>
    </row>
    <row r="419" spans="1:2" x14ac:dyDescent="0.3">
      <c r="A419" s="6" t="s">
        <v>31</v>
      </c>
      <c r="B419" s="8">
        <v>19719</v>
      </c>
    </row>
    <row r="420" spans="1:2" x14ac:dyDescent="0.3">
      <c r="A420" s="6" t="s">
        <v>36</v>
      </c>
      <c r="B420" s="8">
        <v>19695</v>
      </c>
    </row>
    <row r="421" spans="1:2" x14ac:dyDescent="0.3">
      <c r="A421" s="6" t="s">
        <v>480</v>
      </c>
      <c r="B421" s="8">
        <v>19429</v>
      </c>
    </row>
    <row r="422" spans="1:2" x14ac:dyDescent="0.3">
      <c r="A422" s="6" t="s">
        <v>72</v>
      </c>
      <c r="B422" s="8">
        <v>19305</v>
      </c>
    </row>
    <row r="423" spans="1:2" x14ac:dyDescent="0.3">
      <c r="A423" s="6" t="s">
        <v>529</v>
      </c>
      <c r="B423" s="8">
        <v>19162</v>
      </c>
    </row>
    <row r="424" spans="1:2" x14ac:dyDescent="0.3">
      <c r="A424" s="6" t="s">
        <v>464</v>
      </c>
      <c r="B424" s="8">
        <v>18907</v>
      </c>
    </row>
    <row r="425" spans="1:2" x14ac:dyDescent="0.3">
      <c r="A425" s="6" t="s">
        <v>513</v>
      </c>
      <c r="B425" s="8">
        <v>18780</v>
      </c>
    </row>
    <row r="426" spans="1:2" x14ac:dyDescent="0.3">
      <c r="A426" s="6" t="s">
        <v>674</v>
      </c>
      <c r="B426" s="8">
        <v>18779</v>
      </c>
    </row>
    <row r="427" spans="1:2" x14ac:dyDescent="0.3">
      <c r="A427" s="6" t="s">
        <v>445</v>
      </c>
      <c r="B427" s="8">
        <v>18754</v>
      </c>
    </row>
    <row r="428" spans="1:2" x14ac:dyDescent="0.3">
      <c r="A428" s="6" t="s">
        <v>468</v>
      </c>
      <c r="B428" s="8">
        <v>18400</v>
      </c>
    </row>
    <row r="429" spans="1:2" x14ac:dyDescent="0.3">
      <c r="A429" s="6" t="s">
        <v>149</v>
      </c>
      <c r="B429" s="8">
        <v>18353</v>
      </c>
    </row>
    <row r="430" spans="1:2" x14ac:dyDescent="0.3">
      <c r="A430" s="6" t="s">
        <v>443</v>
      </c>
      <c r="B430" s="8">
        <v>18291</v>
      </c>
    </row>
    <row r="431" spans="1:2" x14ac:dyDescent="0.3">
      <c r="A431" s="6" t="s">
        <v>541</v>
      </c>
      <c r="B431" s="8">
        <v>18071</v>
      </c>
    </row>
    <row r="432" spans="1:2" x14ac:dyDescent="0.3">
      <c r="A432" s="6" t="s">
        <v>522</v>
      </c>
      <c r="B432" s="8">
        <v>17863</v>
      </c>
    </row>
    <row r="433" spans="1:2" x14ac:dyDescent="0.3">
      <c r="A433" s="6" t="s">
        <v>46</v>
      </c>
      <c r="B433" s="8">
        <v>17851</v>
      </c>
    </row>
    <row r="434" spans="1:2" x14ac:dyDescent="0.3">
      <c r="A434" s="6" t="s">
        <v>5</v>
      </c>
      <c r="B434" s="8">
        <v>17767</v>
      </c>
    </row>
    <row r="435" spans="1:2" x14ac:dyDescent="0.3">
      <c r="A435" s="6" t="s">
        <v>25</v>
      </c>
      <c r="B435" s="8">
        <v>17718</v>
      </c>
    </row>
    <row r="436" spans="1:2" x14ac:dyDescent="0.3">
      <c r="A436" s="6" t="s">
        <v>545</v>
      </c>
      <c r="B436" s="8">
        <v>17612</v>
      </c>
    </row>
    <row r="437" spans="1:2" x14ac:dyDescent="0.3">
      <c r="A437" s="6" t="s">
        <v>511</v>
      </c>
      <c r="B437" s="8">
        <v>17577</v>
      </c>
    </row>
    <row r="438" spans="1:2" x14ac:dyDescent="0.3">
      <c r="A438" s="6" t="s">
        <v>156</v>
      </c>
      <c r="B438" s="8">
        <v>17491</v>
      </c>
    </row>
    <row r="439" spans="1:2" x14ac:dyDescent="0.3">
      <c r="A439" s="6" t="s">
        <v>453</v>
      </c>
      <c r="B439" s="8">
        <v>17382</v>
      </c>
    </row>
    <row r="440" spans="1:2" x14ac:dyDescent="0.3">
      <c r="A440" s="6" t="s">
        <v>203</v>
      </c>
      <c r="B440" s="8">
        <v>17351</v>
      </c>
    </row>
    <row r="441" spans="1:2" x14ac:dyDescent="0.3">
      <c r="A441" s="6" t="s">
        <v>76</v>
      </c>
      <c r="B441" s="8">
        <v>17011</v>
      </c>
    </row>
    <row r="442" spans="1:2" x14ac:dyDescent="0.3">
      <c r="A442" s="6" t="s">
        <v>485</v>
      </c>
      <c r="B442" s="8">
        <v>16991</v>
      </c>
    </row>
    <row r="443" spans="1:2" x14ac:dyDescent="0.3">
      <c r="A443" s="6" t="s">
        <v>110</v>
      </c>
      <c r="B443" s="8">
        <v>16879</v>
      </c>
    </row>
    <row r="444" spans="1:2" x14ac:dyDescent="0.3">
      <c r="A444" s="6" t="s">
        <v>145</v>
      </c>
      <c r="B444" s="8">
        <v>16704</v>
      </c>
    </row>
    <row r="445" spans="1:2" x14ac:dyDescent="0.3">
      <c r="A445" s="6" t="s">
        <v>22</v>
      </c>
      <c r="B445" s="8">
        <v>16318</v>
      </c>
    </row>
    <row r="446" spans="1:2" x14ac:dyDescent="0.3">
      <c r="A446" s="6" t="s">
        <v>43</v>
      </c>
      <c r="B446" s="8">
        <v>16175</v>
      </c>
    </row>
    <row r="447" spans="1:2" x14ac:dyDescent="0.3">
      <c r="A447" s="6" t="s">
        <v>447</v>
      </c>
      <c r="B447" s="8">
        <v>16078</v>
      </c>
    </row>
    <row r="448" spans="1:2" x14ac:dyDescent="0.3">
      <c r="A448" s="6" t="s">
        <v>176</v>
      </c>
      <c r="B448" s="8">
        <v>15995</v>
      </c>
    </row>
    <row r="449" spans="1:2" x14ac:dyDescent="0.3">
      <c r="A449" s="6" t="s">
        <v>127</v>
      </c>
      <c r="B449" s="8">
        <v>15949</v>
      </c>
    </row>
    <row r="450" spans="1:2" x14ac:dyDescent="0.3">
      <c r="A450" s="6" t="s">
        <v>538</v>
      </c>
      <c r="B450" s="8">
        <v>15783</v>
      </c>
    </row>
    <row r="451" spans="1:2" x14ac:dyDescent="0.3">
      <c r="A451" s="6" t="s">
        <v>61</v>
      </c>
      <c r="B451" s="8">
        <v>15625</v>
      </c>
    </row>
    <row r="452" spans="1:2" x14ac:dyDescent="0.3">
      <c r="A452" s="6" t="s">
        <v>486</v>
      </c>
      <c r="B452" s="8">
        <v>15595</v>
      </c>
    </row>
    <row r="453" spans="1:2" x14ac:dyDescent="0.3">
      <c r="A453" s="6" t="s">
        <v>86</v>
      </c>
      <c r="B453" s="8">
        <v>15516</v>
      </c>
    </row>
    <row r="454" spans="1:2" x14ac:dyDescent="0.3">
      <c r="A454" s="6" t="s">
        <v>224</v>
      </c>
      <c r="B454" s="8">
        <v>15357</v>
      </c>
    </row>
    <row r="455" spans="1:2" x14ac:dyDescent="0.3">
      <c r="A455" s="6" t="s">
        <v>161</v>
      </c>
      <c r="B455" s="8">
        <v>15353</v>
      </c>
    </row>
    <row r="456" spans="1:2" x14ac:dyDescent="0.3">
      <c r="A456" s="6" t="s">
        <v>111</v>
      </c>
      <c r="B456" s="8">
        <v>15077</v>
      </c>
    </row>
    <row r="457" spans="1:2" x14ac:dyDescent="0.3">
      <c r="A457" s="6" t="s">
        <v>518</v>
      </c>
      <c r="B457" s="8">
        <v>15019</v>
      </c>
    </row>
    <row r="458" spans="1:2" x14ac:dyDescent="0.3">
      <c r="A458" s="6" t="s">
        <v>34</v>
      </c>
      <c r="B458" s="8">
        <v>15004</v>
      </c>
    </row>
    <row r="459" spans="1:2" x14ac:dyDescent="0.3">
      <c r="A459" s="6" t="s">
        <v>533</v>
      </c>
      <c r="B459" s="8">
        <v>14920</v>
      </c>
    </row>
    <row r="460" spans="1:2" x14ac:dyDescent="0.3">
      <c r="A460" s="6" t="s">
        <v>29</v>
      </c>
      <c r="B460" s="8">
        <v>14905</v>
      </c>
    </row>
    <row r="461" spans="1:2" x14ac:dyDescent="0.3">
      <c r="A461" s="6" t="s">
        <v>526</v>
      </c>
      <c r="B461" s="8">
        <v>14878</v>
      </c>
    </row>
    <row r="462" spans="1:2" x14ac:dyDescent="0.3">
      <c r="A462" s="6" t="s">
        <v>116</v>
      </c>
      <c r="B462" s="8">
        <v>14595</v>
      </c>
    </row>
    <row r="463" spans="1:2" x14ac:dyDescent="0.3">
      <c r="A463" s="6" t="s">
        <v>106</v>
      </c>
      <c r="B463" s="8">
        <v>14582</v>
      </c>
    </row>
    <row r="464" spans="1:2" x14ac:dyDescent="0.3">
      <c r="A464" s="6" t="s">
        <v>53</v>
      </c>
      <c r="B464" s="8">
        <v>14509</v>
      </c>
    </row>
    <row r="465" spans="1:2" x14ac:dyDescent="0.3">
      <c r="A465" s="6" t="s">
        <v>891</v>
      </c>
      <c r="B465" s="8">
        <v>14478</v>
      </c>
    </row>
    <row r="466" spans="1:2" x14ac:dyDescent="0.3">
      <c r="A466" s="6" t="s">
        <v>170</v>
      </c>
      <c r="B466" s="8">
        <v>14434</v>
      </c>
    </row>
    <row r="467" spans="1:2" x14ac:dyDescent="0.3">
      <c r="A467" s="6" t="s">
        <v>75</v>
      </c>
      <c r="B467" s="8">
        <v>14367</v>
      </c>
    </row>
    <row r="468" spans="1:2" x14ac:dyDescent="0.3">
      <c r="A468" s="6" t="s">
        <v>63</v>
      </c>
      <c r="B468" s="8">
        <v>14160</v>
      </c>
    </row>
    <row r="469" spans="1:2" x14ac:dyDescent="0.3">
      <c r="A469" s="6" t="s">
        <v>143</v>
      </c>
      <c r="B469" s="8">
        <v>14101</v>
      </c>
    </row>
    <row r="470" spans="1:2" x14ac:dyDescent="0.3">
      <c r="A470" s="6" t="s">
        <v>105</v>
      </c>
      <c r="B470" s="8">
        <v>13955</v>
      </c>
    </row>
    <row r="471" spans="1:2" x14ac:dyDescent="0.3">
      <c r="A471" s="6" t="s">
        <v>55</v>
      </c>
      <c r="B471" s="8">
        <v>13834</v>
      </c>
    </row>
    <row r="472" spans="1:2" x14ac:dyDescent="0.3">
      <c r="A472" s="6" t="s">
        <v>120</v>
      </c>
      <c r="B472" s="8">
        <v>13761</v>
      </c>
    </row>
    <row r="473" spans="1:2" x14ac:dyDescent="0.3">
      <c r="A473" s="6" t="s">
        <v>70</v>
      </c>
      <c r="B473" s="8">
        <v>13677</v>
      </c>
    </row>
    <row r="474" spans="1:2" x14ac:dyDescent="0.3">
      <c r="A474" s="6" t="s">
        <v>210</v>
      </c>
      <c r="B474" s="8">
        <v>13536</v>
      </c>
    </row>
    <row r="475" spans="1:2" x14ac:dyDescent="0.3">
      <c r="A475" s="6" t="s">
        <v>28</v>
      </c>
      <c r="B475" s="8">
        <v>13495</v>
      </c>
    </row>
    <row r="476" spans="1:2" x14ac:dyDescent="0.3">
      <c r="A476" s="6" t="s">
        <v>37</v>
      </c>
      <c r="B476" s="8">
        <v>13433</v>
      </c>
    </row>
    <row r="477" spans="1:2" x14ac:dyDescent="0.3">
      <c r="A477" s="6" t="s">
        <v>71</v>
      </c>
      <c r="B477" s="8">
        <v>13172</v>
      </c>
    </row>
    <row r="478" spans="1:2" x14ac:dyDescent="0.3">
      <c r="A478" s="6" t="s">
        <v>83</v>
      </c>
      <c r="B478" s="8">
        <v>13105</v>
      </c>
    </row>
    <row r="479" spans="1:2" x14ac:dyDescent="0.3">
      <c r="A479" s="6" t="s">
        <v>84</v>
      </c>
      <c r="B479" s="8">
        <v>13094</v>
      </c>
    </row>
    <row r="480" spans="1:2" x14ac:dyDescent="0.3">
      <c r="A480" s="6" t="s">
        <v>655</v>
      </c>
      <c r="B480" s="8">
        <v>13072</v>
      </c>
    </row>
    <row r="481" spans="1:2" x14ac:dyDescent="0.3">
      <c r="A481" s="6" t="s">
        <v>137</v>
      </c>
      <c r="B481" s="8">
        <v>13051</v>
      </c>
    </row>
    <row r="482" spans="1:2" x14ac:dyDescent="0.3">
      <c r="A482" s="6" t="s">
        <v>24</v>
      </c>
      <c r="B482" s="8">
        <v>13039</v>
      </c>
    </row>
    <row r="483" spans="1:2" x14ac:dyDescent="0.3">
      <c r="A483" s="6" t="s">
        <v>535</v>
      </c>
      <c r="B483" s="8">
        <v>12994</v>
      </c>
    </row>
    <row r="484" spans="1:2" x14ac:dyDescent="0.3">
      <c r="A484" s="6" t="s">
        <v>753</v>
      </c>
      <c r="B484" s="8">
        <v>12957</v>
      </c>
    </row>
    <row r="485" spans="1:2" x14ac:dyDescent="0.3">
      <c r="A485" s="6" t="s">
        <v>94</v>
      </c>
      <c r="B485" s="8">
        <v>12851</v>
      </c>
    </row>
    <row r="486" spans="1:2" x14ac:dyDescent="0.3">
      <c r="A486" s="6" t="s">
        <v>588</v>
      </c>
      <c r="B486" s="8">
        <v>12835</v>
      </c>
    </row>
    <row r="487" spans="1:2" x14ac:dyDescent="0.3">
      <c r="A487" s="6" t="s">
        <v>101</v>
      </c>
      <c r="B487" s="8">
        <v>12784</v>
      </c>
    </row>
    <row r="488" spans="1:2" x14ac:dyDescent="0.3">
      <c r="A488" s="6" t="s">
        <v>77</v>
      </c>
      <c r="B488" s="8">
        <v>12739</v>
      </c>
    </row>
    <row r="489" spans="1:2" x14ac:dyDescent="0.3">
      <c r="A489" s="6" t="s">
        <v>66</v>
      </c>
      <c r="B489" s="8">
        <v>12507</v>
      </c>
    </row>
    <row r="490" spans="1:2" x14ac:dyDescent="0.3">
      <c r="A490" s="6" t="s">
        <v>539</v>
      </c>
      <c r="B490" s="8">
        <v>12276</v>
      </c>
    </row>
    <row r="491" spans="1:2" x14ac:dyDescent="0.3">
      <c r="A491" s="6" t="s">
        <v>466</v>
      </c>
      <c r="B491" s="8">
        <v>12156</v>
      </c>
    </row>
    <row r="492" spans="1:2" x14ac:dyDescent="0.3">
      <c r="A492" s="6" t="s">
        <v>73</v>
      </c>
      <c r="B492" s="8">
        <v>12110</v>
      </c>
    </row>
    <row r="493" spans="1:2" x14ac:dyDescent="0.3">
      <c r="A493" s="6" t="s">
        <v>19</v>
      </c>
      <c r="B493" s="8">
        <v>12014</v>
      </c>
    </row>
    <row r="494" spans="1:2" x14ac:dyDescent="0.3">
      <c r="A494" s="6" t="s">
        <v>131</v>
      </c>
      <c r="B494" s="8">
        <v>12000</v>
      </c>
    </row>
    <row r="495" spans="1:2" x14ac:dyDescent="0.3">
      <c r="A495" s="6" t="s">
        <v>27</v>
      </c>
      <c r="B495" s="8">
        <v>11908</v>
      </c>
    </row>
    <row r="496" spans="1:2" x14ac:dyDescent="0.3">
      <c r="A496" s="6" t="s">
        <v>540</v>
      </c>
      <c r="B496" s="8">
        <v>11781</v>
      </c>
    </row>
    <row r="497" spans="1:2" x14ac:dyDescent="0.3">
      <c r="A497" s="6" t="s">
        <v>21</v>
      </c>
      <c r="B497" s="8">
        <v>11721</v>
      </c>
    </row>
    <row r="498" spans="1:2" x14ac:dyDescent="0.3">
      <c r="A498" s="6" t="s">
        <v>146</v>
      </c>
      <c r="B498" s="8">
        <v>11705</v>
      </c>
    </row>
    <row r="499" spans="1:2" x14ac:dyDescent="0.3">
      <c r="A499" s="6" t="s">
        <v>154</v>
      </c>
      <c r="B499" s="8">
        <v>11672</v>
      </c>
    </row>
    <row r="500" spans="1:2" x14ac:dyDescent="0.3">
      <c r="A500" s="6" t="s">
        <v>173</v>
      </c>
      <c r="B500" s="8">
        <v>11669</v>
      </c>
    </row>
    <row r="501" spans="1:2" x14ac:dyDescent="0.3">
      <c r="A501" s="6" t="s">
        <v>174</v>
      </c>
      <c r="B501" s="8">
        <v>11669</v>
      </c>
    </row>
    <row r="502" spans="1:2" x14ac:dyDescent="0.3">
      <c r="A502" s="6" t="s">
        <v>98</v>
      </c>
      <c r="B502" s="8">
        <v>11452</v>
      </c>
    </row>
    <row r="503" spans="1:2" x14ac:dyDescent="0.3">
      <c r="A503" s="6" t="s">
        <v>41</v>
      </c>
      <c r="B503" s="8">
        <v>11347</v>
      </c>
    </row>
    <row r="504" spans="1:2" x14ac:dyDescent="0.3">
      <c r="A504" s="6" t="s">
        <v>80</v>
      </c>
      <c r="B504" s="8">
        <v>11269</v>
      </c>
    </row>
    <row r="505" spans="1:2" x14ac:dyDescent="0.3">
      <c r="A505" s="6" t="s">
        <v>90</v>
      </c>
      <c r="B505" s="8">
        <v>11170</v>
      </c>
    </row>
    <row r="506" spans="1:2" x14ac:dyDescent="0.3">
      <c r="A506" s="6" t="s">
        <v>182</v>
      </c>
      <c r="B506" s="8">
        <v>11170</v>
      </c>
    </row>
    <row r="507" spans="1:2" x14ac:dyDescent="0.3">
      <c r="A507" s="6" t="s">
        <v>507</v>
      </c>
      <c r="B507" s="8">
        <v>11037</v>
      </c>
    </row>
    <row r="508" spans="1:2" x14ac:dyDescent="0.3">
      <c r="A508" s="6" t="s">
        <v>122</v>
      </c>
      <c r="B508" s="8">
        <v>10859</v>
      </c>
    </row>
    <row r="509" spans="1:2" x14ac:dyDescent="0.3">
      <c r="A509" s="6" t="s">
        <v>493</v>
      </c>
      <c r="B509" s="8">
        <v>10840</v>
      </c>
    </row>
    <row r="510" spans="1:2" x14ac:dyDescent="0.3">
      <c r="A510" s="6" t="s">
        <v>500</v>
      </c>
      <c r="B510" s="8">
        <v>10581</v>
      </c>
    </row>
    <row r="511" spans="1:2" x14ac:dyDescent="0.3">
      <c r="A511" s="6" t="s">
        <v>136</v>
      </c>
      <c r="B511" s="8">
        <v>10562</v>
      </c>
    </row>
    <row r="512" spans="1:2" x14ac:dyDescent="0.3">
      <c r="A512" s="6" t="s">
        <v>981</v>
      </c>
      <c r="B512" s="8">
        <v>10522</v>
      </c>
    </row>
    <row r="513" spans="1:2" x14ac:dyDescent="0.3">
      <c r="A513" s="6" t="s">
        <v>65</v>
      </c>
      <c r="B513" s="8">
        <v>10514</v>
      </c>
    </row>
    <row r="514" spans="1:2" x14ac:dyDescent="0.3">
      <c r="A514" s="6" t="s">
        <v>49</v>
      </c>
      <c r="B514" s="8">
        <v>10434</v>
      </c>
    </row>
    <row r="515" spans="1:2" x14ac:dyDescent="0.3">
      <c r="A515" s="6" t="s">
        <v>97</v>
      </c>
      <c r="B515" s="8">
        <v>10267</v>
      </c>
    </row>
    <row r="516" spans="1:2" x14ac:dyDescent="0.3">
      <c r="A516" s="6" t="s">
        <v>504</v>
      </c>
      <c r="B516" s="8">
        <v>10034</v>
      </c>
    </row>
    <row r="517" spans="1:2" x14ac:dyDescent="0.3">
      <c r="A517" s="6" t="s">
        <v>163</v>
      </c>
      <c r="B517" s="8">
        <v>9967</v>
      </c>
    </row>
    <row r="518" spans="1:2" x14ac:dyDescent="0.3">
      <c r="A518" s="6" t="s">
        <v>144</v>
      </c>
      <c r="B518" s="8">
        <v>9952</v>
      </c>
    </row>
    <row r="519" spans="1:2" x14ac:dyDescent="0.3">
      <c r="A519" s="6" t="s">
        <v>499</v>
      </c>
      <c r="B519" s="8">
        <v>9760</v>
      </c>
    </row>
    <row r="520" spans="1:2" x14ac:dyDescent="0.3">
      <c r="A520" s="6" t="s">
        <v>134</v>
      </c>
      <c r="B520" s="8">
        <v>9588</v>
      </c>
    </row>
    <row r="521" spans="1:2" x14ac:dyDescent="0.3">
      <c r="A521" s="6" t="s">
        <v>88</v>
      </c>
      <c r="B521" s="8">
        <v>9423</v>
      </c>
    </row>
    <row r="522" spans="1:2" x14ac:dyDescent="0.3">
      <c r="A522" s="6" t="s">
        <v>45</v>
      </c>
      <c r="B522" s="8">
        <v>9317</v>
      </c>
    </row>
    <row r="523" spans="1:2" x14ac:dyDescent="0.3">
      <c r="A523" s="6" t="s">
        <v>525</v>
      </c>
      <c r="B523" s="8">
        <v>9233</v>
      </c>
    </row>
    <row r="524" spans="1:2" x14ac:dyDescent="0.3">
      <c r="A524" s="6" t="s">
        <v>243</v>
      </c>
      <c r="B524" s="8">
        <v>9158</v>
      </c>
    </row>
    <row r="525" spans="1:2" x14ac:dyDescent="0.3">
      <c r="A525" s="6" t="s">
        <v>141</v>
      </c>
      <c r="B525" s="8">
        <v>9118</v>
      </c>
    </row>
    <row r="526" spans="1:2" x14ac:dyDescent="0.3">
      <c r="A526" s="6" t="s">
        <v>23</v>
      </c>
      <c r="B526" s="8">
        <v>8907</v>
      </c>
    </row>
    <row r="527" spans="1:2" x14ac:dyDescent="0.3">
      <c r="A527" s="6" t="s">
        <v>524</v>
      </c>
      <c r="B527" s="8">
        <v>8799</v>
      </c>
    </row>
    <row r="528" spans="1:2" x14ac:dyDescent="0.3">
      <c r="A528" s="6" t="s">
        <v>68</v>
      </c>
      <c r="B528" s="8">
        <v>8761</v>
      </c>
    </row>
    <row r="529" spans="1:2" x14ac:dyDescent="0.3">
      <c r="A529" s="6" t="s">
        <v>126</v>
      </c>
      <c r="B529" s="8">
        <v>8741</v>
      </c>
    </row>
    <row r="530" spans="1:2" x14ac:dyDescent="0.3">
      <c r="A530" s="6" t="s">
        <v>114</v>
      </c>
      <c r="B530" s="8">
        <v>8710</v>
      </c>
    </row>
    <row r="531" spans="1:2" x14ac:dyDescent="0.3">
      <c r="A531" s="6" t="s">
        <v>561</v>
      </c>
      <c r="B531" s="8">
        <v>8570</v>
      </c>
    </row>
    <row r="532" spans="1:2" x14ac:dyDescent="0.3">
      <c r="A532" s="6" t="s">
        <v>509</v>
      </c>
      <c r="B532" s="8">
        <v>8442</v>
      </c>
    </row>
    <row r="533" spans="1:2" x14ac:dyDescent="0.3">
      <c r="A533" s="6" t="s">
        <v>532</v>
      </c>
      <c r="B533" s="8">
        <v>8185</v>
      </c>
    </row>
    <row r="534" spans="1:2" x14ac:dyDescent="0.3">
      <c r="A534" s="6" t="s">
        <v>169</v>
      </c>
      <c r="B534" s="8">
        <v>8114</v>
      </c>
    </row>
    <row r="535" spans="1:2" x14ac:dyDescent="0.3">
      <c r="A535" s="6" t="s">
        <v>79</v>
      </c>
      <c r="B535" s="8">
        <v>8059</v>
      </c>
    </row>
    <row r="536" spans="1:2" x14ac:dyDescent="0.3">
      <c r="A536" s="6" t="s">
        <v>32</v>
      </c>
      <c r="B536" s="8">
        <v>8025</v>
      </c>
    </row>
    <row r="537" spans="1:2" x14ac:dyDescent="0.3">
      <c r="A537" s="6" t="s">
        <v>171</v>
      </c>
      <c r="B537" s="8">
        <v>7994</v>
      </c>
    </row>
    <row r="538" spans="1:2" x14ac:dyDescent="0.3">
      <c r="A538" s="6" t="s">
        <v>93</v>
      </c>
      <c r="B538" s="8">
        <v>7989</v>
      </c>
    </row>
    <row r="539" spans="1:2" x14ac:dyDescent="0.3">
      <c r="A539" s="6" t="s">
        <v>506</v>
      </c>
      <c r="B539" s="8">
        <v>7987</v>
      </c>
    </row>
    <row r="540" spans="1:2" x14ac:dyDescent="0.3">
      <c r="A540" s="6" t="s">
        <v>543</v>
      </c>
      <c r="B540" s="8">
        <v>7766</v>
      </c>
    </row>
    <row r="541" spans="1:2" x14ac:dyDescent="0.3">
      <c r="A541" s="6" t="s">
        <v>108</v>
      </c>
      <c r="B541" s="8">
        <v>7607</v>
      </c>
    </row>
    <row r="542" spans="1:2" x14ac:dyDescent="0.3">
      <c r="A542" s="6" t="s">
        <v>537</v>
      </c>
      <c r="B542" s="8">
        <v>7558</v>
      </c>
    </row>
    <row r="543" spans="1:2" x14ac:dyDescent="0.3">
      <c r="A543" s="6" t="s">
        <v>135</v>
      </c>
      <c r="B543" s="8">
        <v>7555</v>
      </c>
    </row>
    <row r="544" spans="1:2" x14ac:dyDescent="0.3">
      <c r="A544" s="6" t="s">
        <v>140</v>
      </c>
      <c r="B544" s="8">
        <v>7471</v>
      </c>
    </row>
    <row r="545" spans="1:2" x14ac:dyDescent="0.3">
      <c r="A545" s="6" t="s">
        <v>559</v>
      </c>
      <c r="B545" s="8">
        <v>7311</v>
      </c>
    </row>
    <row r="546" spans="1:2" x14ac:dyDescent="0.3">
      <c r="A546" s="6" t="s">
        <v>102</v>
      </c>
      <c r="B546" s="8">
        <v>6968</v>
      </c>
    </row>
    <row r="547" spans="1:2" x14ac:dyDescent="0.3">
      <c r="A547" s="6" t="s">
        <v>571</v>
      </c>
      <c r="B547" s="8">
        <v>6903</v>
      </c>
    </row>
    <row r="548" spans="1:2" x14ac:dyDescent="0.3">
      <c r="A548" s="6" t="s">
        <v>113</v>
      </c>
      <c r="B548" s="8">
        <v>6873</v>
      </c>
    </row>
    <row r="549" spans="1:2" x14ac:dyDescent="0.3">
      <c r="A549" s="6" t="s">
        <v>554</v>
      </c>
      <c r="B549" s="8">
        <v>6764</v>
      </c>
    </row>
    <row r="550" spans="1:2" x14ac:dyDescent="0.3">
      <c r="A550" s="6" t="s">
        <v>557</v>
      </c>
      <c r="B550" s="8">
        <v>6643</v>
      </c>
    </row>
    <row r="551" spans="1:2" x14ac:dyDescent="0.3">
      <c r="A551" s="6" t="s">
        <v>130</v>
      </c>
      <c r="B551" s="8">
        <v>6212</v>
      </c>
    </row>
    <row r="552" spans="1:2" x14ac:dyDescent="0.3">
      <c r="A552" s="6" t="s">
        <v>152</v>
      </c>
      <c r="B552" s="8">
        <v>5866</v>
      </c>
    </row>
    <row r="553" spans="1:2" x14ac:dyDescent="0.3">
      <c r="A553" s="6" t="s">
        <v>530</v>
      </c>
      <c r="B553" s="8">
        <v>5631</v>
      </c>
    </row>
    <row r="554" spans="1:2" x14ac:dyDescent="0.3">
      <c r="A554" s="6" t="s">
        <v>556</v>
      </c>
      <c r="B554" s="8">
        <v>5447</v>
      </c>
    </row>
    <row r="555" spans="1:2" x14ac:dyDescent="0.3">
      <c r="A555" s="6" t="s">
        <v>685</v>
      </c>
      <c r="B555" s="8">
        <v>5262</v>
      </c>
    </row>
    <row r="556" spans="1:2" x14ac:dyDescent="0.3">
      <c r="A556" s="6" t="s">
        <v>562</v>
      </c>
      <c r="B556" s="8">
        <v>5025</v>
      </c>
    </row>
    <row r="557" spans="1:2" x14ac:dyDescent="0.3">
      <c r="A557" s="6" t="s">
        <v>521</v>
      </c>
      <c r="B557" s="8">
        <v>4952</v>
      </c>
    </row>
    <row r="558" spans="1:2" x14ac:dyDescent="0.3">
      <c r="A558" s="6" t="s">
        <v>542</v>
      </c>
      <c r="B558" s="8">
        <v>4878</v>
      </c>
    </row>
    <row r="559" spans="1:2" x14ac:dyDescent="0.3">
      <c r="A559" s="6" t="s">
        <v>548</v>
      </c>
      <c r="B559" s="8">
        <v>4851</v>
      </c>
    </row>
    <row r="560" spans="1:2" x14ac:dyDescent="0.3">
      <c r="A560" s="6" t="s">
        <v>980</v>
      </c>
      <c r="B560" s="8">
        <v>4750</v>
      </c>
    </row>
    <row r="561" spans="1:2" x14ac:dyDescent="0.3">
      <c r="A561" s="6" t="s">
        <v>976</v>
      </c>
      <c r="B561" s="8">
        <v>4571</v>
      </c>
    </row>
    <row r="562" spans="1:2" x14ac:dyDescent="0.3">
      <c r="A562" s="6" t="s">
        <v>550</v>
      </c>
      <c r="B562" s="8">
        <v>4548</v>
      </c>
    </row>
    <row r="563" spans="1:2" x14ac:dyDescent="0.3">
      <c r="A563" s="6" t="s">
        <v>558</v>
      </c>
      <c r="B563" s="8">
        <v>4537</v>
      </c>
    </row>
    <row r="564" spans="1:2" x14ac:dyDescent="0.3">
      <c r="A564" s="6" t="s">
        <v>515</v>
      </c>
      <c r="B564" s="8">
        <v>4534</v>
      </c>
    </row>
    <row r="565" spans="1:2" x14ac:dyDescent="0.3">
      <c r="A565" s="6" t="s">
        <v>979</v>
      </c>
      <c r="B565" s="8">
        <v>4237</v>
      </c>
    </row>
    <row r="566" spans="1:2" x14ac:dyDescent="0.3">
      <c r="A566" s="6" t="s">
        <v>978</v>
      </c>
      <c r="B566" s="8">
        <v>4053</v>
      </c>
    </row>
    <row r="567" spans="1:2" x14ac:dyDescent="0.3">
      <c r="A567" s="6" t="s">
        <v>662</v>
      </c>
      <c r="B567" s="8">
        <v>3992</v>
      </c>
    </row>
    <row r="568" spans="1:2" x14ac:dyDescent="0.3">
      <c r="A568" s="6" t="s">
        <v>800</v>
      </c>
      <c r="B568" s="8">
        <v>3928</v>
      </c>
    </row>
    <row r="569" spans="1:2" x14ac:dyDescent="0.3">
      <c r="A569" s="6" t="s">
        <v>596</v>
      </c>
      <c r="B569" s="8">
        <v>3751</v>
      </c>
    </row>
    <row r="570" spans="1:2" x14ac:dyDescent="0.3">
      <c r="A570" s="6" t="s">
        <v>568</v>
      </c>
      <c r="B570" s="8">
        <v>3604</v>
      </c>
    </row>
    <row r="571" spans="1:2" x14ac:dyDescent="0.3">
      <c r="A571" s="6" t="s">
        <v>527</v>
      </c>
      <c r="B571" s="8">
        <v>3561</v>
      </c>
    </row>
    <row r="572" spans="1:2" x14ac:dyDescent="0.3">
      <c r="A572" s="6" t="s">
        <v>569</v>
      </c>
      <c r="B572" s="8">
        <v>3557</v>
      </c>
    </row>
    <row r="573" spans="1:2" x14ac:dyDescent="0.3">
      <c r="A573" s="6" t="s">
        <v>555</v>
      </c>
      <c r="B573" s="8">
        <v>3543</v>
      </c>
    </row>
    <row r="574" spans="1:2" x14ac:dyDescent="0.3">
      <c r="A574" s="6" t="s">
        <v>977</v>
      </c>
      <c r="B574" s="8">
        <v>3500</v>
      </c>
    </row>
    <row r="575" spans="1:2" x14ac:dyDescent="0.3">
      <c r="A575" s="6" t="s">
        <v>552</v>
      </c>
      <c r="B575" s="8">
        <v>3400</v>
      </c>
    </row>
    <row r="576" spans="1:2" x14ac:dyDescent="0.3">
      <c r="A576" s="6" t="s">
        <v>732</v>
      </c>
      <c r="B576" s="8">
        <v>3347</v>
      </c>
    </row>
    <row r="577" spans="1:2" x14ac:dyDescent="0.3">
      <c r="A577" s="6" t="s">
        <v>547</v>
      </c>
      <c r="B577" s="8">
        <v>3085</v>
      </c>
    </row>
    <row r="578" spans="1:2" x14ac:dyDescent="0.3">
      <c r="A578" s="6" t="s">
        <v>553</v>
      </c>
      <c r="B578" s="8">
        <v>2983</v>
      </c>
    </row>
    <row r="579" spans="1:2" x14ac:dyDescent="0.3">
      <c r="A579" s="6" t="s">
        <v>595</v>
      </c>
      <c r="B579" s="8">
        <v>2938</v>
      </c>
    </row>
    <row r="580" spans="1:2" x14ac:dyDescent="0.3">
      <c r="A580" s="6" t="s">
        <v>803</v>
      </c>
      <c r="B580" s="8">
        <v>2794</v>
      </c>
    </row>
    <row r="581" spans="1:2" x14ac:dyDescent="0.3">
      <c r="A581" s="6" t="s">
        <v>544</v>
      </c>
      <c r="B581" s="8">
        <v>2784</v>
      </c>
    </row>
    <row r="582" spans="1:2" x14ac:dyDescent="0.3">
      <c r="A582" s="6" t="s">
        <v>692</v>
      </c>
      <c r="B582" s="8">
        <v>2773</v>
      </c>
    </row>
    <row r="583" spans="1:2" x14ac:dyDescent="0.3">
      <c r="A583" s="6" t="s">
        <v>670</v>
      </c>
      <c r="B583" s="8">
        <v>2766</v>
      </c>
    </row>
    <row r="584" spans="1:2" x14ac:dyDescent="0.3">
      <c r="A584" s="6" t="s">
        <v>971</v>
      </c>
      <c r="B584" s="8">
        <v>2759</v>
      </c>
    </row>
    <row r="585" spans="1:2" x14ac:dyDescent="0.3">
      <c r="A585" s="6" t="s">
        <v>725</v>
      </c>
      <c r="B585" s="8">
        <v>2758</v>
      </c>
    </row>
    <row r="586" spans="1:2" x14ac:dyDescent="0.3">
      <c r="A586" s="6" t="s">
        <v>162</v>
      </c>
      <c r="B586" s="8">
        <v>2740</v>
      </c>
    </row>
    <row r="587" spans="1:2" x14ac:dyDescent="0.3">
      <c r="A587" s="6" t="s">
        <v>566</v>
      </c>
      <c r="B587" s="8">
        <v>2740</v>
      </c>
    </row>
    <row r="588" spans="1:2" x14ac:dyDescent="0.3">
      <c r="A588" s="6" t="s">
        <v>560</v>
      </c>
      <c r="B588" s="8">
        <v>2726</v>
      </c>
    </row>
    <row r="589" spans="1:2" x14ac:dyDescent="0.3">
      <c r="A589" s="6" t="s">
        <v>945</v>
      </c>
      <c r="B589" s="8">
        <v>2698</v>
      </c>
    </row>
    <row r="590" spans="1:2" x14ac:dyDescent="0.3">
      <c r="A590" s="6" t="s">
        <v>648</v>
      </c>
      <c r="B590" s="8">
        <v>2622</v>
      </c>
    </row>
    <row r="591" spans="1:2" x14ac:dyDescent="0.3">
      <c r="A591" s="6" t="s">
        <v>688</v>
      </c>
      <c r="B591" s="8">
        <v>2595</v>
      </c>
    </row>
    <row r="592" spans="1:2" x14ac:dyDescent="0.3">
      <c r="A592" s="6" t="s">
        <v>975</v>
      </c>
      <c r="B592" s="8">
        <v>2539</v>
      </c>
    </row>
    <row r="593" spans="1:2" x14ac:dyDescent="0.3">
      <c r="A593" s="6" t="s">
        <v>970</v>
      </c>
      <c r="B593" s="8">
        <v>2516</v>
      </c>
    </row>
    <row r="594" spans="1:2" x14ac:dyDescent="0.3">
      <c r="A594" s="6" t="s">
        <v>574</v>
      </c>
      <c r="B594" s="8">
        <v>2500</v>
      </c>
    </row>
    <row r="595" spans="1:2" x14ac:dyDescent="0.3">
      <c r="A595" s="6" t="s">
        <v>973</v>
      </c>
      <c r="B595" s="8">
        <v>2463</v>
      </c>
    </row>
    <row r="596" spans="1:2" x14ac:dyDescent="0.3">
      <c r="A596" s="6" t="s">
        <v>972</v>
      </c>
      <c r="B596" s="8">
        <v>2463</v>
      </c>
    </row>
    <row r="597" spans="1:2" x14ac:dyDescent="0.3">
      <c r="A597" s="6" t="s">
        <v>888</v>
      </c>
      <c r="B597" s="8">
        <v>2267</v>
      </c>
    </row>
    <row r="598" spans="1:2" x14ac:dyDescent="0.3">
      <c r="A598" s="6" t="s">
        <v>896</v>
      </c>
      <c r="B598" s="8">
        <v>2196</v>
      </c>
    </row>
    <row r="599" spans="1:2" x14ac:dyDescent="0.3">
      <c r="A599" s="6" t="s">
        <v>956</v>
      </c>
      <c r="B599" s="8">
        <v>2113</v>
      </c>
    </row>
    <row r="600" spans="1:2" x14ac:dyDescent="0.3">
      <c r="A600" s="6" t="s">
        <v>974</v>
      </c>
      <c r="B600" s="8">
        <v>2101</v>
      </c>
    </row>
    <row r="601" spans="1:2" x14ac:dyDescent="0.3">
      <c r="A601" s="6" t="s">
        <v>754</v>
      </c>
      <c r="B601" s="8">
        <v>2042</v>
      </c>
    </row>
    <row r="602" spans="1:2" x14ac:dyDescent="0.3">
      <c r="A602" s="6" t="s">
        <v>616</v>
      </c>
      <c r="B602" s="8">
        <v>2011</v>
      </c>
    </row>
    <row r="603" spans="1:2" x14ac:dyDescent="0.3">
      <c r="A603" s="6" t="s">
        <v>969</v>
      </c>
      <c r="B603" s="8">
        <v>2001</v>
      </c>
    </row>
    <row r="604" spans="1:2" x14ac:dyDescent="0.3">
      <c r="A604" s="6" t="s">
        <v>645</v>
      </c>
      <c r="B604" s="8">
        <v>1969</v>
      </c>
    </row>
    <row r="605" spans="1:2" x14ac:dyDescent="0.3">
      <c r="A605" s="6" t="s">
        <v>625</v>
      </c>
      <c r="B605" s="8">
        <v>1947</v>
      </c>
    </row>
    <row r="606" spans="1:2" x14ac:dyDescent="0.3">
      <c r="A606" s="6" t="s">
        <v>968</v>
      </c>
      <c r="B606" s="8">
        <v>1906</v>
      </c>
    </row>
    <row r="607" spans="1:2" x14ac:dyDescent="0.3">
      <c r="A607" s="6" t="s">
        <v>885</v>
      </c>
      <c r="B607" s="8">
        <v>1901</v>
      </c>
    </row>
    <row r="608" spans="1:2" x14ac:dyDescent="0.3">
      <c r="A608" s="6" t="s">
        <v>872</v>
      </c>
      <c r="B608" s="8">
        <v>1872</v>
      </c>
    </row>
    <row r="609" spans="1:2" x14ac:dyDescent="0.3">
      <c r="A609" s="6" t="s">
        <v>587</v>
      </c>
      <c r="B609" s="8">
        <v>1836</v>
      </c>
    </row>
    <row r="610" spans="1:2" x14ac:dyDescent="0.3">
      <c r="A610" s="6" t="s">
        <v>624</v>
      </c>
      <c r="B610" s="8">
        <v>1803</v>
      </c>
    </row>
    <row r="611" spans="1:2" x14ac:dyDescent="0.3">
      <c r="A611" s="6" t="s">
        <v>570</v>
      </c>
      <c r="B611" s="8">
        <v>1748</v>
      </c>
    </row>
    <row r="612" spans="1:2" x14ac:dyDescent="0.3">
      <c r="A612" s="6" t="s">
        <v>960</v>
      </c>
      <c r="B612" s="8">
        <v>1744</v>
      </c>
    </row>
    <row r="613" spans="1:2" x14ac:dyDescent="0.3">
      <c r="A613" s="6" t="s">
        <v>893</v>
      </c>
      <c r="B613" s="8">
        <v>1739</v>
      </c>
    </row>
    <row r="614" spans="1:2" x14ac:dyDescent="0.3">
      <c r="A614" s="6" t="s">
        <v>565</v>
      </c>
      <c r="B614" s="8">
        <v>1722</v>
      </c>
    </row>
    <row r="615" spans="1:2" x14ac:dyDescent="0.3">
      <c r="A615" s="6" t="s">
        <v>930</v>
      </c>
      <c r="B615" s="8">
        <v>1718</v>
      </c>
    </row>
    <row r="616" spans="1:2" x14ac:dyDescent="0.3">
      <c r="A616" s="6" t="s">
        <v>633</v>
      </c>
      <c r="B616" s="8">
        <v>1708</v>
      </c>
    </row>
    <row r="617" spans="1:2" x14ac:dyDescent="0.3">
      <c r="A617" s="6">
        <v>1500</v>
      </c>
      <c r="B617" s="8">
        <v>1708</v>
      </c>
    </row>
    <row r="618" spans="1:2" x14ac:dyDescent="0.3">
      <c r="A618" s="6" t="s">
        <v>957</v>
      </c>
      <c r="B618" s="8">
        <v>1707</v>
      </c>
    </row>
    <row r="619" spans="1:2" x14ac:dyDescent="0.3">
      <c r="A619" s="6" t="s">
        <v>634</v>
      </c>
      <c r="B619" s="8">
        <v>1612</v>
      </c>
    </row>
    <row r="620" spans="1:2" x14ac:dyDescent="0.3">
      <c r="A620" s="6" t="s">
        <v>917</v>
      </c>
      <c r="B620" s="8">
        <v>1527</v>
      </c>
    </row>
    <row r="621" spans="1:2" x14ac:dyDescent="0.3">
      <c r="A621" s="6" t="s">
        <v>966</v>
      </c>
      <c r="B621" s="8">
        <v>1500</v>
      </c>
    </row>
    <row r="622" spans="1:2" x14ac:dyDescent="0.3">
      <c r="A622" s="6" t="s">
        <v>927</v>
      </c>
      <c r="B622" s="8">
        <v>1500</v>
      </c>
    </row>
    <row r="623" spans="1:2" x14ac:dyDescent="0.3">
      <c r="A623" s="6" t="s">
        <v>623</v>
      </c>
      <c r="B623" s="8">
        <v>1440</v>
      </c>
    </row>
    <row r="624" spans="1:2" x14ac:dyDescent="0.3">
      <c r="A624" s="6" t="s">
        <v>604</v>
      </c>
      <c r="B624" s="8">
        <v>1427</v>
      </c>
    </row>
    <row r="625" spans="1:2" x14ac:dyDescent="0.3">
      <c r="A625" s="6" t="s">
        <v>564</v>
      </c>
      <c r="B625" s="8">
        <v>1394</v>
      </c>
    </row>
    <row r="626" spans="1:2" x14ac:dyDescent="0.3">
      <c r="A626" s="6" t="s">
        <v>567</v>
      </c>
      <c r="B626" s="8">
        <v>1364</v>
      </c>
    </row>
    <row r="627" spans="1:2" x14ac:dyDescent="0.3">
      <c r="A627" s="6" t="s">
        <v>597</v>
      </c>
      <c r="B627" s="8">
        <v>1348</v>
      </c>
    </row>
    <row r="628" spans="1:2" x14ac:dyDescent="0.3">
      <c r="A628" s="6" t="s">
        <v>955</v>
      </c>
      <c r="B628" s="8">
        <v>1348</v>
      </c>
    </row>
    <row r="629" spans="1:2" x14ac:dyDescent="0.3">
      <c r="A629" s="6" t="s">
        <v>577</v>
      </c>
      <c r="B629" s="8">
        <v>1335</v>
      </c>
    </row>
    <row r="630" spans="1:2" x14ac:dyDescent="0.3">
      <c r="A630" s="6" t="s">
        <v>546</v>
      </c>
      <c r="B630" s="8">
        <v>1329</v>
      </c>
    </row>
    <row r="631" spans="1:2" x14ac:dyDescent="0.3">
      <c r="A631" s="6" t="s">
        <v>967</v>
      </c>
      <c r="B631" s="8">
        <v>1320</v>
      </c>
    </row>
    <row r="632" spans="1:2" x14ac:dyDescent="0.3">
      <c r="A632" s="6" t="s">
        <v>963</v>
      </c>
      <c r="B632" s="8">
        <v>1319</v>
      </c>
    </row>
    <row r="633" spans="1:2" x14ac:dyDescent="0.3">
      <c r="A633" s="6" t="s">
        <v>563</v>
      </c>
      <c r="B633" s="8">
        <v>1274</v>
      </c>
    </row>
    <row r="634" spans="1:2" x14ac:dyDescent="0.3">
      <c r="A634" s="6" t="s">
        <v>629</v>
      </c>
      <c r="B634" s="8">
        <v>1252</v>
      </c>
    </row>
    <row r="635" spans="1:2" x14ac:dyDescent="0.3">
      <c r="A635" s="6" t="s">
        <v>807</v>
      </c>
      <c r="B635" s="8">
        <v>1224</v>
      </c>
    </row>
    <row r="636" spans="1:2" x14ac:dyDescent="0.3">
      <c r="A636" s="6" t="s">
        <v>614</v>
      </c>
      <c r="B636" s="8">
        <v>1218</v>
      </c>
    </row>
    <row r="637" spans="1:2" x14ac:dyDescent="0.3">
      <c r="A637" s="6" t="s">
        <v>579</v>
      </c>
      <c r="B637" s="8">
        <v>1209</v>
      </c>
    </row>
    <row r="638" spans="1:2" x14ac:dyDescent="0.3">
      <c r="A638" s="6" t="s">
        <v>581</v>
      </c>
      <c r="B638" s="8">
        <v>1176</v>
      </c>
    </row>
    <row r="639" spans="1:2" x14ac:dyDescent="0.3">
      <c r="A639" s="6" t="s">
        <v>651</v>
      </c>
      <c r="B639" s="8">
        <v>1175</v>
      </c>
    </row>
    <row r="640" spans="1:2" x14ac:dyDescent="0.3">
      <c r="A640" s="6" t="s">
        <v>958</v>
      </c>
      <c r="B640" s="8">
        <v>1164</v>
      </c>
    </row>
    <row r="641" spans="1:2" x14ac:dyDescent="0.3">
      <c r="A641" s="6" t="s">
        <v>599</v>
      </c>
      <c r="B641" s="8">
        <v>1161</v>
      </c>
    </row>
    <row r="642" spans="1:2" x14ac:dyDescent="0.3">
      <c r="A642" s="6" t="s">
        <v>965</v>
      </c>
      <c r="B642" s="8">
        <v>1159</v>
      </c>
    </row>
    <row r="643" spans="1:2" x14ac:dyDescent="0.3">
      <c r="A643" s="6" t="s">
        <v>726</v>
      </c>
      <c r="B643" s="8">
        <v>1152</v>
      </c>
    </row>
    <row r="644" spans="1:2" x14ac:dyDescent="0.3">
      <c r="A644" s="6" t="s">
        <v>950</v>
      </c>
      <c r="B644" s="8">
        <v>1139</v>
      </c>
    </row>
    <row r="645" spans="1:2" x14ac:dyDescent="0.3">
      <c r="A645" s="6" t="s">
        <v>883</v>
      </c>
      <c r="B645" s="8">
        <v>1125</v>
      </c>
    </row>
    <row r="646" spans="1:2" x14ac:dyDescent="0.3">
      <c r="A646" s="6" t="s">
        <v>964</v>
      </c>
      <c r="B646" s="8">
        <v>1090</v>
      </c>
    </row>
    <row r="647" spans="1:2" x14ac:dyDescent="0.3">
      <c r="A647" s="6" t="s">
        <v>951</v>
      </c>
      <c r="B647" s="8">
        <v>1087</v>
      </c>
    </row>
    <row r="648" spans="1:2" x14ac:dyDescent="0.3">
      <c r="A648" s="6" t="s">
        <v>935</v>
      </c>
      <c r="B648" s="8">
        <v>1082</v>
      </c>
    </row>
    <row r="649" spans="1:2" x14ac:dyDescent="0.3">
      <c r="A649" s="6" t="s">
        <v>874</v>
      </c>
      <c r="B649" s="8">
        <v>1079</v>
      </c>
    </row>
    <row r="650" spans="1:2" x14ac:dyDescent="0.3">
      <c r="A650" s="6" t="s">
        <v>551</v>
      </c>
      <c r="B650" s="8">
        <v>1059</v>
      </c>
    </row>
    <row r="651" spans="1:2" x14ac:dyDescent="0.3">
      <c r="A651" s="6" t="s">
        <v>961</v>
      </c>
      <c r="B651" s="8">
        <v>1017</v>
      </c>
    </row>
    <row r="652" spans="1:2" x14ac:dyDescent="0.3">
      <c r="A652" s="6" t="s">
        <v>954</v>
      </c>
      <c r="B652" s="8">
        <v>999</v>
      </c>
    </row>
    <row r="653" spans="1:2" x14ac:dyDescent="0.3">
      <c r="A653" s="6" t="s">
        <v>744</v>
      </c>
      <c r="B653" s="8">
        <v>999</v>
      </c>
    </row>
    <row r="654" spans="1:2" x14ac:dyDescent="0.3">
      <c r="A654" s="6" t="s">
        <v>962</v>
      </c>
      <c r="B654" s="8">
        <v>991</v>
      </c>
    </row>
    <row r="655" spans="1:2" x14ac:dyDescent="0.3">
      <c r="A655" s="6" t="s">
        <v>952</v>
      </c>
      <c r="B655" s="8">
        <v>962</v>
      </c>
    </row>
    <row r="656" spans="1:2" x14ac:dyDescent="0.3">
      <c r="A656" s="6" t="s">
        <v>949</v>
      </c>
      <c r="B656" s="8">
        <v>961</v>
      </c>
    </row>
    <row r="657" spans="1:2" x14ac:dyDescent="0.3">
      <c r="A657" s="6" t="s">
        <v>865</v>
      </c>
      <c r="B657" s="8">
        <v>959</v>
      </c>
    </row>
    <row r="658" spans="1:2" x14ac:dyDescent="0.3">
      <c r="A658" s="6" t="s">
        <v>948</v>
      </c>
      <c r="B658" s="8">
        <v>947</v>
      </c>
    </row>
    <row r="659" spans="1:2" x14ac:dyDescent="0.3">
      <c r="A659" s="6" t="s">
        <v>858</v>
      </c>
      <c r="B659" s="8">
        <v>946</v>
      </c>
    </row>
    <row r="660" spans="1:2" x14ac:dyDescent="0.3">
      <c r="A660" s="6" t="s">
        <v>946</v>
      </c>
      <c r="B660" s="8">
        <v>942</v>
      </c>
    </row>
    <row r="661" spans="1:2" x14ac:dyDescent="0.3">
      <c r="A661" s="6" t="s">
        <v>832</v>
      </c>
      <c r="B661" s="8">
        <v>942</v>
      </c>
    </row>
    <row r="662" spans="1:2" x14ac:dyDescent="0.3">
      <c r="A662" s="6" t="s">
        <v>890</v>
      </c>
      <c r="B662" s="8">
        <v>937</v>
      </c>
    </row>
    <row r="663" spans="1:2" x14ac:dyDescent="0.3">
      <c r="A663" s="6" t="s">
        <v>549</v>
      </c>
      <c r="B663" s="8">
        <v>923</v>
      </c>
    </row>
    <row r="664" spans="1:2" x14ac:dyDescent="0.3">
      <c r="A664" s="6" t="s">
        <v>672</v>
      </c>
      <c r="B664" s="8">
        <v>920</v>
      </c>
    </row>
    <row r="665" spans="1:2" x14ac:dyDescent="0.3">
      <c r="A665" s="6" t="s">
        <v>934</v>
      </c>
      <c r="B665" s="8">
        <v>916</v>
      </c>
    </row>
    <row r="666" spans="1:2" x14ac:dyDescent="0.3">
      <c r="A666" s="6" t="s">
        <v>641</v>
      </c>
      <c r="B666" s="8">
        <v>907</v>
      </c>
    </row>
    <row r="667" spans="1:2" x14ac:dyDescent="0.3">
      <c r="A667" s="6" t="s">
        <v>653</v>
      </c>
      <c r="B667" s="8">
        <v>902</v>
      </c>
    </row>
    <row r="668" spans="1:2" x14ac:dyDescent="0.3">
      <c r="A668" s="6" t="s">
        <v>933</v>
      </c>
      <c r="B668" s="8">
        <v>896</v>
      </c>
    </row>
    <row r="669" spans="1:2" x14ac:dyDescent="0.3">
      <c r="A669" s="6" t="s">
        <v>758</v>
      </c>
      <c r="B669" s="8">
        <v>893</v>
      </c>
    </row>
    <row r="670" spans="1:2" x14ac:dyDescent="0.3">
      <c r="A670" s="6" t="s">
        <v>929</v>
      </c>
      <c r="B670" s="8">
        <v>874</v>
      </c>
    </row>
    <row r="671" spans="1:2" x14ac:dyDescent="0.3">
      <c r="A671" s="6" t="s">
        <v>953</v>
      </c>
      <c r="B671" s="8">
        <v>871</v>
      </c>
    </row>
    <row r="672" spans="1:2" x14ac:dyDescent="0.3">
      <c r="A672" s="6">
        <v>20000</v>
      </c>
      <c r="B672" s="8">
        <v>870</v>
      </c>
    </row>
    <row r="673" spans="1:2" x14ac:dyDescent="0.3">
      <c r="A673" s="6" t="s">
        <v>576</v>
      </c>
      <c r="B673" s="8">
        <v>866</v>
      </c>
    </row>
    <row r="674" spans="1:2" x14ac:dyDescent="0.3">
      <c r="A674" s="6" t="s">
        <v>959</v>
      </c>
      <c r="B674" s="8">
        <v>859</v>
      </c>
    </row>
    <row r="675" spans="1:2" x14ac:dyDescent="0.3">
      <c r="A675" s="6" t="s">
        <v>942</v>
      </c>
      <c r="B675" s="8">
        <v>858</v>
      </c>
    </row>
    <row r="676" spans="1:2" x14ac:dyDescent="0.3">
      <c r="A676" s="6" t="s">
        <v>630</v>
      </c>
      <c r="B676" s="8">
        <v>854</v>
      </c>
    </row>
    <row r="677" spans="1:2" x14ac:dyDescent="0.3">
      <c r="A677" s="6" t="s">
        <v>947</v>
      </c>
      <c r="B677" s="8">
        <v>852</v>
      </c>
    </row>
    <row r="678" spans="1:2" x14ac:dyDescent="0.3">
      <c r="A678" s="6" t="s">
        <v>938</v>
      </c>
      <c r="B678" s="8">
        <v>847</v>
      </c>
    </row>
    <row r="679" spans="1:2" x14ac:dyDescent="0.3">
      <c r="A679" s="6" t="s">
        <v>922</v>
      </c>
      <c r="B679" s="8">
        <v>847</v>
      </c>
    </row>
    <row r="680" spans="1:2" x14ac:dyDescent="0.3">
      <c r="A680" s="6" t="s">
        <v>782</v>
      </c>
      <c r="B680" s="8">
        <v>829</v>
      </c>
    </row>
    <row r="681" spans="1:2" x14ac:dyDescent="0.3">
      <c r="A681" s="6" t="s">
        <v>658</v>
      </c>
      <c r="B681" s="8">
        <v>828</v>
      </c>
    </row>
    <row r="682" spans="1:2" x14ac:dyDescent="0.3">
      <c r="A682" s="6" t="s">
        <v>914</v>
      </c>
      <c r="B682" s="8">
        <v>821</v>
      </c>
    </row>
    <row r="683" spans="1:2" x14ac:dyDescent="0.3">
      <c r="A683" s="6" t="s">
        <v>686</v>
      </c>
      <c r="B683" s="8">
        <v>819</v>
      </c>
    </row>
    <row r="684" spans="1:2" x14ac:dyDescent="0.3">
      <c r="A684" s="6" t="s">
        <v>678</v>
      </c>
      <c r="B684" s="8">
        <v>793</v>
      </c>
    </row>
    <row r="685" spans="1:2" x14ac:dyDescent="0.3">
      <c r="A685" s="6" t="s">
        <v>892</v>
      </c>
      <c r="B685" s="8">
        <v>792</v>
      </c>
    </row>
    <row r="686" spans="1:2" x14ac:dyDescent="0.3">
      <c r="A686" s="6" t="s">
        <v>809</v>
      </c>
      <c r="B686" s="8">
        <v>782</v>
      </c>
    </row>
    <row r="687" spans="1:2" x14ac:dyDescent="0.3">
      <c r="A687" s="6" t="s">
        <v>920</v>
      </c>
      <c r="B687" s="8">
        <v>780</v>
      </c>
    </row>
    <row r="688" spans="1:2" x14ac:dyDescent="0.3">
      <c r="A688" s="6" t="s">
        <v>944</v>
      </c>
      <c r="B688" s="8">
        <v>772</v>
      </c>
    </row>
    <row r="689" spans="1:2" x14ac:dyDescent="0.3">
      <c r="A689" s="6" t="s">
        <v>899</v>
      </c>
      <c r="B689" s="8">
        <v>764</v>
      </c>
    </row>
    <row r="690" spans="1:2" x14ac:dyDescent="0.3">
      <c r="A690" s="6" t="s">
        <v>701</v>
      </c>
      <c r="B690" s="8">
        <v>761</v>
      </c>
    </row>
    <row r="691" spans="1:2" x14ac:dyDescent="0.3">
      <c r="A691" s="6" t="s">
        <v>687</v>
      </c>
      <c r="B691" s="8">
        <v>752</v>
      </c>
    </row>
    <row r="692" spans="1:2" x14ac:dyDescent="0.3">
      <c r="A692" s="6" t="s">
        <v>915</v>
      </c>
      <c r="B692" s="8">
        <v>749</v>
      </c>
    </row>
    <row r="693" spans="1:2" x14ac:dyDescent="0.3">
      <c r="A693" s="6" t="s">
        <v>611</v>
      </c>
      <c r="B693" s="8">
        <v>742</v>
      </c>
    </row>
    <row r="694" spans="1:2" x14ac:dyDescent="0.3">
      <c r="A694" s="6" t="s">
        <v>677</v>
      </c>
      <c r="B694" s="8">
        <v>733</v>
      </c>
    </row>
    <row r="695" spans="1:2" x14ac:dyDescent="0.3">
      <c r="A695" s="6" t="s">
        <v>617</v>
      </c>
      <c r="B695" s="8">
        <v>729</v>
      </c>
    </row>
    <row r="696" spans="1:2" x14ac:dyDescent="0.3">
      <c r="A696" s="6" t="s">
        <v>709</v>
      </c>
      <c r="B696" s="8">
        <v>729</v>
      </c>
    </row>
    <row r="697" spans="1:2" x14ac:dyDescent="0.3">
      <c r="A697" s="6" t="s">
        <v>751</v>
      </c>
      <c r="B697" s="8">
        <v>728</v>
      </c>
    </row>
    <row r="698" spans="1:2" x14ac:dyDescent="0.3">
      <c r="A698" s="6" t="s">
        <v>901</v>
      </c>
      <c r="B698" s="8">
        <v>726</v>
      </c>
    </row>
    <row r="699" spans="1:2" x14ac:dyDescent="0.3">
      <c r="A699" s="6" t="s">
        <v>937</v>
      </c>
      <c r="B699" s="8">
        <v>720</v>
      </c>
    </row>
    <row r="700" spans="1:2" x14ac:dyDescent="0.3">
      <c r="A700" s="6" t="s">
        <v>583</v>
      </c>
      <c r="B700" s="8">
        <v>718</v>
      </c>
    </row>
    <row r="701" spans="1:2" x14ac:dyDescent="0.3">
      <c r="A701" s="6" t="s">
        <v>708</v>
      </c>
      <c r="B701" s="8">
        <v>707</v>
      </c>
    </row>
    <row r="702" spans="1:2" x14ac:dyDescent="0.3">
      <c r="A702" s="6" t="s">
        <v>657</v>
      </c>
      <c r="B702" s="8">
        <v>707</v>
      </c>
    </row>
    <row r="703" spans="1:2" x14ac:dyDescent="0.3">
      <c r="A703" s="6" t="s">
        <v>763</v>
      </c>
      <c r="B703" s="8">
        <v>707</v>
      </c>
    </row>
    <row r="704" spans="1:2" x14ac:dyDescent="0.3">
      <c r="A704" s="6" t="s">
        <v>741</v>
      </c>
      <c r="B704" s="8">
        <v>699</v>
      </c>
    </row>
    <row r="705" spans="1:2" x14ac:dyDescent="0.3">
      <c r="A705" s="6" t="s">
        <v>665</v>
      </c>
      <c r="B705" s="8">
        <v>698</v>
      </c>
    </row>
    <row r="706" spans="1:2" x14ac:dyDescent="0.3">
      <c r="A706" s="6" t="s">
        <v>705</v>
      </c>
      <c r="B706" s="8">
        <v>696</v>
      </c>
    </row>
    <row r="707" spans="1:2" x14ac:dyDescent="0.3">
      <c r="A707" s="6" t="s">
        <v>941</v>
      </c>
      <c r="B707" s="8">
        <v>694</v>
      </c>
    </row>
    <row r="708" spans="1:2" x14ac:dyDescent="0.3">
      <c r="A708" s="6" t="s">
        <v>881</v>
      </c>
      <c r="B708" s="8">
        <v>690</v>
      </c>
    </row>
    <row r="709" spans="1:2" x14ac:dyDescent="0.3">
      <c r="A709" s="6" t="s">
        <v>931</v>
      </c>
      <c r="B709" s="8">
        <v>689</v>
      </c>
    </row>
    <row r="710" spans="1:2" x14ac:dyDescent="0.3">
      <c r="A710" s="6" t="s">
        <v>825</v>
      </c>
      <c r="B710" s="8">
        <v>686</v>
      </c>
    </row>
    <row r="711" spans="1:2" x14ac:dyDescent="0.3">
      <c r="A711" s="6" t="s">
        <v>738</v>
      </c>
      <c r="B711" s="8">
        <v>685</v>
      </c>
    </row>
    <row r="712" spans="1:2" x14ac:dyDescent="0.3">
      <c r="A712" s="6" t="s">
        <v>804</v>
      </c>
      <c r="B712" s="8">
        <v>676</v>
      </c>
    </row>
    <row r="713" spans="1:2" x14ac:dyDescent="0.3">
      <c r="A713" s="6" t="s">
        <v>592</v>
      </c>
      <c r="B713" s="8">
        <v>671</v>
      </c>
    </row>
    <row r="714" spans="1:2" x14ac:dyDescent="0.3">
      <c r="A714" s="6" t="s">
        <v>746</v>
      </c>
      <c r="B714" s="8">
        <v>657</v>
      </c>
    </row>
    <row r="715" spans="1:2" x14ac:dyDescent="0.3">
      <c r="A715" s="6" t="s">
        <v>669</v>
      </c>
      <c r="B715" s="8">
        <v>650</v>
      </c>
    </row>
    <row r="716" spans="1:2" x14ac:dyDescent="0.3">
      <c r="A716" s="6" t="s">
        <v>578</v>
      </c>
      <c r="B716" s="8">
        <v>646</v>
      </c>
    </row>
    <row r="717" spans="1:2" x14ac:dyDescent="0.3">
      <c r="A717" s="6" t="s">
        <v>889</v>
      </c>
      <c r="B717" s="8">
        <v>644</v>
      </c>
    </row>
    <row r="718" spans="1:2" x14ac:dyDescent="0.3">
      <c r="A718" s="6" t="s">
        <v>585</v>
      </c>
      <c r="B718" s="8">
        <v>643</v>
      </c>
    </row>
    <row r="719" spans="1:2" x14ac:dyDescent="0.3">
      <c r="A719" s="6" t="s">
        <v>943</v>
      </c>
      <c r="B719" s="8">
        <v>643</v>
      </c>
    </row>
    <row r="720" spans="1:2" x14ac:dyDescent="0.3">
      <c r="A720" s="6" t="s">
        <v>699</v>
      </c>
      <c r="B720" s="8">
        <v>640</v>
      </c>
    </row>
    <row r="721" spans="1:2" x14ac:dyDescent="0.3">
      <c r="A721" s="6" t="s">
        <v>862</v>
      </c>
      <c r="B721" s="8">
        <v>638</v>
      </c>
    </row>
    <row r="722" spans="1:2" x14ac:dyDescent="0.3">
      <c r="A722" s="6" t="s">
        <v>846</v>
      </c>
      <c r="B722" s="8">
        <v>632</v>
      </c>
    </row>
    <row r="723" spans="1:2" x14ac:dyDescent="0.3">
      <c r="A723" s="6" t="s">
        <v>936</v>
      </c>
      <c r="B723" s="8">
        <v>623</v>
      </c>
    </row>
    <row r="724" spans="1:2" x14ac:dyDescent="0.3">
      <c r="A724" s="6" t="s">
        <v>728</v>
      </c>
      <c r="B724" s="8">
        <v>618</v>
      </c>
    </row>
    <row r="725" spans="1:2" x14ac:dyDescent="0.3">
      <c r="A725" s="6" t="s">
        <v>619</v>
      </c>
      <c r="B725" s="8">
        <v>616</v>
      </c>
    </row>
    <row r="726" spans="1:2" x14ac:dyDescent="0.3">
      <c r="A726" s="6" t="s">
        <v>921</v>
      </c>
      <c r="B726" s="8">
        <v>615</v>
      </c>
    </row>
    <row r="727" spans="1:2" x14ac:dyDescent="0.3">
      <c r="A727" s="6" t="s">
        <v>940</v>
      </c>
      <c r="B727" s="8">
        <v>614</v>
      </c>
    </row>
    <row r="728" spans="1:2" x14ac:dyDescent="0.3">
      <c r="A728" s="6" t="s">
        <v>823</v>
      </c>
      <c r="B728" s="8">
        <v>608</v>
      </c>
    </row>
    <row r="729" spans="1:2" x14ac:dyDescent="0.3">
      <c r="A729" s="6" t="s">
        <v>636</v>
      </c>
      <c r="B729" s="8">
        <v>593</v>
      </c>
    </row>
    <row r="730" spans="1:2" x14ac:dyDescent="0.3">
      <c r="A730" s="6" t="s">
        <v>615</v>
      </c>
      <c r="B730" s="8">
        <v>593</v>
      </c>
    </row>
    <row r="731" spans="1:2" x14ac:dyDescent="0.3">
      <c r="A731" s="6" t="s">
        <v>760</v>
      </c>
      <c r="B731" s="8">
        <v>591</v>
      </c>
    </row>
    <row r="732" spans="1:2" x14ac:dyDescent="0.3">
      <c r="A732" s="6" t="s">
        <v>817</v>
      </c>
      <c r="B732" s="8">
        <v>588</v>
      </c>
    </row>
    <row r="733" spans="1:2" x14ac:dyDescent="0.3">
      <c r="A733" s="6" t="s">
        <v>740</v>
      </c>
      <c r="B733" s="8">
        <v>587</v>
      </c>
    </row>
    <row r="734" spans="1:2" x14ac:dyDescent="0.3">
      <c r="A734" s="6" t="s">
        <v>871</v>
      </c>
      <c r="B734" s="8">
        <v>582</v>
      </c>
    </row>
    <row r="735" spans="1:2" x14ac:dyDescent="0.3">
      <c r="A735" s="6" t="s">
        <v>772</v>
      </c>
      <c r="B735" s="8">
        <v>581</v>
      </c>
    </row>
    <row r="736" spans="1:2" x14ac:dyDescent="0.3">
      <c r="A736" s="6" t="s">
        <v>622</v>
      </c>
      <c r="B736" s="8">
        <v>579</v>
      </c>
    </row>
    <row r="737" spans="1:2" x14ac:dyDescent="0.3">
      <c r="A737" s="6" t="s">
        <v>575</v>
      </c>
      <c r="B737" s="8">
        <v>578</v>
      </c>
    </row>
    <row r="738" spans="1:2" x14ac:dyDescent="0.3">
      <c r="A738" s="6" t="s">
        <v>698</v>
      </c>
      <c r="B738" s="8">
        <v>578</v>
      </c>
    </row>
    <row r="739" spans="1:2" x14ac:dyDescent="0.3">
      <c r="A739" s="6" t="s">
        <v>721</v>
      </c>
      <c r="B739" s="8">
        <v>577</v>
      </c>
    </row>
    <row r="740" spans="1:2" x14ac:dyDescent="0.3">
      <c r="A740" s="6" t="s">
        <v>736</v>
      </c>
      <c r="B740" s="8">
        <v>574</v>
      </c>
    </row>
    <row r="741" spans="1:2" x14ac:dyDescent="0.3">
      <c r="A741" s="6" t="s">
        <v>768</v>
      </c>
      <c r="B741" s="8">
        <v>571</v>
      </c>
    </row>
    <row r="742" spans="1:2" x14ac:dyDescent="0.3">
      <c r="A742" s="6" t="s">
        <v>900</v>
      </c>
      <c r="B742" s="8">
        <v>568</v>
      </c>
    </row>
    <row r="743" spans="1:2" x14ac:dyDescent="0.3">
      <c r="A743" s="6" t="s">
        <v>582</v>
      </c>
      <c r="B743" s="8">
        <v>566</v>
      </c>
    </row>
    <row r="744" spans="1:2" x14ac:dyDescent="0.3">
      <c r="A744" s="6" t="s">
        <v>702</v>
      </c>
      <c r="B744" s="8">
        <v>564</v>
      </c>
    </row>
    <row r="745" spans="1:2" x14ac:dyDescent="0.3">
      <c r="A745" s="6" t="s">
        <v>932</v>
      </c>
      <c r="B745" s="8">
        <v>559</v>
      </c>
    </row>
    <row r="746" spans="1:2" x14ac:dyDescent="0.3">
      <c r="A746" s="6" t="s">
        <v>713</v>
      </c>
      <c r="B746" s="8">
        <v>555</v>
      </c>
    </row>
    <row r="747" spans="1:2" x14ac:dyDescent="0.3">
      <c r="A747" s="6" t="s">
        <v>620</v>
      </c>
      <c r="B747" s="8">
        <v>555</v>
      </c>
    </row>
    <row r="748" spans="1:2" x14ac:dyDescent="0.3">
      <c r="A748" s="6" t="s">
        <v>584</v>
      </c>
      <c r="B748" s="8">
        <v>551</v>
      </c>
    </row>
    <row r="749" spans="1:2" x14ac:dyDescent="0.3">
      <c r="A749" s="6" t="s">
        <v>939</v>
      </c>
      <c r="B749" s="8">
        <v>548</v>
      </c>
    </row>
    <row r="750" spans="1:2" x14ac:dyDescent="0.3">
      <c r="A750" s="6" t="s">
        <v>808</v>
      </c>
      <c r="B750" s="8">
        <v>546</v>
      </c>
    </row>
    <row r="751" spans="1:2" x14ac:dyDescent="0.3">
      <c r="A751" s="6" t="s">
        <v>680</v>
      </c>
      <c r="B751" s="8">
        <v>542</v>
      </c>
    </row>
    <row r="752" spans="1:2" x14ac:dyDescent="0.3">
      <c r="A752" s="6" t="s">
        <v>679</v>
      </c>
      <c r="B752" s="8">
        <v>539</v>
      </c>
    </row>
    <row r="753" spans="1:2" x14ac:dyDescent="0.3">
      <c r="A753" s="6" t="s">
        <v>591</v>
      </c>
      <c r="B753" s="8">
        <v>538</v>
      </c>
    </row>
    <row r="754" spans="1:2" x14ac:dyDescent="0.3">
      <c r="A754" s="6" t="s">
        <v>707</v>
      </c>
      <c r="B754" s="8">
        <v>537</v>
      </c>
    </row>
    <row r="755" spans="1:2" x14ac:dyDescent="0.3">
      <c r="A755" s="6" t="s">
        <v>659</v>
      </c>
      <c r="B755" s="8">
        <v>528</v>
      </c>
    </row>
    <row r="756" spans="1:2" x14ac:dyDescent="0.3">
      <c r="A756" s="6" t="s">
        <v>573</v>
      </c>
      <c r="B756" s="8">
        <v>526</v>
      </c>
    </row>
    <row r="757" spans="1:2" x14ac:dyDescent="0.3">
      <c r="A757" s="6" t="s">
        <v>912</v>
      </c>
      <c r="B757" s="8">
        <v>523</v>
      </c>
    </row>
    <row r="758" spans="1:2" x14ac:dyDescent="0.3">
      <c r="A758" s="6" t="s">
        <v>911</v>
      </c>
      <c r="B758" s="8">
        <v>522</v>
      </c>
    </row>
    <row r="759" spans="1:2" x14ac:dyDescent="0.3">
      <c r="A759" s="6" t="s">
        <v>649</v>
      </c>
      <c r="B759" s="8">
        <v>518</v>
      </c>
    </row>
    <row r="760" spans="1:2" x14ac:dyDescent="0.3">
      <c r="A760" s="6" t="s">
        <v>731</v>
      </c>
      <c r="B760" s="8">
        <v>516</v>
      </c>
    </row>
    <row r="761" spans="1:2" x14ac:dyDescent="0.3">
      <c r="A761" s="6" t="s">
        <v>742</v>
      </c>
      <c r="B761" s="8">
        <v>509</v>
      </c>
    </row>
    <row r="762" spans="1:2" x14ac:dyDescent="0.3">
      <c r="A762" s="6" t="s">
        <v>836</v>
      </c>
      <c r="B762" s="8">
        <v>502</v>
      </c>
    </row>
    <row r="763" spans="1:2" x14ac:dyDescent="0.3">
      <c r="A763" s="6" t="s">
        <v>879</v>
      </c>
      <c r="B763" s="8">
        <v>501</v>
      </c>
    </row>
    <row r="764" spans="1:2" x14ac:dyDescent="0.3">
      <c r="A764" s="6" t="s">
        <v>663</v>
      </c>
      <c r="B764" s="8">
        <v>496</v>
      </c>
    </row>
    <row r="765" spans="1:2" x14ac:dyDescent="0.3">
      <c r="A765" s="6" t="s">
        <v>643</v>
      </c>
      <c r="B765" s="8">
        <v>495</v>
      </c>
    </row>
    <row r="766" spans="1:2" x14ac:dyDescent="0.3">
      <c r="A766" s="6" t="s">
        <v>683</v>
      </c>
      <c r="B766" s="8">
        <v>493</v>
      </c>
    </row>
    <row r="767" spans="1:2" x14ac:dyDescent="0.3">
      <c r="A767" s="6" t="s">
        <v>756</v>
      </c>
      <c r="B767" s="8">
        <v>492</v>
      </c>
    </row>
    <row r="768" spans="1:2" x14ac:dyDescent="0.3">
      <c r="A768" s="6" t="s">
        <v>590</v>
      </c>
      <c r="B768" s="8">
        <v>492</v>
      </c>
    </row>
    <row r="769" spans="1:2" x14ac:dyDescent="0.3">
      <c r="A769" s="6" t="s">
        <v>764</v>
      </c>
      <c r="B769" s="8">
        <v>491</v>
      </c>
    </row>
    <row r="770" spans="1:2" x14ac:dyDescent="0.3">
      <c r="A770" s="6" t="s">
        <v>586</v>
      </c>
      <c r="B770" s="8">
        <v>489</v>
      </c>
    </row>
    <row r="771" spans="1:2" x14ac:dyDescent="0.3">
      <c r="A771" s="6" t="s">
        <v>924</v>
      </c>
      <c r="B771" s="8">
        <v>482</v>
      </c>
    </row>
    <row r="772" spans="1:2" x14ac:dyDescent="0.3">
      <c r="A772" s="6" t="s">
        <v>859</v>
      </c>
      <c r="B772" s="8">
        <v>480</v>
      </c>
    </row>
    <row r="773" spans="1:2" x14ac:dyDescent="0.3">
      <c r="A773" s="6" t="s">
        <v>928</v>
      </c>
      <c r="B773" s="8">
        <v>480</v>
      </c>
    </row>
    <row r="774" spans="1:2" x14ac:dyDescent="0.3">
      <c r="A774" s="6" t="s">
        <v>854</v>
      </c>
      <c r="B774" s="8">
        <v>477</v>
      </c>
    </row>
    <row r="775" spans="1:2" x14ac:dyDescent="0.3">
      <c r="A775" s="6" t="s">
        <v>852</v>
      </c>
      <c r="B775" s="8">
        <v>474</v>
      </c>
    </row>
    <row r="776" spans="1:2" x14ac:dyDescent="0.3">
      <c r="A776" s="6" t="s">
        <v>711</v>
      </c>
      <c r="B776" s="8">
        <v>466</v>
      </c>
    </row>
    <row r="777" spans="1:2" x14ac:dyDescent="0.3">
      <c r="A777" s="6" t="s">
        <v>696</v>
      </c>
      <c r="B777" s="8">
        <v>466</v>
      </c>
    </row>
    <row r="778" spans="1:2" x14ac:dyDescent="0.3">
      <c r="A778" s="6" t="s">
        <v>730</v>
      </c>
      <c r="B778" s="8">
        <v>462</v>
      </c>
    </row>
    <row r="779" spans="1:2" x14ac:dyDescent="0.3">
      <c r="A779" s="6" t="s">
        <v>926</v>
      </c>
      <c r="B779" s="8">
        <v>461</v>
      </c>
    </row>
    <row r="780" spans="1:2" x14ac:dyDescent="0.3">
      <c r="A780" s="6" t="s">
        <v>902</v>
      </c>
      <c r="B780" s="8">
        <v>460</v>
      </c>
    </row>
    <row r="781" spans="1:2" x14ac:dyDescent="0.3">
      <c r="A781" s="6" t="s">
        <v>886</v>
      </c>
      <c r="B781" s="8">
        <v>458</v>
      </c>
    </row>
    <row r="782" spans="1:2" x14ac:dyDescent="0.3">
      <c r="A782" s="6" t="s">
        <v>875</v>
      </c>
      <c r="B782" s="8">
        <v>457</v>
      </c>
    </row>
    <row r="783" spans="1:2" x14ac:dyDescent="0.3">
      <c r="A783" s="6" t="s">
        <v>580</v>
      </c>
      <c r="B783" s="8">
        <v>457</v>
      </c>
    </row>
    <row r="784" spans="1:2" x14ac:dyDescent="0.3">
      <c r="A784" s="6" t="s">
        <v>867</v>
      </c>
      <c r="B784" s="8">
        <v>455</v>
      </c>
    </row>
    <row r="785" spans="1:2" x14ac:dyDescent="0.3">
      <c r="A785" s="6" t="s">
        <v>621</v>
      </c>
      <c r="B785" s="8">
        <v>455</v>
      </c>
    </row>
    <row r="786" spans="1:2" x14ac:dyDescent="0.3">
      <c r="A786" s="6" t="s">
        <v>925</v>
      </c>
      <c r="B786" s="8">
        <v>451</v>
      </c>
    </row>
    <row r="787" spans="1:2" x14ac:dyDescent="0.3">
      <c r="A787" s="6" t="s">
        <v>627</v>
      </c>
      <c r="B787" s="8">
        <v>450</v>
      </c>
    </row>
    <row r="788" spans="1:2" x14ac:dyDescent="0.3">
      <c r="A788" s="6" t="s">
        <v>673</v>
      </c>
      <c r="B788" s="8">
        <v>445</v>
      </c>
    </row>
    <row r="789" spans="1:2" x14ac:dyDescent="0.3">
      <c r="A789" s="6" t="s">
        <v>820</v>
      </c>
      <c r="B789" s="8">
        <v>445</v>
      </c>
    </row>
    <row r="790" spans="1:2" x14ac:dyDescent="0.3">
      <c r="A790" s="6" t="s">
        <v>780</v>
      </c>
      <c r="B790" s="8">
        <v>442</v>
      </c>
    </row>
    <row r="791" spans="1:2" x14ac:dyDescent="0.3">
      <c r="A791" s="6" t="s">
        <v>690</v>
      </c>
      <c r="B791" s="8">
        <v>442</v>
      </c>
    </row>
    <row r="792" spans="1:2" x14ac:dyDescent="0.3">
      <c r="A792" s="6" t="s">
        <v>618</v>
      </c>
      <c r="B792" s="8">
        <v>439</v>
      </c>
    </row>
    <row r="793" spans="1:2" x14ac:dyDescent="0.3">
      <c r="A793" s="6" t="s">
        <v>816</v>
      </c>
      <c r="B793" s="8">
        <v>438</v>
      </c>
    </row>
    <row r="794" spans="1:2" x14ac:dyDescent="0.3">
      <c r="A794" s="6" t="s">
        <v>607</v>
      </c>
      <c r="B794" s="8">
        <v>437</v>
      </c>
    </row>
    <row r="795" spans="1:2" x14ac:dyDescent="0.3">
      <c r="A795" s="6" t="s">
        <v>675</v>
      </c>
      <c r="B795" s="8">
        <v>436</v>
      </c>
    </row>
    <row r="796" spans="1:2" x14ac:dyDescent="0.3">
      <c r="A796" s="6" t="s">
        <v>838</v>
      </c>
      <c r="B796" s="8">
        <v>436</v>
      </c>
    </row>
    <row r="797" spans="1:2" x14ac:dyDescent="0.3">
      <c r="A797" s="6" t="s">
        <v>716</v>
      </c>
      <c r="B797" s="8">
        <v>436</v>
      </c>
    </row>
    <row r="798" spans="1:2" x14ac:dyDescent="0.3">
      <c r="A798" s="6" t="s">
        <v>853</v>
      </c>
      <c r="B798" s="8">
        <v>433</v>
      </c>
    </row>
    <row r="799" spans="1:2" x14ac:dyDescent="0.3">
      <c r="A799" s="6" t="s">
        <v>916</v>
      </c>
      <c r="B799" s="8">
        <v>432</v>
      </c>
    </row>
    <row r="800" spans="1:2" x14ac:dyDescent="0.3">
      <c r="A800" s="6" t="s">
        <v>849</v>
      </c>
      <c r="B800" s="8">
        <v>428</v>
      </c>
    </row>
    <row r="801" spans="1:2" x14ac:dyDescent="0.3">
      <c r="A801" s="6" t="s">
        <v>719</v>
      </c>
      <c r="B801" s="8">
        <v>428</v>
      </c>
    </row>
    <row r="802" spans="1:2" x14ac:dyDescent="0.3">
      <c r="A802" s="6" t="s">
        <v>718</v>
      </c>
      <c r="B802" s="8">
        <v>425</v>
      </c>
    </row>
    <row r="803" spans="1:2" x14ac:dyDescent="0.3">
      <c r="A803" s="6" t="s">
        <v>903</v>
      </c>
      <c r="B803" s="8">
        <v>424</v>
      </c>
    </row>
    <row r="804" spans="1:2" x14ac:dyDescent="0.3">
      <c r="A804" s="6" t="s">
        <v>894</v>
      </c>
      <c r="B804" s="8">
        <v>423</v>
      </c>
    </row>
    <row r="805" spans="1:2" x14ac:dyDescent="0.3">
      <c r="A805" s="6" t="s">
        <v>626</v>
      </c>
      <c r="B805" s="8">
        <v>423</v>
      </c>
    </row>
    <row r="806" spans="1:2" x14ac:dyDescent="0.3">
      <c r="A806" s="6" t="s">
        <v>775</v>
      </c>
      <c r="B806" s="8">
        <v>420</v>
      </c>
    </row>
    <row r="807" spans="1:2" x14ac:dyDescent="0.3">
      <c r="A807" s="6" t="s">
        <v>783</v>
      </c>
      <c r="B807" s="8">
        <v>420</v>
      </c>
    </row>
    <row r="808" spans="1:2" x14ac:dyDescent="0.3">
      <c r="A808" s="6" t="s">
        <v>799</v>
      </c>
      <c r="B808" s="8">
        <v>413</v>
      </c>
    </row>
    <row r="809" spans="1:2" x14ac:dyDescent="0.3">
      <c r="A809" s="6" t="s">
        <v>695</v>
      </c>
      <c r="B809" s="8">
        <v>412</v>
      </c>
    </row>
    <row r="810" spans="1:2" x14ac:dyDescent="0.3">
      <c r="A810" s="6" t="s">
        <v>828</v>
      </c>
      <c r="B810" s="8">
        <v>408</v>
      </c>
    </row>
    <row r="811" spans="1:2" x14ac:dyDescent="0.3">
      <c r="A811" s="6" t="s">
        <v>694</v>
      </c>
      <c r="B811" s="8">
        <v>408</v>
      </c>
    </row>
    <row r="812" spans="1:2" x14ac:dyDescent="0.3">
      <c r="A812" s="6" t="s">
        <v>850</v>
      </c>
      <c r="B812" s="8">
        <v>406</v>
      </c>
    </row>
    <row r="813" spans="1:2" x14ac:dyDescent="0.3">
      <c r="A813" s="6" t="s">
        <v>797</v>
      </c>
      <c r="B813" s="8">
        <v>404</v>
      </c>
    </row>
    <row r="814" spans="1:2" x14ac:dyDescent="0.3">
      <c r="A814" s="6" t="s">
        <v>639</v>
      </c>
      <c r="B814" s="8">
        <v>404</v>
      </c>
    </row>
    <row r="815" spans="1:2" x14ac:dyDescent="0.3">
      <c r="A815" s="6" t="s">
        <v>762</v>
      </c>
      <c r="B815" s="8">
        <v>404</v>
      </c>
    </row>
    <row r="816" spans="1:2" x14ac:dyDescent="0.3">
      <c r="A816" s="6" t="s">
        <v>770</v>
      </c>
      <c r="B816" s="8">
        <v>401</v>
      </c>
    </row>
    <row r="817" spans="1:2" x14ac:dyDescent="0.3">
      <c r="A817" s="6" t="s">
        <v>876</v>
      </c>
      <c r="B817" s="8">
        <v>399</v>
      </c>
    </row>
    <row r="818" spans="1:2" x14ac:dyDescent="0.3">
      <c r="A818" s="6" t="s">
        <v>739</v>
      </c>
      <c r="B818" s="8">
        <v>396</v>
      </c>
    </row>
    <row r="819" spans="1:2" x14ac:dyDescent="0.3">
      <c r="A819" s="6" t="s">
        <v>918</v>
      </c>
      <c r="B819" s="8">
        <v>395</v>
      </c>
    </row>
    <row r="820" spans="1:2" x14ac:dyDescent="0.3">
      <c r="A820" s="6" t="s">
        <v>860</v>
      </c>
      <c r="B820" s="8">
        <v>393</v>
      </c>
    </row>
    <row r="821" spans="1:2" x14ac:dyDescent="0.3">
      <c r="A821" s="6" t="s">
        <v>839</v>
      </c>
      <c r="B821" s="8">
        <v>391</v>
      </c>
    </row>
    <row r="822" spans="1:2" x14ac:dyDescent="0.3">
      <c r="A822" s="6" t="s">
        <v>765</v>
      </c>
      <c r="B822" s="8">
        <v>388</v>
      </c>
    </row>
    <row r="823" spans="1:2" x14ac:dyDescent="0.3">
      <c r="A823" s="6" t="s">
        <v>845</v>
      </c>
      <c r="B823" s="8">
        <v>386</v>
      </c>
    </row>
    <row r="824" spans="1:2" x14ac:dyDescent="0.3">
      <c r="A824" s="6" t="s">
        <v>598</v>
      </c>
      <c r="B824" s="8">
        <v>384</v>
      </c>
    </row>
    <row r="825" spans="1:2" x14ac:dyDescent="0.3">
      <c r="A825" s="6" t="s">
        <v>600</v>
      </c>
      <c r="B825" s="8">
        <v>383</v>
      </c>
    </row>
    <row r="826" spans="1:2" x14ac:dyDescent="0.3">
      <c r="A826" s="6" t="s">
        <v>904</v>
      </c>
      <c r="B826" s="8">
        <v>383</v>
      </c>
    </row>
    <row r="827" spans="1:2" x14ac:dyDescent="0.3">
      <c r="A827" s="6" t="s">
        <v>887</v>
      </c>
      <c r="B827" s="8">
        <v>380</v>
      </c>
    </row>
    <row r="828" spans="1:2" x14ac:dyDescent="0.3">
      <c r="A828" s="6" t="s">
        <v>905</v>
      </c>
      <c r="B828" s="8">
        <v>379</v>
      </c>
    </row>
    <row r="829" spans="1:2" x14ac:dyDescent="0.3">
      <c r="A829" s="6" t="s">
        <v>671</v>
      </c>
      <c r="B829" s="8">
        <v>379</v>
      </c>
    </row>
    <row r="830" spans="1:2" x14ac:dyDescent="0.3">
      <c r="A830" s="6" t="s">
        <v>735</v>
      </c>
      <c r="B830" s="8">
        <v>377</v>
      </c>
    </row>
    <row r="831" spans="1:2" x14ac:dyDescent="0.3">
      <c r="A831" s="6" t="s">
        <v>821</v>
      </c>
      <c r="B831" s="8">
        <v>375</v>
      </c>
    </row>
    <row r="832" spans="1:2" x14ac:dyDescent="0.3">
      <c r="A832" s="6" t="s">
        <v>882</v>
      </c>
      <c r="B832" s="8">
        <v>374</v>
      </c>
    </row>
    <row r="833" spans="1:2" x14ac:dyDescent="0.3">
      <c r="A833" s="6" t="s">
        <v>593</v>
      </c>
      <c r="B833" s="8">
        <v>374</v>
      </c>
    </row>
    <row r="834" spans="1:2" x14ac:dyDescent="0.3">
      <c r="A834" s="6" t="s">
        <v>652</v>
      </c>
      <c r="B834" s="8">
        <v>374</v>
      </c>
    </row>
    <row r="835" spans="1:2" x14ac:dyDescent="0.3">
      <c r="A835" s="6" t="s">
        <v>676</v>
      </c>
      <c r="B835" s="8">
        <v>373</v>
      </c>
    </row>
    <row r="836" spans="1:2" x14ac:dyDescent="0.3">
      <c r="A836" s="6" t="s">
        <v>861</v>
      </c>
      <c r="B836" s="8">
        <v>371</v>
      </c>
    </row>
    <row r="837" spans="1:2" x14ac:dyDescent="0.3">
      <c r="A837" s="6" t="s">
        <v>724</v>
      </c>
      <c r="B837" s="8">
        <v>370</v>
      </c>
    </row>
    <row r="838" spans="1:2" x14ac:dyDescent="0.3">
      <c r="A838" s="6" t="s">
        <v>910</v>
      </c>
      <c r="B838" s="8">
        <v>369</v>
      </c>
    </row>
    <row r="839" spans="1:2" x14ac:dyDescent="0.3">
      <c r="A839" s="6" t="s">
        <v>654</v>
      </c>
      <c r="B839" s="8">
        <v>368</v>
      </c>
    </row>
    <row r="840" spans="1:2" x14ac:dyDescent="0.3">
      <c r="A840" s="6" t="s">
        <v>784</v>
      </c>
      <c r="B840" s="8">
        <v>366</v>
      </c>
    </row>
    <row r="841" spans="1:2" x14ac:dyDescent="0.3">
      <c r="A841" s="6" t="s">
        <v>906</v>
      </c>
      <c r="B841" s="8">
        <v>364</v>
      </c>
    </row>
    <row r="842" spans="1:2" x14ac:dyDescent="0.3">
      <c r="A842" s="6" t="s">
        <v>857</v>
      </c>
      <c r="B842" s="8">
        <v>361</v>
      </c>
    </row>
    <row r="843" spans="1:2" x14ac:dyDescent="0.3">
      <c r="A843" s="6" t="s">
        <v>868</v>
      </c>
      <c r="B843" s="8">
        <v>360</v>
      </c>
    </row>
    <row r="844" spans="1:2" x14ac:dyDescent="0.3">
      <c r="A844" s="6" t="s">
        <v>761</v>
      </c>
      <c r="B844" s="8">
        <v>358</v>
      </c>
    </row>
    <row r="845" spans="1:2" x14ac:dyDescent="0.3">
      <c r="A845" s="6" t="s">
        <v>752</v>
      </c>
      <c r="B845" s="8">
        <v>357</v>
      </c>
    </row>
    <row r="846" spans="1:2" x14ac:dyDescent="0.3">
      <c r="A846" s="6" t="s">
        <v>792</v>
      </c>
      <c r="B846" s="8">
        <v>356</v>
      </c>
    </row>
    <row r="847" spans="1:2" x14ac:dyDescent="0.3">
      <c r="A847" s="6" t="s">
        <v>909</v>
      </c>
      <c r="B847" s="8">
        <v>356</v>
      </c>
    </row>
    <row r="848" spans="1:2" x14ac:dyDescent="0.3">
      <c r="A848" s="6" t="s">
        <v>835</v>
      </c>
      <c r="B848" s="8">
        <v>350</v>
      </c>
    </row>
    <row r="849" spans="1:2" x14ac:dyDescent="0.3">
      <c r="A849" s="6" t="s">
        <v>913</v>
      </c>
      <c r="B849" s="8">
        <v>350</v>
      </c>
    </row>
    <row r="850" spans="1:2" x14ac:dyDescent="0.3">
      <c r="A850" s="6" t="s">
        <v>789</v>
      </c>
      <c r="B850" s="8">
        <v>348</v>
      </c>
    </row>
    <row r="851" spans="1:2" x14ac:dyDescent="0.3">
      <c r="A851" s="6" t="s">
        <v>919</v>
      </c>
      <c r="B851" s="8">
        <v>347</v>
      </c>
    </row>
    <row r="852" spans="1:2" x14ac:dyDescent="0.3">
      <c r="A852" s="6" t="s">
        <v>897</v>
      </c>
      <c r="B852" s="8">
        <v>347</v>
      </c>
    </row>
    <row r="853" spans="1:2" x14ac:dyDescent="0.3">
      <c r="A853" s="6" t="s">
        <v>603</v>
      </c>
      <c r="B853" s="8">
        <v>345</v>
      </c>
    </row>
    <row r="854" spans="1:2" x14ac:dyDescent="0.3">
      <c r="A854" s="6" t="s">
        <v>750</v>
      </c>
      <c r="B854" s="8">
        <v>344</v>
      </c>
    </row>
    <row r="855" spans="1:2" x14ac:dyDescent="0.3">
      <c r="A855" s="6" t="s">
        <v>703</v>
      </c>
      <c r="B855" s="8">
        <v>343</v>
      </c>
    </row>
    <row r="856" spans="1:2" x14ac:dyDescent="0.3">
      <c r="A856" s="6" t="s">
        <v>667</v>
      </c>
      <c r="B856" s="8">
        <v>340</v>
      </c>
    </row>
    <row r="857" spans="1:2" x14ac:dyDescent="0.3">
      <c r="A857" s="6" t="s">
        <v>793</v>
      </c>
      <c r="B857" s="8">
        <v>340</v>
      </c>
    </row>
    <row r="858" spans="1:2" x14ac:dyDescent="0.3">
      <c r="A858" s="6" t="s">
        <v>727</v>
      </c>
      <c r="B858" s="8">
        <v>338</v>
      </c>
    </row>
    <row r="859" spans="1:2" x14ac:dyDescent="0.3">
      <c r="A859" s="6" t="s">
        <v>668</v>
      </c>
      <c r="B859" s="8">
        <v>337</v>
      </c>
    </row>
    <row r="860" spans="1:2" x14ac:dyDescent="0.3">
      <c r="A860" s="6" t="s">
        <v>787</v>
      </c>
      <c r="B860" s="8">
        <v>337</v>
      </c>
    </row>
    <row r="861" spans="1:2" x14ac:dyDescent="0.3">
      <c r="A861" s="6" t="s">
        <v>908</v>
      </c>
      <c r="B861" s="8">
        <v>335</v>
      </c>
    </row>
    <row r="862" spans="1:2" x14ac:dyDescent="0.3">
      <c r="A862" s="6" t="s">
        <v>898</v>
      </c>
      <c r="B862" s="8">
        <v>335</v>
      </c>
    </row>
    <row r="863" spans="1:2" x14ac:dyDescent="0.3">
      <c r="A863" s="6" t="s">
        <v>631</v>
      </c>
      <c r="B863" s="8">
        <v>333</v>
      </c>
    </row>
    <row r="864" spans="1:2" x14ac:dyDescent="0.3">
      <c r="A864" s="6" t="s">
        <v>844</v>
      </c>
      <c r="B864" s="8">
        <v>330</v>
      </c>
    </row>
    <row r="865" spans="1:2" x14ac:dyDescent="0.3">
      <c r="A865" s="6" t="s">
        <v>605</v>
      </c>
      <c r="B865" s="8">
        <v>329</v>
      </c>
    </row>
    <row r="866" spans="1:2" x14ac:dyDescent="0.3">
      <c r="A866" s="6" t="s">
        <v>814</v>
      </c>
      <c r="B866" s="8">
        <v>327</v>
      </c>
    </row>
    <row r="867" spans="1:2" x14ac:dyDescent="0.3">
      <c r="A867" s="6" t="s">
        <v>661</v>
      </c>
      <c r="B867" s="8">
        <v>325</v>
      </c>
    </row>
    <row r="868" spans="1:2" x14ac:dyDescent="0.3">
      <c r="A868" s="6" t="s">
        <v>704</v>
      </c>
      <c r="B868" s="8">
        <v>325</v>
      </c>
    </row>
    <row r="869" spans="1:2" x14ac:dyDescent="0.3">
      <c r="A869" s="6" t="s">
        <v>594</v>
      </c>
      <c r="B869" s="8">
        <v>318</v>
      </c>
    </row>
    <row r="870" spans="1:2" x14ac:dyDescent="0.3">
      <c r="A870" s="6" t="s">
        <v>822</v>
      </c>
      <c r="B870" s="8">
        <v>317</v>
      </c>
    </row>
    <row r="871" spans="1:2" x14ac:dyDescent="0.3">
      <c r="A871" s="6" t="s">
        <v>813</v>
      </c>
      <c r="B871" s="8">
        <v>317</v>
      </c>
    </row>
    <row r="872" spans="1:2" x14ac:dyDescent="0.3">
      <c r="A872" s="6" t="s">
        <v>660</v>
      </c>
      <c r="B872" s="8">
        <v>316</v>
      </c>
    </row>
    <row r="873" spans="1:2" x14ac:dyDescent="0.3">
      <c r="A873" s="6" t="s">
        <v>796</v>
      </c>
      <c r="B873" s="8">
        <v>315</v>
      </c>
    </row>
    <row r="874" spans="1:2" x14ac:dyDescent="0.3">
      <c r="A874" s="6" t="s">
        <v>884</v>
      </c>
      <c r="B874" s="8">
        <v>315</v>
      </c>
    </row>
    <row r="875" spans="1:2" x14ac:dyDescent="0.3">
      <c r="A875" s="6" t="s">
        <v>864</v>
      </c>
      <c r="B875" s="8">
        <v>315</v>
      </c>
    </row>
    <row r="876" spans="1:2" x14ac:dyDescent="0.3">
      <c r="A876" s="6" t="s">
        <v>877</v>
      </c>
      <c r="B876" s="8">
        <v>313</v>
      </c>
    </row>
    <row r="877" spans="1:2" x14ac:dyDescent="0.3">
      <c r="A877" s="6" t="s">
        <v>907</v>
      </c>
      <c r="B877" s="8">
        <v>313</v>
      </c>
    </row>
    <row r="878" spans="1:2" x14ac:dyDescent="0.3">
      <c r="A878" s="6" t="s">
        <v>628</v>
      </c>
      <c r="B878" s="8">
        <v>311</v>
      </c>
    </row>
    <row r="879" spans="1:2" x14ac:dyDescent="0.3">
      <c r="A879" s="6" t="s">
        <v>700</v>
      </c>
      <c r="B879" s="8">
        <v>310</v>
      </c>
    </row>
    <row r="880" spans="1:2" x14ac:dyDescent="0.3">
      <c r="A880" s="6" t="s">
        <v>693</v>
      </c>
      <c r="B880" s="8">
        <v>309</v>
      </c>
    </row>
    <row r="881" spans="1:2" x14ac:dyDescent="0.3">
      <c r="A881" s="6" t="s">
        <v>710</v>
      </c>
      <c r="B881" s="8">
        <v>308</v>
      </c>
    </row>
    <row r="882" spans="1:2" x14ac:dyDescent="0.3">
      <c r="A882" s="6" t="s">
        <v>834</v>
      </c>
      <c r="B882" s="8">
        <v>302</v>
      </c>
    </row>
    <row r="883" spans="1:2" x14ac:dyDescent="0.3">
      <c r="A883" s="6" t="s">
        <v>723</v>
      </c>
      <c r="B883" s="8">
        <v>301</v>
      </c>
    </row>
    <row r="884" spans="1:2" x14ac:dyDescent="0.3">
      <c r="A884" s="6" t="s">
        <v>786</v>
      </c>
      <c r="B884" s="8">
        <v>300</v>
      </c>
    </row>
    <row r="885" spans="1:2" x14ac:dyDescent="0.3">
      <c r="A885" s="6" t="s">
        <v>895</v>
      </c>
      <c r="B885" s="8">
        <v>300</v>
      </c>
    </row>
    <row r="886" spans="1:2" x14ac:dyDescent="0.3">
      <c r="A886" s="6" t="s">
        <v>733</v>
      </c>
      <c r="B886" s="8">
        <v>300</v>
      </c>
    </row>
    <row r="887" spans="1:2" x14ac:dyDescent="0.3">
      <c r="A887" s="6" t="s">
        <v>644</v>
      </c>
      <c r="B887" s="8">
        <v>294</v>
      </c>
    </row>
    <row r="888" spans="1:2" x14ac:dyDescent="0.3">
      <c r="A888" s="6" t="s">
        <v>608</v>
      </c>
      <c r="B888" s="8">
        <v>293</v>
      </c>
    </row>
    <row r="889" spans="1:2" x14ac:dyDescent="0.3">
      <c r="A889" s="6" t="s">
        <v>869</v>
      </c>
      <c r="B889" s="8">
        <v>292</v>
      </c>
    </row>
    <row r="890" spans="1:2" x14ac:dyDescent="0.3">
      <c r="A890" s="6" t="s">
        <v>637</v>
      </c>
      <c r="B890" s="8">
        <v>292</v>
      </c>
    </row>
    <row r="891" spans="1:2" x14ac:dyDescent="0.3">
      <c r="A891" s="6" t="s">
        <v>632</v>
      </c>
      <c r="B891" s="8">
        <v>291</v>
      </c>
    </row>
    <row r="892" spans="1:2" x14ac:dyDescent="0.3">
      <c r="A892" s="6" t="s">
        <v>830</v>
      </c>
      <c r="B892" s="8">
        <v>290</v>
      </c>
    </row>
    <row r="893" spans="1:2" x14ac:dyDescent="0.3">
      <c r="A893" s="6" t="s">
        <v>773</v>
      </c>
      <c r="B893" s="8">
        <v>288</v>
      </c>
    </row>
    <row r="894" spans="1:2" x14ac:dyDescent="0.3">
      <c r="A894" s="6" t="s">
        <v>794</v>
      </c>
      <c r="B894" s="8">
        <v>284</v>
      </c>
    </row>
    <row r="895" spans="1:2" x14ac:dyDescent="0.3">
      <c r="A895" s="6" t="s">
        <v>656</v>
      </c>
      <c r="B895" s="8">
        <v>284</v>
      </c>
    </row>
    <row r="896" spans="1:2" x14ac:dyDescent="0.3">
      <c r="A896" s="6" t="s">
        <v>609</v>
      </c>
      <c r="B896" s="8">
        <v>282</v>
      </c>
    </row>
    <row r="897" spans="1:2" x14ac:dyDescent="0.3">
      <c r="A897" s="6" t="s">
        <v>666</v>
      </c>
      <c r="B897" s="8">
        <v>282</v>
      </c>
    </row>
    <row r="898" spans="1:2" x14ac:dyDescent="0.3">
      <c r="A898" s="6" t="s">
        <v>682</v>
      </c>
      <c r="B898" s="8">
        <v>282</v>
      </c>
    </row>
    <row r="899" spans="1:2" x14ac:dyDescent="0.3">
      <c r="A899" s="6" t="s">
        <v>722</v>
      </c>
      <c r="B899" s="8">
        <v>281</v>
      </c>
    </row>
    <row r="900" spans="1:2" x14ac:dyDescent="0.3">
      <c r="A900" s="6" t="s">
        <v>714</v>
      </c>
      <c r="B900" s="8">
        <v>278</v>
      </c>
    </row>
    <row r="901" spans="1:2" x14ac:dyDescent="0.3">
      <c r="A901" s="6" t="s">
        <v>602</v>
      </c>
      <c r="B901" s="8">
        <v>277</v>
      </c>
    </row>
    <row r="902" spans="1:2" x14ac:dyDescent="0.3">
      <c r="A902" s="6" t="s">
        <v>642</v>
      </c>
      <c r="B902" s="8">
        <v>273</v>
      </c>
    </row>
    <row r="903" spans="1:2" x14ac:dyDescent="0.3">
      <c r="A903" s="6" t="s">
        <v>866</v>
      </c>
      <c r="B903" s="8">
        <v>272</v>
      </c>
    </row>
    <row r="904" spans="1:2" x14ac:dyDescent="0.3">
      <c r="A904" s="6" t="s">
        <v>715</v>
      </c>
      <c r="B904" s="8">
        <v>271</v>
      </c>
    </row>
    <row r="905" spans="1:2" x14ac:dyDescent="0.3">
      <c r="A905" s="6" t="s">
        <v>664</v>
      </c>
      <c r="B905" s="8">
        <v>271</v>
      </c>
    </row>
    <row r="906" spans="1:2" x14ac:dyDescent="0.3">
      <c r="A906" s="6" t="s">
        <v>737</v>
      </c>
      <c r="B906" s="8">
        <v>268</v>
      </c>
    </row>
    <row r="907" spans="1:2" x14ac:dyDescent="0.3">
      <c r="A907" s="6" t="s">
        <v>706</v>
      </c>
      <c r="B907" s="8">
        <v>267</v>
      </c>
    </row>
    <row r="908" spans="1:2" x14ac:dyDescent="0.3">
      <c r="A908" s="6" t="s">
        <v>843</v>
      </c>
      <c r="B908" s="8">
        <v>267</v>
      </c>
    </row>
    <row r="909" spans="1:2" x14ac:dyDescent="0.3">
      <c r="A909" s="6" t="s">
        <v>778</v>
      </c>
      <c r="B909" s="8">
        <v>265</v>
      </c>
    </row>
    <row r="910" spans="1:2" x14ac:dyDescent="0.3">
      <c r="A910" s="6" t="s">
        <v>745</v>
      </c>
      <c r="B910" s="8">
        <v>265</v>
      </c>
    </row>
    <row r="911" spans="1:2" x14ac:dyDescent="0.3">
      <c r="A911" s="6" t="s">
        <v>757</v>
      </c>
      <c r="B911" s="8">
        <v>264</v>
      </c>
    </row>
    <row r="912" spans="1:2" x14ac:dyDescent="0.3">
      <c r="A912" s="6" t="s">
        <v>743</v>
      </c>
      <c r="B912" s="8">
        <v>262</v>
      </c>
    </row>
    <row r="913" spans="1:2" x14ac:dyDescent="0.3">
      <c r="A913" s="6" t="s">
        <v>829</v>
      </c>
      <c r="B913" s="8">
        <v>259</v>
      </c>
    </row>
    <row r="914" spans="1:2" x14ac:dyDescent="0.3">
      <c r="A914" s="6" t="s">
        <v>831</v>
      </c>
      <c r="B914" s="8">
        <v>256</v>
      </c>
    </row>
    <row r="915" spans="1:2" x14ac:dyDescent="0.3">
      <c r="A915" s="6" t="s">
        <v>819</v>
      </c>
      <c r="B915" s="8">
        <v>256</v>
      </c>
    </row>
    <row r="916" spans="1:2" x14ac:dyDescent="0.3">
      <c r="A916" s="6" t="s">
        <v>826</v>
      </c>
      <c r="B916" s="8">
        <v>255</v>
      </c>
    </row>
    <row r="917" spans="1:2" x14ac:dyDescent="0.3">
      <c r="A917" s="6" t="s">
        <v>613</v>
      </c>
      <c r="B917" s="8">
        <v>255</v>
      </c>
    </row>
    <row r="918" spans="1:2" x14ac:dyDescent="0.3">
      <c r="A918" s="6" t="s">
        <v>785</v>
      </c>
      <c r="B918" s="8">
        <v>255</v>
      </c>
    </row>
    <row r="919" spans="1:2" x14ac:dyDescent="0.3">
      <c r="A919" s="6" t="s">
        <v>880</v>
      </c>
      <c r="B919" s="8">
        <v>255</v>
      </c>
    </row>
    <row r="920" spans="1:2" x14ac:dyDescent="0.3">
      <c r="A920" s="6" t="s">
        <v>788</v>
      </c>
      <c r="B920" s="8">
        <v>253</v>
      </c>
    </row>
    <row r="921" spans="1:2" x14ac:dyDescent="0.3">
      <c r="A921" s="6" t="s">
        <v>776</v>
      </c>
      <c r="B921" s="8">
        <v>252</v>
      </c>
    </row>
    <row r="922" spans="1:2" x14ac:dyDescent="0.3">
      <c r="A922" s="6" t="s">
        <v>612</v>
      </c>
      <c r="B922" s="8">
        <v>251</v>
      </c>
    </row>
    <row r="923" spans="1:2" x14ac:dyDescent="0.3">
      <c r="A923" s="6" t="s">
        <v>747</v>
      </c>
      <c r="B923" s="8">
        <v>249</v>
      </c>
    </row>
    <row r="924" spans="1:2" x14ac:dyDescent="0.3">
      <c r="A924" s="6" t="s">
        <v>589</v>
      </c>
      <c r="B924" s="8">
        <v>248</v>
      </c>
    </row>
    <row r="925" spans="1:2" x14ac:dyDescent="0.3">
      <c r="A925" s="6" t="s">
        <v>795</v>
      </c>
      <c r="B925" s="8">
        <v>246</v>
      </c>
    </row>
    <row r="926" spans="1:2" x14ac:dyDescent="0.3">
      <c r="A926" s="6" t="s">
        <v>863</v>
      </c>
      <c r="B926" s="8">
        <v>244</v>
      </c>
    </row>
    <row r="927" spans="1:2" x14ac:dyDescent="0.3">
      <c r="A927" s="6" t="s">
        <v>842</v>
      </c>
      <c r="B927" s="8">
        <v>242</v>
      </c>
    </row>
    <row r="928" spans="1:2" x14ac:dyDescent="0.3">
      <c r="A928" s="6" t="s">
        <v>650</v>
      </c>
      <c r="B928" s="8">
        <v>242</v>
      </c>
    </row>
    <row r="929" spans="1:2" x14ac:dyDescent="0.3">
      <c r="A929" s="6" t="s">
        <v>801</v>
      </c>
      <c r="B929" s="8">
        <v>240</v>
      </c>
    </row>
    <row r="930" spans="1:2" x14ac:dyDescent="0.3">
      <c r="A930" s="6" t="s">
        <v>878</v>
      </c>
      <c r="B930" s="8">
        <v>240</v>
      </c>
    </row>
    <row r="931" spans="1:2" x14ac:dyDescent="0.3">
      <c r="A931" s="6" t="s">
        <v>818</v>
      </c>
      <c r="B931" s="8">
        <v>238</v>
      </c>
    </row>
    <row r="932" spans="1:2" x14ac:dyDescent="0.3">
      <c r="A932" s="6" t="s">
        <v>848</v>
      </c>
      <c r="B932" s="8">
        <v>236</v>
      </c>
    </row>
    <row r="933" spans="1:2" x14ac:dyDescent="0.3">
      <c r="A933" s="6" t="s">
        <v>833</v>
      </c>
      <c r="B933" s="8">
        <v>236</v>
      </c>
    </row>
    <row r="934" spans="1:2" x14ac:dyDescent="0.3">
      <c r="A934" s="6" t="s">
        <v>681</v>
      </c>
      <c r="B934" s="8">
        <v>235</v>
      </c>
    </row>
    <row r="935" spans="1:2" x14ac:dyDescent="0.3">
      <c r="A935" s="6" t="s">
        <v>798</v>
      </c>
      <c r="B935" s="8">
        <v>234</v>
      </c>
    </row>
    <row r="936" spans="1:2" x14ac:dyDescent="0.3">
      <c r="A936" s="6" t="s">
        <v>755</v>
      </c>
      <c r="B936" s="8">
        <v>233</v>
      </c>
    </row>
    <row r="937" spans="1:2" x14ac:dyDescent="0.3">
      <c r="A937" s="6" t="s">
        <v>855</v>
      </c>
      <c r="B937" s="8">
        <v>229</v>
      </c>
    </row>
    <row r="938" spans="1:2" x14ac:dyDescent="0.3">
      <c r="A938" s="6" t="s">
        <v>712</v>
      </c>
      <c r="B938" s="8">
        <v>227</v>
      </c>
    </row>
    <row r="939" spans="1:2" x14ac:dyDescent="0.3">
      <c r="A939" s="6" t="s">
        <v>717</v>
      </c>
      <c r="B939" s="8">
        <v>227</v>
      </c>
    </row>
    <row r="940" spans="1:2" x14ac:dyDescent="0.3">
      <c r="A940" s="6" t="s">
        <v>815</v>
      </c>
      <c r="B940" s="8">
        <v>227</v>
      </c>
    </row>
    <row r="941" spans="1:2" x14ac:dyDescent="0.3">
      <c r="A941" s="6" t="s">
        <v>811</v>
      </c>
      <c r="B941" s="8">
        <v>226</v>
      </c>
    </row>
    <row r="942" spans="1:2" x14ac:dyDescent="0.3">
      <c r="A942" s="6" t="s">
        <v>684</v>
      </c>
      <c r="B942" s="8">
        <v>226</v>
      </c>
    </row>
    <row r="943" spans="1:2" x14ac:dyDescent="0.3">
      <c r="A943" s="6" t="s">
        <v>810</v>
      </c>
      <c r="B943" s="8">
        <v>226</v>
      </c>
    </row>
    <row r="944" spans="1:2" x14ac:dyDescent="0.3">
      <c r="A944" s="6" t="s">
        <v>767</v>
      </c>
      <c r="B944" s="8">
        <v>225</v>
      </c>
    </row>
    <row r="945" spans="1:2" x14ac:dyDescent="0.3">
      <c r="A945" s="6" t="s">
        <v>774</v>
      </c>
      <c r="B945" s="8">
        <v>225</v>
      </c>
    </row>
    <row r="946" spans="1:2" x14ac:dyDescent="0.3">
      <c r="A946" s="6" t="s">
        <v>856</v>
      </c>
      <c r="B946" s="8">
        <v>223</v>
      </c>
    </row>
    <row r="947" spans="1:2" x14ac:dyDescent="0.3">
      <c r="A947" s="6" t="s">
        <v>646</v>
      </c>
      <c r="B947" s="8">
        <v>222</v>
      </c>
    </row>
    <row r="948" spans="1:2" x14ac:dyDescent="0.3">
      <c r="A948" s="6" t="s">
        <v>791</v>
      </c>
      <c r="B948" s="8">
        <v>219</v>
      </c>
    </row>
    <row r="949" spans="1:2" x14ac:dyDescent="0.3">
      <c r="A949" s="6" t="s">
        <v>781</v>
      </c>
      <c r="B949" s="8">
        <v>217</v>
      </c>
    </row>
    <row r="950" spans="1:2" x14ac:dyDescent="0.3">
      <c r="A950" s="6" t="s">
        <v>827</v>
      </c>
      <c r="B950" s="8">
        <v>216</v>
      </c>
    </row>
    <row r="951" spans="1:2" x14ac:dyDescent="0.3">
      <c r="A951" s="6" t="s">
        <v>847</v>
      </c>
      <c r="B951" s="8">
        <v>216</v>
      </c>
    </row>
    <row r="952" spans="1:2" x14ac:dyDescent="0.3">
      <c r="A952" s="6" t="s">
        <v>806</v>
      </c>
      <c r="B952" s="8">
        <v>213</v>
      </c>
    </row>
    <row r="953" spans="1:2" x14ac:dyDescent="0.3">
      <c r="A953" s="6" t="s">
        <v>647</v>
      </c>
      <c r="B953" s="8">
        <v>210</v>
      </c>
    </row>
    <row r="954" spans="1:2" x14ac:dyDescent="0.3">
      <c r="A954" s="6" t="s">
        <v>805</v>
      </c>
      <c r="B954" s="8">
        <v>209</v>
      </c>
    </row>
    <row r="955" spans="1:2" x14ac:dyDescent="0.3">
      <c r="A955" s="6" t="s">
        <v>734</v>
      </c>
      <c r="B955" s="8">
        <v>205</v>
      </c>
    </row>
    <row r="956" spans="1:2" x14ac:dyDescent="0.3">
      <c r="A956" s="6" t="s">
        <v>873</v>
      </c>
      <c r="B956" s="8">
        <v>199</v>
      </c>
    </row>
    <row r="957" spans="1:2" x14ac:dyDescent="0.3">
      <c r="A957" s="6" t="s">
        <v>610</v>
      </c>
      <c r="B957" s="8">
        <v>198</v>
      </c>
    </row>
    <row r="958" spans="1:2" x14ac:dyDescent="0.3">
      <c r="A958" s="6" t="s">
        <v>840</v>
      </c>
      <c r="B958" s="8">
        <v>197</v>
      </c>
    </row>
    <row r="959" spans="1:2" x14ac:dyDescent="0.3">
      <c r="A959" s="6" t="s">
        <v>802</v>
      </c>
      <c r="B959" s="8">
        <v>197</v>
      </c>
    </row>
    <row r="960" spans="1:2" x14ac:dyDescent="0.3">
      <c r="A960" s="6" t="s">
        <v>697</v>
      </c>
      <c r="B960" s="8">
        <v>197</v>
      </c>
    </row>
    <row r="961" spans="1:2" x14ac:dyDescent="0.3">
      <c r="A961" s="6" t="s">
        <v>837</v>
      </c>
      <c r="B961" s="8">
        <v>195</v>
      </c>
    </row>
    <row r="962" spans="1:2" x14ac:dyDescent="0.3">
      <c r="A962" s="6" t="s">
        <v>720</v>
      </c>
      <c r="B962" s="8">
        <v>194</v>
      </c>
    </row>
    <row r="963" spans="1:2" x14ac:dyDescent="0.3">
      <c r="A963" s="6" t="s">
        <v>640</v>
      </c>
      <c r="B963" s="8">
        <v>191</v>
      </c>
    </row>
    <row r="964" spans="1:2" x14ac:dyDescent="0.3">
      <c r="A964" s="6" t="s">
        <v>771</v>
      </c>
      <c r="B964" s="8">
        <v>191</v>
      </c>
    </row>
    <row r="965" spans="1:2" x14ac:dyDescent="0.3">
      <c r="A965" s="6" t="s">
        <v>779</v>
      </c>
      <c r="B965" s="8">
        <v>188</v>
      </c>
    </row>
    <row r="966" spans="1:2" x14ac:dyDescent="0.3">
      <c r="A966" s="6" t="s">
        <v>790</v>
      </c>
      <c r="B966" s="8">
        <v>188</v>
      </c>
    </row>
    <row r="967" spans="1:2" x14ac:dyDescent="0.3">
      <c r="A967" s="6" t="s">
        <v>766</v>
      </c>
      <c r="B967" s="8">
        <v>187</v>
      </c>
    </row>
    <row r="968" spans="1:2" x14ac:dyDescent="0.3">
      <c r="A968" s="6" t="s">
        <v>841</v>
      </c>
      <c r="B968" s="8">
        <v>184</v>
      </c>
    </row>
    <row r="969" spans="1:2" x14ac:dyDescent="0.3">
      <c r="A969" s="6" t="s">
        <v>689</v>
      </c>
      <c r="B969" s="8">
        <v>184</v>
      </c>
    </row>
    <row r="970" spans="1:2" x14ac:dyDescent="0.3">
      <c r="A970" s="6" t="s">
        <v>691</v>
      </c>
      <c r="B970" s="8">
        <v>184</v>
      </c>
    </row>
    <row r="971" spans="1:2" x14ac:dyDescent="0.3">
      <c r="A971" s="6" t="s">
        <v>749</v>
      </c>
      <c r="B971" s="8">
        <v>183</v>
      </c>
    </row>
    <row r="972" spans="1:2" x14ac:dyDescent="0.3">
      <c r="A972" s="6" t="s">
        <v>824</v>
      </c>
      <c r="B972" s="8">
        <v>183</v>
      </c>
    </row>
    <row r="973" spans="1:2" x14ac:dyDescent="0.3">
      <c r="A973" s="6" t="s">
        <v>748</v>
      </c>
      <c r="B973" s="8">
        <v>181</v>
      </c>
    </row>
    <row r="974" spans="1:2" x14ac:dyDescent="0.3">
      <c r="A974" s="6" t="s">
        <v>851</v>
      </c>
      <c r="B974" s="8">
        <v>180</v>
      </c>
    </row>
    <row r="975" spans="1:2" x14ac:dyDescent="0.3">
      <c r="A975" s="6" t="s">
        <v>812</v>
      </c>
      <c r="B975" s="8">
        <v>177</v>
      </c>
    </row>
    <row r="976" spans="1:2" x14ac:dyDescent="0.3">
      <c r="A976" s="6" t="s">
        <v>759</v>
      </c>
      <c r="B976" s="8">
        <v>171</v>
      </c>
    </row>
    <row r="977" spans="1:2" x14ac:dyDescent="0.3">
      <c r="A977" s="6" t="s">
        <v>729</v>
      </c>
      <c r="B977" s="8">
        <v>171</v>
      </c>
    </row>
    <row r="978" spans="1:2" x14ac:dyDescent="0.3">
      <c r="A978" s="6" t="s">
        <v>769</v>
      </c>
      <c r="B978" s="8">
        <v>168</v>
      </c>
    </row>
    <row r="979" spans="1:2" x14ac:dyDescent="0.3">
      <c r="A979" s="6" t="s">
        <v>601</v>
      </c>
      <c r="B979" s="8">
        <v>160</v>
      </c>
    </row>
    <row r="980" spans="1:2" x14ac:dyDescent="0.3">
      <c r="A980" s="6" t="s">
        <v>777</v>
      </c>
      <c r="B980" s="8">
        <v>128</v>
      </c>
    </row>
    <row r="981" spans="1:2" x14ac:dyDescent="0.3">
      <c r="A981" s="6" t="s">
        <v>523</v>
      </c>
      <c r="B981" s="8">
        <v>0</v>
      </c>
    </row>
    <row r="982" spans="1:2" x14ac:dyDescent="0.3">
      <c r="A982" s="6" t="s">
        <v>991</v>
      </c>
      <c r="B982" s="4">
        <v>40933882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6D7-EAFE-4906-93F0-327BFF3CD493}">
  <dimension ref="A1:C18"/>
  <sheetViews>
    <sheetView workbookViewId="0">
      <selection activeCell="C16" sqref="C16"/>
    </sheetView>
  </sheetViews>
  <sheetFormatPr defaultRowHeight="14.4" x14ac:dyDescent="0.3"/>
  <cols>
    <col min="1" max="1" width="10.77734375" bestFit="1" customWidth="1"/>
    <col min="2" max="2" width="17.44140625" bestFit="1" customWidth="1"/>
  </cols>
  <sheetData>
    <row r="1" spans="1:3" ht="25.8" x14ac:dyDescent="0.5">
      <c r="A1" s="12" t="s">
        <v>998</v>
      </c>
      <c r="B1" s="12"/>
      <c r="C1" s="12"/>
    </row>
    <row r="2" spans="1:3" x14ac:dyDescent="0.3">
      <c r="A2" s="5" t="s">
        <v>983</v>
      </c>
      <c r="B2" t="s">
        <v>997</v>
      </c>
    </row>
    <row r="3" spans="1:3" x14ac:dyDescent="0.3">
      <c r="A3" s="6">
        <v>2012</v>
      </c>
      <c r="B3" s="8">
        <v>41773254</v>
      </c>
    </row>
    <row r="4" spans="1:3" x14ac:dyDescent="0.3">
      <c r="A4" s="6">
        <v>2013</v>
      </c>
      <c r="B4" s="8">
        <v>41170085</v>
      </c>
    </row>
    <row r="5" spans="1:3" x14ac:dyDescent="0.3">
      <c r="A5" s="6">
        <v>2014</v>
      </c>
      <c r="B5" s="8">
        <v>36356181</v>
      </c>
    </row>
    <row r="6" spans="1:3" x14ac:dyDescent="0.3">
      <c r="A6" s="6">
        <v>2015</v>
      </c>
      <c r="B6" s="8">
        <v>74598716</v>
      </c>
    </row>
    <row r="7" spans="1:3" x14ac:dyDescent="0.3">
      <c r="A7" s="6">
        <v>2016</v>
      </c>
      <c r="B7" s="8">
        <v>266826080</v>
      </c>
    </row>
    <row r="8" spans="1:3" x14ac:dyDescent="0.3">
      <c r="A8" s="6">
        <v>2017</v>
      </c>
      <c r="B8" s="8">
        <v>590576039</v>
      </c>
    </row>
    <row r="9" spans="1:3" x14ac:dyDescent="0.3">
      <c r="A9" s="6">
        <v>2018</v>
      </c>
      <c r="B9" s="8">
        <v>4119580813</v>
      </c>
    </row>
    <row r="10" spans="1:3" x14ac:dyDescent="0.3">
      <c r="A10" s="6">
        <v>2019</v>
      </c>
      <c r="B10" s="8">
        <v>8977133593</v>
      </c>
    </row>
    <row r="11" spans="1:3" x14ac:dyDescent="0.3">
      <c r="A11" s="6">
        <v>2020</v>
      </c>
      <c r="B11" s="8">
        <v>7765541554</v>
      </c>
    </row>
    <row r="12" spans="1:3" x14ac:dyDescent="0.3">
      <c r="A12" s="6">
        <v>2021</v>
      </c>
      <c r="B12" s="8">
        <v>6885363939</v>
      </c>
    </row>
    <row r="13" spans="1:3" x14ac:dyDescent="0.3">
      <c r="A13" s="6">
        <v>2022</v>
      </c>
      <c r="B13" s="8">
        <v>9515062453</v>
      </c>
    </row>
    <row r="14" spans="1:3" x14ac:dyDescent="0.3">
      <c r="A14" s="6">
        <v>2023</v>
      </c>
      <c r="B14" s="8">
        <v>28248472817</v>
      </c>
    </row>
    <row r="15" spans="1:3" x14ac:dyDescent="0.3">
      <c r="A15" s="6">
        <v>2024</v>
      </c>
      <c r="B15" s="8">
        <v>25377993316</v>
      </c>
    </row>
    <row r="16" spans="1:3" x14ac:dyDescent="0.3">
      <c r="A16" s="6">
        <v>2025</v>
      </c>
      <c r="B16" s="8">
        <v>26979105739</v>
      </c>
    </row>
    <row r="17" spans="1:2" x14ac:dyDescent="0.3">
      <c r="A17" s="6">
        <v>2026</v>
      </c>
      <c r="B17" s="8">
        <v>11967375565</v>
      </c>
    </row>
    <row r="18" spans="1:2" x14ac:dyDescent="0.3">
      <c r="A18" s="6" t="s">
        <v>991</v>
      </c>
      <c r="B18" s="4">
        <v>130886930144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D681-78DC-4E65-9491-EC0F016F5967}">
  <dimension ref="A1:D19"/>
  <sheetViews>
    <sheetView workbookViewId="0">
      <selection activeCell="D18" sqref="D18"/>
    </sheetView>
  </sheetViews>
  <sheetFormatPr defaultRowHeight="14.4" x14ac:dyDescent="0.3"/>
  <cols>
    <col min="1" max="1" width="10.77734375" bestFit="1" customWidth="1"/>
    <col min="2" max="2" width="12.33203125" bestFit="1" customWidth="1"/>
    <col min="4" max="4" width="23.77734375" customWidth="1"/>
  </cols>
  <sheetData>
    <row r="1" spans="1:4" x14ac:dyDescent="0.3">
      <c r="A1" s="13" t="s">
        <v>1000</v>
      </c>
      <c r="B1" s="13"/>
      <c r="C1" s="13"/>
      <c r="D1" s="13"/>
    </row>
    <row r="2" spans="1:4" x14ac:dyDescent="0.3">
      <c r="A2" s="13"/>
      <c r="B2" s="13"/>
      <c r="C2" s="13"/>
      <c r="D2" s="13"/>
    </row>
    <row r="3" spans="1:4" x14ac:dyDescent="0.3">
      <c r="A3" s="5" t="s">
        <v>983</v>
      </c>
      <c r="B3" t="s">
        <v>999</v>
      </c>
    </row>
    <row r="4" spans="1:4" x14ac:dyDescent="0.3">
      <c r="A4" s="6">
        <v>2012</v>
      </c>
      <c r="B4">
        <v>2</v>
      </c>
    </row>
    <row r="5" spans="1:4" x14ac:dyDescent="0.3">
      <c r="A5" s="6">
        <v>2013</v>
      </c>
      <c r="B5">
        <v>84</v>
      </c>
    </row>
    <row r="6" spans="1:4" x14ac:dyDescent="0.3">
      <c r="A6" s="6">
        <v>2014</v>
      </c>
      <c r="B6">
        <v>70</v>
      </c>
    </row>
    <row r="7" spans="1:4" x14ac:dyDescent="0.3">
      <c r="A7" s="6">
        <v>2015</v>
      </c>
      <c r="B7">
        <v>210</v>
      </c>
    </row>
    <row r="8" spans="1:4" x14ac:dyDescent="0.3">
      <c r="A8" s="6">
        <v>2016</v>
      </c>
      <c r="B8">
        <v>89</v>
      </c>
    </row>
    <row r="9" spans="1:4" x14ac:dyDescent="0.3">
      <c r="A9" s="6">
        <v>2017</v>
      </c>
      <c r="B9">
        <v>34</v>
      </c>
    </row>
    <row r="10" spans="1:4" x14ac:dyDescent="0.3">
      <c r="A10" s="6">
        <v>2018</v>
      </c>
      <c r="B10">
        <v>82</v>
      </c>
    </row>
    <row r="11" spans="1:4" x14ac:dyDescent="0.3">
      <c r="A11" s="6">
        <v>2019</v>
      </c>
      <c r="B11">
        <v>67</v>
      </c>
    </row>
    <row r="12" spans="1:4" x14ac:dyDescent="0.3">
      <c r="A12" s="6">
        <v>2020</v>
      </c>
      <c r="B12">
        <v>38</v>
      </c>
    </row>
    <row r="13" spans="1:4" x14ac:dyDescent="0.3">
      <c r="A13" s="6">
        <v>2021</v>
      </c>
      <c r="B13">
        <v>26</v>
      </c>
    </row>
    <row r="14" spans="1:4" x14ac:dyDescent="0.3">
      <c r="A14" s="6">
        <v>2022</v>
      </c>
      <c r="B14">
        <v>19</v>
      </c>
    </row>
    <row r="15" spans="1:4" x14ac:dyDescent="0.3">
      <c r="A15" s="6">
        <v>2023</v>
      </c>
      <c r="B15">
        <v>54</v>
      </c>
    </row>
    <row r="16" spans="1:4" x14ac:dyDescent="0.3">
      <c r="A16" s="6">
        <v>2024</v>
      </c>
      <c r="B16">
        <v>62</v>
      </c>
    </row>
    <row r="17" spans="1:2" x14ac:dyDescent="0.3">
      <c r="A17" s="6">
        <v>2025</v>
      </c>
      <c r="B17">
        <v>96</v>
      </c>
    </row>
    <row r="18" spans="1:2" x14ac:dyDescent="0.3">
      <c r="A18" s="6">
        <v>2026</v>
      </c>
      <c r="B18">
        <v>54</v>
      </c>
    </row>
    <row r="19" spans="1:2" x14ac:dyDescent="0.3">
      <c r="A19" s="6" t="s">
        <v>991</v>
      </c>
      <c r="B19">
        <v>987</v>
      </c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C8F4-48B1-4631-AA4F-019EF0525F02}">
  <dimension ref="A1:G16"/>
  <sheetViews>
    <sheetView workbookViewId="0">
      <selection activeCell="F16" sqref="F16"/>
    </sheetView>
  </sheetViews>
  <sheetFormatPr defaultRowHeight="14.4" x14ac:dyDescent="0.3"/>
  <cols>
    <col min="1" max="1" width="10.77734375" bestFit="1" customWidth="1"/>
    <col min="2" max="2" width="15.6640625" bestFit="1" customWidth="1"/>
  </cols>
  <sheetData>
    <row r="1" spans="1:7" x14ac:dyDescent="0.3">
      <c r="A1" s="14" t="s">
        <v>1014</v>
      </c>
      <c r="B1" s="15"/>
      <c r="C1" s="15"/>
      <c r="D1" s="15"/>
      <c r="E1" s="15"/>
      <c r="F1" s="15"/>
      <c r="G1" s="15"/>
    </row>
    <row r="2" spans="1:7" x14ac:dyDescent="0.3">
      <c r="A2" s="15"/>
      <c r="B2" s="15"/>
      <c r="C2" s="15"/>
      <c r="D2" s="15"/>
      <c r="E2" s="15"/>
      <c r="F2" s="15"/>
      <c r="G2" s="15"/>
    </row>
    <row r="3" spans="1:7" x14ac:dyDescent="0.3">
      <c r="A3" s="5" t="s">
        <v>984</v>
      </c>
      <c r="B3" t="s">
        <v>1013</v>
      </c>
    </row>
    <row r="4" spans="1:7" x14ac:dyDescent="0.3">
      <c r="A4" s="6" t="s">
        <v>1001</v>
      </c>
      <c r="B4" s="4">
        <v>8135470628</v>
      </c>
    </row>
    <row r="5" spans="1:7" x14ac:dyDescent="0.3">
      <c r="A5" s="6" t="s">
        <v>1002</v>
      </c>
      <c r="B5" s="4">
        <v>8567407362</v>
      </c>
    </row>
    <row r="6" spans="1:7" x14ac:dyDescent="0.3">
      <c r="A6" s="6" t="s">
        <v>1003</v>
      </c>
      <c r="B6" s="4">
        <v>8322079744</v>
      </c>
    </row>
    <row r="7" spans="1:7" x14ac:dyDescent="0.3">
      <c r="A7" s="6" t="s">
        <v>1004</v>
      </c>
      <c r="B7" s="4">
        <v>12699216787</v>
      </c>
    </row>
    <row r="8" spans="1:7" x14ac:dyDescent="0.3">
      <c r="A8" s="6" t="s">
        <v>1005</v>
      </c>
      <c r="B8" s="4">
        <v>12972795234</v>
      </c>
    </row>
    <row r="9" spans="1:7" x14ac:dyDescent="0.3">
      <c r="A9" s="6" t="s">
        <v>1006</v>
      </c>
      <c r="B9" s="4">
        <v>7288826460</v>
      </c>
    </row>
    <row r="10" spans="1:7" x14ac:dyDescent="0.3">
      <c r="A10" s="6" t="s">
        <v>1007</v>
      </c>
      <c r="B10" s="4">
        <v>8018417683</v>
      </c>
    </row>
    <row r="11" spans="1:7" x14ac:dyDescent="0.3">
      <c r="A11" s="6" t="s">
        <v>1008</v>
      </c>
      <c r="B11" s="4">
        <v>11473909898</v>
      </c>
    </row>
    <row r="12" spans="1:7" x14ac:dyDescent="0.3">
      <c r="A12" s="6" t="s">
        <v>1009</v>
      </c>
      <c r="B12" s="4">
        <v>13874993737</v>
      </c>
    </row>
    <row r="13" spans="1:7" x14ac:dyDescent="0.3">
      <c r="A13" s="6" t="s">
        <v>1010</v>
      </c>
      <c r="B13" s="4">
        <v>11853272649</v>
      </c>
    </row>
    <row r="14" spans="1:7" x14ac:dyDescent="0.3">
      <c r="A14" s="6" t="s">
        <v>1011</v>
      </c>
      <c r="B14" s="4">
        <v>14106148707</v>
      </c>
    </row>
    <row r="15" spans="1:7" x14ac:dyDescent="0.3">
      <c r="A15" s="6" t="s">
        <v>1012</v>
      </c>
      <c r="B15" s="4">
        <v>13574391255</v>
      </c>
    </row>
    <row r="16" spans="1:7" x14ac:dyDescent="0.3">
      <c r="A16" s="6" t="s">
        <v>991</v>
      </c>
      <c r="B16" s="4">
        <v>130886930144</v>
      </c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9FC-55D1-4B70-88AD-6876DC1B644F}">
  <dimension ref="A1:E11"/>
  <sheetViews>
    <sheetView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15.6640625" bestFit="1" customWidth="1"/>
  </cols>
  <sheetData>
    <row r="1" spans="1:5" x14ac:dyDescent="0.3">
      <c r="A1" s="14" t="s">
        <v>1022</v>
      </c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5" t="s">
        <v>985</v>
      </c>
      <c r="B3" t="s">
        <v>1013</v>
      </c>
    </row>
    <row r="4" spans="1:5" x14ac:dyDescent="0.3">
      <c r="A4" s="6" t="s">
        <v>1015</v>
      </c>
      <c r="B4" s="4">
        <v>4680859634</v>
      </c>
    </row>
    <row r="5" spans="1:5" x14ac:dyDescent="0.3">
      <c r="A5" s="6" t="s">
        <v>1016</v>
      </c>
      <c r="B5" s="4">
        <v>24930083246</v>
      </c>
    </row>
    <row r="6" spans="1:5" x14ac:dyDescent="0.3">
      <c r="A6" s="6" t="s">
        <v>1017</v>
      </c>
      <c r="B6" s="4">
        <v>8639557603</v>
      </c>
    </row>
    <row r="7" spans="1:5" x14ac:dyDescent="0.3">
      <c r="A7" s="6" t="s">
        <v>1018</v>
      </c>
      <c r="B7" s="4">
        <v>20105790076</v>
      </c>
    </row>
    <row r="8" spans="1:5" x14ac:dyDescent="0.3">
      <c r="A8" s="6" t="s">
        <v>1019</v>
      </c>
      <c r="B8" s="4">
        <v>20063624186</v>
      </c>
    </row>
    <row r="9" spans="1:5" x14ac:dyDescent="0.3">
      <c r="A9" s="6" t="s">
        <v>1020</v>
      </c>
      <c r="B9" s="4">
        <v>47278527321</v>
      </c>
    </row>
    <row r="10" spans="1:5" x14ac:dyDescent="0.3">
      <c r="A10" s="6" t="s">
        <v>1021</v>
      </c>
      <c r="B10" s="4">
        <v>5188488078</v>
      </c>
    </row>
    <row r="11" spans="1:5" x14ac:dyDescent="0.3">
      <c r="A11" s="6" t="s">
        <v>991</v>
      </c>
      <c r="B11" s="4">
        <v>130886930144</v>
      </c>
    </row>
  </sheetData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8DF8-FC22-494C-8834-7C909427BEDB}">
  <dimension ref="A1:C14"/>
  <sheetViews>
    <sheetView workbookViewId="0">
      <selection activeCell="A21" sqref="A21"/>
    </sheetView>
  </sheetViews>
  <sheetFormatPr defaultRowHeight="14.4" x14ac:dyDescent="0.3"/>
  <cols>
    <col min="1" max="1" width="42.21875" bestFit="1" customWidth="1"/>
    <col min="2" max="2" width="14.6640625" bestFit="1" customWidth="1"/>
  </cols>
  <sheetData>
    <row r="1" spans="1:3" x14ac:dyDescent="0.3">
      <c r="A1" s="14" t="s">
        <v>1025</v>
      </c>
      <c r="B1" s="14"/>
      <c r="C1" s="14"/>
    </row>
    <row r="2" spans="1:3" x14ac:dyDescent="0.3">
      <c r="A2" s="14"/>
      <c r="B2" s="14"/>
      <c r="C2" s="14"/>
    </row>
    <row r="3" spans="1:3" x14ac:dyDescent="0.3">
      <c r="A3" s="5" t="s">
        <v>1023</v>
      </c>
      <c r="B3" t="s">
        <v>1024</v>
      </c>
    </row>
    <row r="4" spans="1:3" x14ac:dyDescent="0.3">
      <c r="A4" s="6" t="s">
        <v>273</v>
      </c>
      <c r="B4" s="4">
        <v>1816848204</v>
      </c>
    </row>
    <row r="5" spans="1:3" x14ac:dyDescent="0.3">
      <c r="A5" s="6" t="s">
        <v>269</v>
      </c>
      <c r="B5" s="4">
        <v>1763457596</v>
      </c>
    </row>
    <row r="6" spans="1:3" x14ac:dyDescent="0.3">
      <c r="A6" s="6" t="s">
        <v>201</v>
      </c>
      <c r="B6" s="4">
        <v>1660965595</v>
      </c>
    </row>
    <row r="7" spans="1:3" x14ac:dyDescent="0.3">
      <c r="A7" s="6" t="s">
        <v>54</v>
      </c>
      <c r="B7" s="4">
        <v>1516831635</v>
      </c>
    </row>
    <row r="8" spans="1:3" x14ac:dyDescent="0.3">
      <c r="A8" s="6" t="s">
        <v>236</v>
      </c>
      <c r="B8" s="4">
        <v>1329975358</v>
      </c>
    </row>
    <row r="9" spans="1:3" x14ac:dyDescent="0.3">
      <c r="A9" s="6" t="s">
        <v>18</v>
      </c>
      <c r="B9" s="4">
        <v>1246650395</v>
      </c>
    </row>
    <row r="10" spans="1:3" x14ac:dyDescent="0.3">
      <c r="A10" s="6" t="s">
        <v>59</v>
      </c>
      <c r="B10" s="4">
        <v>1221190093</v>
      </c>
    </row>
    <row r="11" spans="1:3" x14ac:dyDescent="0.3">
      <c r="A11" s="6" t="s">
        <v>91</v>
      </c>
      <c r="B11" s="4">
        <v>1211809470</v>
      </c>
    </row>
    <row r="12" spans="1:3" x14ac:dyDescent="0.3">
      <c r="A12" s="6" t="s">
        <v>239</v>
      </c>
      <c r="B12" s="4">
        <v>1181331718</v>
      </c>
    </row>
    <row r="13" spans="1:3" x14ac:dyDescent="0.3">
      <c r="A13" s="6" t="s">
        <v>50</v>
      </c>
      <c r="B13" s="4">
        <v>1150823786</v>
      </c>
    </row>
    <row r="14" spans="1:3" x14ac:dyDescent="0.3">
      <c r="A14" s="6" t="s">
        <v>991</v>
      </c>
      <c r="B14" s="4">
        <v>14099883850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569D-74DF-46D1-90A7-72DEC60DD0DB}">
  <dimension ref="A3:B9"/>
  <sheetViews>
    <sheetView workbookViewId="0">
      <selection activeCell="B9" sqref="B9"/>
    </sheetView>
  </sheetViews>
  <sheetFormatPr defaultRowHeight="14.4" x14ac:dyDescent="0.3"/>
  <cols>
    <col min="1" max="1" width="18" bestFit="1" customWidth="1"/>
    <col min="2" max="2" width="15.5546875" bestFit="1" customWidth="1"/>
  </cols>
  <sheetData>
    <row r="3" spans="1:2" x14ac:dyDescent="0.3">
      <c r="A3" s="5" t="s">
        <v>1035</v>
      </c>
      <c r="B3" t="s">
        <v>1037</v>
      </c>
    </row>
    <row r="4" spans="1:2" x14ac:dyDescent="0.3">
      <c r="A4" s="6" t="s">
        <v>1029</v>
      </c>
      <c r="B4" s="11">
        <v>95183005.516129032</v>
      </c>
    </row>
    <row r="5" spans="1:2" x14ac:dyDescent="0.3">
      <c r="A5" s="6" t="s">
        <v>1031</v>
      </c>
      <c r="B5" s="11">
        <v>154206767.16666666</v>
      </c>
    </row>
    <row r="6" spans="1:2" x14ac:dyDescent="0.3">
      <c r="A6" s="6" t="s">
        <v>1032</v>
      </c>
      <c r="B6" s="11">
        <v>234230806.52912623</v>
      </c>
    </row>
    <row r="7" spans="1:2" x14ac:dyDescent="0.3">
      <c r="A7" s="6" t="s">
        <v>1034</v>
      </c>
      <c r="B7" s="11">
        <v>232201782.23076922</v>
      </c>
    </row>
    <row r="8" spans="1:2" x14ac:dyDescent="0.3">
      <c r="A8" s="6" t="s">
        <v>1033</v>
      </c>
      <c r="B8" s="11">
        <v>103612649.87140903</v>
      </c>
    </row>
    <row r="9" spans="1:2" x14ac:dyDescent="0.3">
      <c r="A9" s="6" t="s">
        <v>991</v>
      </c>
      <c r="B9" s="11">
        <v>132610871.47315097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C64-652D-4489-8398-4B075027066C}">
  <dimension ref="A1:B7"/>
  <sheetViews>
    <sheetView workbookViewId="0">
      <selection activeCell="B1" sqref="B1"/>
    </sheetView>
  </sheetViews>
  <sheetFormatPr defaultRowHeight="14.4" x14ac:dyDescent="0.3"/>
  <cols>
    <col min="1" max="1" width="16.77734375" bestFit="1" customWidth="1"/>
    <col min="2" max="2" width="14.77734375" bestFit="1" customWidth="1"/>
    <col min="3" max="3" width="13.6640625" bestFit="1" customWidth="1"/>
  </cols>
  <sheetData>
    <row r="1" spans="1:2" x14ac:dyDescent="0.3">
      <c r="A1" s="5" t="s">
        <v>1030</v>
      </c>
      <c r="B1" t="s">
        <v>1040</v>
      </c>
    </row>
    <row r="2" spans="1:2" x14ac:dyDescent="0.3">
      <c r="A2" s="6" t="s">
        <v>1029</v>
      </c>
      <c r="B2" s="4">
        <v>2187373.3548387098</v>
      </c>
    </row>
    <row r="3" spans="1:2" x14ac:dyDescent="0.3">
      <c r="A3" s="6" t="s">
        <v>1031</v>
      </c>
      <c r="B3" s="4">
        <v>3673419</v>
      </c>
    </row>
    <row r="4" spans="1:2" x14ac:dyDescent="0.3">
      <c r="A4" s="6" t="s">
        <v>1032</v>
      </c>
      <c r="B4" s="4">
        <v>4682375.4223300973</v>
      </c>
    </row>
    <row r="5" spans="1:2" x14ac:dyDescent="0.3">
      <c r="A5" s="6" t="s">
        <v>1033</v>
      </c>
      <c r="B5" s="4">
        <v>2577665.3447332419</v>
      </c>
    </row>
    <row r="6" spans="1:2" x14ac:dyDescent="0.3">
      <c r="A6" s="6" t="s">
        <v>1034</v>
      </c>
      <c r="B6" s="4">
        <v>4530663.307692308</v>
      </c>
    </row>
    <row r="7" spans="1:2" x14ac:dyDescent="0.3">
      <c r="A7" s="6" t="s">
        <v>991</v>
      </c>
      <c r="B7" s="4">
        <v>3037072.3556231004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3C21-5492-439C-8D92-CC7199DD7B2E}">
  <dimension ref="A3:B9"/>
  <sheetViews>
    <sheetView workbookViewId="0">
      <selection activeCell="B3" sqref="B3"/>
    </sheetView>
  </sheetViews>
  <sheetFormatPr defaultRowHeight="14.4" x14ac:dyDescent="0.3"/>
  <cols>
    <col min="1" max="1" width="16.77734375" bestFit="1" customWidth="1"/>
    <col min="2" max="2" width="19.88671875" bestFit="1" customWidth="1"/>
  </cols>
  <sheetData>
    <row r="3" spans="1:2" x14ac:dyDescent="0.3">
      <c r="A3" s="5" t="s">
        <v>1030</v>
      </c>
      <c r="B3" t="s">
        <v>1039</v>
      </c>
    </row>
    <row r="4" spans="1:2" x14ac:dyDescent="0.3">
      <c r="A4" s="6" t="s">
        <v>1029</v>
      </c>
      <c r="B4" s="4">
        <v>41749.516129032258</v>
      </c>
    </row>
    <row r="5" spans="1:2" x14ac:dyDescent="0.3">
      <c r="A5" s="6" t="s">
        <v>1031</v>
      </c>
      <c r="B5" s="4">
        <v>59343.166666666664</v>
      </c>
    </row>
    <row r="6" spans="1:2" x14ac:dyDescent="0.3">
      <c r="A6" s="6" t="s">
        <v>1032</v>
      </c>
      <c r="B6" s="4">
        <v>79694.043689320388</v>
      </c>
    </row>
    <row r="7" spans="1:2" x14ac:dyDescent="0.3">
      <c r="A7" s="6" t="s">
        <v>1033</v>
      </c>
      <c r="B7" s="4">
        <v>29411.028727770179</v>
      </c>
    </row>
    <row r="8" spans="1:2" x14ac:dyDescent="0.3">
      <c r="A8" s="6" t="s">
        <v>1034</v>
      </c>
      <c r="B8" s="4">
        <v>105165.61538461539</v>
      </c>
    </row>
    <row r="9" spans="1:2" x14ac:dyDescent="0.3">
      <c r="A9" s="6" t="s">
        <v>991</v>
      </c>
      <c r="B9" s="4">
        <v>41473.031408308001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9182-EAFA-4769-BB91-2CE35E80935B}">
  <dimension ref="A3:B9"/>
  <sheetViews>
    <sheetView workbookViewId="0">
      <selection activeCell="P20" sqref="P20"/>
    </sheetView>
  </sheetViews>
  <sheetFormatPr defaultRowHeight="14.4" x14ac:dyDescent="0.3"/>
  <cols>
    <col min="1" max="1" width="10.77734375" bestFit="1" customWidth="1"/>
    <col min="2" max="2" width="12.33203125" bestFit="1" customWidth="1"/>
  </cols>
  <sheetData>
    <row r="3" spans="1:2" x14ac:dyDescent="0.3">
      <c r="A3" s="5" t="s">
        <v>1036</v>
      </c>
      <c r="B3" t="s">
        <v>999</v>
      </c>
    </row>
    <row r="4" spans="1:2" x14ac:dyDescent="0.3">
      <c r="A4" s="6" t="s">
        <v>1029</v>
      </c>
      <c r="B4">
        <v>31</v>
      </c>
    </row>
    <row r="5" spans="1:2" x14ac:dyDescent="0.3">
      <c r="A5" s="6" t="s">
        <v>1031</v>
      </c>
      <c r="B5">
        <v>6</v>
      </c>
    </row>
    <row r="6" spans="1:2" x14ac:dyDescent="0.3">
      <c r="A6" s="6" t="s">
        <v>1032</v>
      </c>
      <c r="B6">
        <v>206</v>
      </c>
    </row>
    <row r="7" spans="1:2" x14ac:dyDescent="0.3">
      <c r="A7" s="6" t="s">
        <v>1033</v>
      </c>
      <c r="B7">
        <v>731</v>
      </c>
    </row>
    <row r="8" spans="1:2" x14ac:dyDescent="0.3">
      <c r="A8" s="6" t="s">
        <v>1034</v>
      </c>
      <c r="B8">
        <v>13</v>
      </c>
    </row>
    <row r="9" spans="1:2" x14ac:dyDescent="0.3">
      <c r="A9" s="6" t="s">
        <v>991</v>
      </c>
      <c r="B9">
        <v>987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A36B-60F7-4CED-8C42-476D3145A12A}">
  <dimension ref="A3:B9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6.33203125" bestFit="1" customWidth="1"/>
  </cols>
  <sheetData>
    <row r="3" spans="1:2" x14ac:dyDescent="0.3">
      <c r="A3" s="5" t="s">
        <v>1036</v>
      </c>
      <c r="B3" t="s">
        <v>1038</v>
      </c>
    </row>
    <row r="4" spans="1:2" x14ac:dyDescent="0.3">
      <c r="A4" s="6" t="s">
        <v>1029</v>
      </c>
      <c r="B4">
        <v>3.021716983028131</v>
      </c>
    </row>
    <row r="5" spans="1:2" x14ac:dyDescent="0.3">
      <c r="A5" s="6" t="s">
        <v>1031</v>
      </c>
      <c r="B5">
        <v>4.021040565386472</v>
      </c>
    </row>
    <row r="6" spans="1:2" x14ac:dyDescent="0.3">
      <c r="A6" s="6" t="s">
        <v>1032</v>
      </c>
      <c r="B6">
        <v>3.0048934737112649</v>
      </c>
    </row>
    <row r="7" spans="1:2" x14ac:dyDescent="0.3">
      <c r="A7" s="6" t="s">
        <v>1033</v>
      </c>
      <c r="B7">
        <v>3.1020860561034391</v>
      </c>
    </row>
    <row r="8" spans="1:2" x14ac:dyDescent="0.3">
      <c r="A8" s="6" t="s">
        <v>1034</v>
      </c>
      <c r="B8">
        <v>2.916741027802781</v>
      </c>
    </row>
    <row r="9" spans="1:2" x14ac:dyDescent="0.3">
      <c r="A9" s="6" t="s">
        <v>991</v>
      </c>
      <c r="B9">
        <v>3.0380303744191726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0F69-7606-4314-93DC-42AF26320663}">
  <dimension ref="A3:C9"/>
  <sheetViews>
    <sheetView tabSelected="1" workbookViewId="0">
      <selection activeCell="E15" sqref="E15"/>
    </sheetView>
  </sheetViews>
  <sheetFormatPr defaultRowHeight="14.4" x14ac:dyDescent="0.3"/>
  <cols>
    <col min="1" max="1" width="10.77734375" bestFit="1" customWidth="1"/>
    <col min="2" max="2" width="12.5546875" bestFit="1" customWidth="1"/>
    <col min="3" max="3" width="17.6640625" bestFit="1" customWidth="1"/>
  </cols>
  <sheetData>
    <row r="3" spans="1:3" x14ac:dyDescent="0.3">
      <c r="A3" s="5" t="s">
        <v>1036</v>
      </c>
      <c r="B3" t="s">
        <v>1042</v>
      </c>
      <c r="C3" t="s">
        <v>1041</v>
      </c>
    </row>
    <row r="4" spans="1:3" x14ac:dyDescent="0.3">
      <c r="A4" s="6" t="s">
        <v>1029</v>
      </c>
      <c r="B4" s="4">
        <v>95183005.516129032</v>
      </c>
      <c r="C4" s="4">
        <v>2.7242021113664143</v>
      </c>
    </row>
    <row r="5" spans="1:3" x14ac:dyDescent="0.3">
      <c r="A5" s="6" t="s">
        <v>1031</v>
      </c>
      <c r="B5" s="4">
        <v>154206767.16666666</v>
      </c>
      <c r="C5" s="4">
        <v>2.5897050325331716</v>
      </c>
    </row>
    <row r="6" spans="1:3" x14ac:dyDescent="0.3">
      <c r="A6" s="6" t="s">
        <v>1032</v>
      </c>
      <c r="B6" s="4">
        <v>234230806.52912623</v>
      </c>
      <c r="C6" s="4">
        <v>2.3678274790191964</v>
      </c>
    </row>
    <row r="7" spans="1:3" x14ac:dyDescent="0.3">
      <c r="A7" s="6" t="s">
        <v>1033</v>
      </c>
      <c r="B7" s="4">
        <v>103612649.87140903</v>
      </c>
      <c r="C7" s="4">
        <v>3.1180315759646886</v>
      </c>
    </row>
    <row r="8" spans="1:3" x14ac:dyDescent="0.3">
      <c r="A8" s="6" t="s">
        <v>1034</v>
      </c>
      <c r="B8" s="4">
        <v>232201782.23076922</v>
      </c>
      <c r="C8" s="4">
        <v>2.2006375679518047</v>
      </c>
    </row>
    <row r="9" spans="1:3" x14ac:dyDescent="0.3">
      <c r="A9" s="6" t="s">
        <v>991</v>
      </c>
      <c r="B9" s="4">
        <v>132610871.47315097</v>
      </c>
      <c r="C9" s="4">
        <v>2.9337895914276357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B52F-B93A-4AB7-B1D1-BD6919A46AA5}">
  <dimension ref="A1:O988"/>
  <sheetViews>
    <sheetView zoomScale="78" zoomScaleNormal="55" workbookViewId="0">
      <selection activeCell="I6" sqref="I6"/>
    </sheetView>
  </sheetViews>
  <sheetFormatPr defaultRowHeight="14.4" x14ac:dyDescent="0.3"/>
  <cols>
    <col min="1" max="1" width="95.109375" bestFit="1" customWidth="1"/>
    <col min="2" max="2" width="17.44140625" bestFit="1" customWidth="1"/>
    <col min="3" max="3" width="13.6640625" bestFit="1" customWidth="1"/>
    <col min="4" max="4" width="12.33203125" bestFit="1" customWidth="1"/>
    <col min="5" max="5" width="13" bestFit="1" customWidth="1"/>
    <col min="6" max="6" width="14.88671875" customWidth="1"/>
    <col min="7" max="7" width="10.5546875" bestFit="1" customWidth="1"/>
    <col min="8" max="8" width="11.21875" customWidth="1"/>
    <col min="9" max="9" width="16.77734375" bestFit="1" customWidth="1"/>
    <col min="10" max="10" width="18.5546875" bestFit="1" customWidth="1"/>
    <col min="11" max="11" width="27.21875" bestFit="1" customWidth="1"/>
    <col min="12" max="12" width="21.21875" bestFit="1" customWidth="1"/>
    <col min="13" max="13" width="32.109375" bestFit="1" customWidth="1"/>
    <col min="14" max="14" width="13.6640625" bestFit="1" customWidth="1"/>
    <col min="15" max="15" width="17.88671875" bestFit="1" customWidth="1"/>
    <col min="22" max="22" width="17.33203125" bestFit="1" customWidth="1"/>
    <col min="23" max="23" width="1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983</v>
      </c>
      <c r="G1" t="s">
        <v>984</v>
      </c>
      <c r="H1" t="s">
        <v>985</v>
      </c>
      <c r="I1" t="s">
        <v>986</v>
      </c>
      <c r="J1" t="s">
        <v>987</v>
      </c>
      <c r="K1" t="s">
        <v>988</v>
      </c>
      <c r="L1" t="s">
        <v>1026</v>
      </c>
      <c r="M1" t="s">
        <v>1027</v>
      </c>
      <c r="N1" t="s">
        <v>1028</v>
      </c>
      <c r="O1" t="s">
        <v>1030</v>
      </c>
    </row>
    <row r="2" spans="1:15" hidden="1" x14ac:dyDescent="0.3">
      <c r="A2" t="s">
        <v>273</v>
      </c>
      <c r="B2" s="2">
        <v>44867</v>
      </c>
      <c r="C2" s="3">
        <v>1816848204</v>
      </c>
      <c r="D2" s="4">
        <v>42037409</v>
      </c>
      <c r="E2" s="4">
        <v>154621</v>
      </c>
      <c r="F2">
        <f t="shared" ref="F2:F65" si="0">YEAR(B2)</f>
        <v>2022</v>
      </c>
      <c r="G2" t="str">
        <f t="shared" ref="G2:G65" si="1">TEXT(B2,"MMMM")</f>
        <v>November</v>
      </c>
      <c r="H2" t="str">
        <f t="shared" ref="H2:H65" si="2">TEXT(B2, "DDDD")</f>
        <v>Wednesday</v>
      </c>
      <c r="I2">
        <f t="shared" ref="I2:I65" si="3">((D2+E2)/C2)*100</f>
        <v>2.3222650030481029</v>
      </c>
      <c r="J2">
        <f t="shared" ref="J2:J65" si="4">(D2/C2)*1000</f>
        <v>23.137546057755301</v>
      </c>
      <c r="K2">
        <f t="shared" ref="K2:K65" si="5">(E2/C2)*1000</f>
        <v>8.5103972725725854E-2</v>
      </c>
      <c r="L2">
        <f t="shared" ref="L2:L65" si="6">CORREL(C2:C500, D2:D500)</f>
        <v>0.82169615647700356</v>
      </c>
      <c r="M2">
        <f t="shared" ref="M2:M65" si="7">CORREL(C2:C500,E2:E500)</f>
        <v>8.0634582733013008E-2</v>
      </c>
      <c r="N2">
        <f t="shared" ref="N2:N65" si="8">LEN(A2)</f>
        <v>44</v>
      </c>
      <c r="O2" t="str">
        <f t="shared" ref="O2:O65" si="9">IF(ISNUMBER(SEARCH("$",A2)), "Money", IF(ISNUMBER(SEARCH("Win",A2)), "Challenge",IF(ISNUMBER(SEARCH("Challenge",A2)), "Challenge",IF(ISNUMBER(SEARCH("Last To Leave",A2)),"Challenge",IF(ISNUMBER(SEARCH("Giving Away", A2)),"Giveaway",IF(ISNUMBER(SEARCH("Stranded",A2)),"Survival", IF(ISNUMBER(SEARCH("Survive",A2)), "Survival", IF(ISNUMBER(SEARCH("Days",A2)),"Endurance","Other"))))))))</f>
        <v>Other</v>
      </c>
    </row>
    <row r="3" spans="1:15" hidden="1" x14ac:dyDescent="0.3">
      <c r="A3" t="s">
        <v>269</v>
      </c>
      <c r="B3" s="2">
        <v>44903</v>
      </c>
      <c r="C3" s="3">
        <v>1763457596</v>
      </c>
      <c r="D3" s="4">
        <v>58284896</v>
      </c>
      <c r="E3" s="4">
        <v>129089</v>
      </c>
      <c r="F3">
        <f t="shared" si="0"/>
        <v>2022</v>
      </c>
      <c r="G3" t="str">
        <f t="shared" si="1"/>
        <v>December</v>
      </c>
      <c r="H3" t="str">
        <f t="shared" si="2"/>
        <v>Thursday</v>
      </c>
      <c r="I3">
        <f t="shared" si="3"/>
        <v>3.3124689321988097</v>
      </c>
      <c r="J3">
        <f t="shared" si="4"/>
        <v>33.051487108170875</v>
      </c>
      <c r="K3">
        <f t="shared" si="5"/>
        <v>7.320221381722411E-2</v>
      </c>
      <c r="L3">
        <f t="shared" si="6"/>
        <v>0.81069414287701946</v>
      </c>
      <c r="M3">
        <f t="shared" si="7"/>
        <v>7.5658232486647714E-2</v>
      </c>
      <c r="N3">
        <f t="shared" si="8"/>
        <v>38</v>
      </c>
      <c r="O3" t="str">
        <f t="shared" si="9"/>
        <v>Other</v>
      </c>
    </row>
    <row r="4" spans="1:15" hidden="1" x14ac:dyDescent="0.3">
      <c r="A4" t="s">
        <v>236</v>
      </c>
      <c r="B4" s="2">
        <v>45188</v>
      </c>
      <c r="C4" s="3">
        <v>1329975358</v>
      </c>
      <c r="D4" s="4">
        <v>30090152</v>
      </c>
      <c r="E4" s="4">
        <v>43200</v>
      </c>
      <c r="F4">
        <f t="shared" si="0"/>
        <v>2023</v>
      </c>
      <c r="G4" t="str">
        <f t="shared" si="1"/>
        <v>September</v>
      </c>
      <c r="H4" t="str">
        <f t="shared" si="2"/>
        <v>Tuesday</v>
      </c>
      <c r="I4">
        <f t="shared" si="3"/>
        <v>2.2657075425302731</v>
      </c>
      <c r="J4">
        <f t="shared" si="4"/>
        <v>22.624593620478191</v>
      </c>
      <c r="K4">
        <f t="shared" si="5"/>
        <v>3.2481804824537205E-2</v>
      </c>
      <c r="L4">
        <f t="shared" si="6"/>
        <v>0.79177331613720292</v>
      </c>
      <c r="M4">
        <f t="shared" si="7"/>
        <v>7.2504513482617938E-2</v>
      </c>
      <c r="N4">
        <f t="shared" si="8"/>
        <v>22</v>
      </c>
      <c r="O4" t="str">
        <f t="shared" si="9"/>
        <v>Money</v>
      </c>
    </row>
    <row r="5" spans="1:15" hidden="1" x14ac:dyDescent="0.3">
      <c r="A5" t="s">
        <v>59</v>
      </c>
      <c r="B5" s="2">
        <v>46012</v>
      </c>
      <c r="C5" s="3">
        <v>1221190093</v>
      </c>
      <c r="D5" s="4">
        <v>8501751</v>
      </c>
      <c r="E5" s="4">
        <v>193899</v>
      </c>
      <c r="F5">
        <f t="shared" si="0"/>
        <v>2025</v>
      </c>
      <c r="G5" t="str">
        <f t="shared" si="1"/>
        <v>December</v>
      </c>
      <c r="H5" t="str">
        <f t="shared" si="2"/>
        <v>Sunday</v>
      </c>
      <c r="I5">
        <f t="shared" si="3"/>
        <v>0.71206358861281716</v>
      </c>
      <c r="J5">
        <f t="shared" si="4"/>
        <v>6.9618571659997901</v>
      </c>
      <c r="K5">
        <f t="shared" si="5"/>
        <v>0.15877872012838218</v>
      </c>
      <c r="L5">
        <f t="shared" si="6"/>
        <v>0.78498771641797516</v>
      </c>
      <c r="M5">
        <f t="shared" si="7"/>
        <v>7.814645480818054E-2</v>
      </c>
      <c r="N5">
        <f t="shared" si="8"/>
        <v>49</v>
      </c>
      <c r="O5" t="str">
        <f t="shared" si="9"/>
        <v>Money</v>
      </c>
    </row>
    <row r="6" spans="1:15" x14ac:dyDescent="0.3">
      <c r="A6" t="s">
        <v>20</v>
      </c>
      <c r="B6" s="2">
        <v>46144</v>
      </c>
      <c r="C6" s="3">
        <v>130518718</v>
      </c>
      <c r="D6" s="4">
        <v>2579009</v>
      </c>
      <c r="E6" s="4">
        <v>1399899</v>
      </c>
      <c r="F6">
        <f t="shared" si="0"/>
        <v>2026</v>
      </c>
      <c r="G6" t="str">
        <f t="shared" si="1"/>
        <v>May</v>
      </c>
      <c r="H6" t="str">
        <f t="shared" si="2"/>
        <v>Saturday</v>
      </c>
      <c r="I6">
        <f t="shared" si="3"/>
        <v>3.0485343872286577</v>
      </c>
      <c r="J6">
        <f t="shared" si="4"/>
        <v>19.759686882612499</v>
      </c>
      <c r="K6">
        <f t="shared" si="5"/>
        <v>10.725656989674079</v>
      </c>
      <c r="L6">
        <f t="shared" si="6"/>
        <v>0.79714349645635973</v>
      </c>
      <c r="M6">
        <f t="shared" si="7"/>
        <v>7.1213964763980064E-2</v>
      </c>
      <c r="N6">
        <f t="shared" si="8"/>
        <v>52</v>
      </c>
      <c r="O6" t="str">
        <f t="shared" si="9"/>
        <v>Money</v>
      </c>
    </row>
    <row r="7" spans="1:15" hidden="1" x14ac:dyDescent="0.3">
      <c r="A7" t="s">
        <v>91</v>
      </c>
      <c r="B7" s="2">
        <v>45916</v>
      </c>
      <c r="C7" s="3">
        <v>1211809470</v>
      </c>
      <c r="D7" s="4">
        <v>11579479</v>
      </c>
      <c r="E7" s="4">
        <v>33965</v>
      </c>
      <c r="F7">
        <f t="shared" si="0"/>
        <v>2025</v>
      </c>
      <c r="G7" t="str">
        <f t="shared" si="1"/>
        <v>September</v>
      </c>
      <c r="H7" t="str">
        <f t="shared" si="2"/>
        <v>Tuesday</v>
      </c>
      <c r="I7">
        <f t="shared" si="3"/>
        <v>0.9583556068430461</v>
      </c>
      <c r="J7">
        <f t="shared" si="4"/>
        <v>9.5555277349004388</v>
      </c>
      <c r="K7">
        <f t="shared" si="5"/>
        <v>2.8028333530022667E-2</v>
      </c>
      <c r="L7">
        <f t="shared" si="6"/>
        <v>0.78754616548341005</v>
      </c>
      <c r="M7">
        <f t="shared" si="7"/>
        <v>9.5155601533573941E-2</v>
      </c>
      <c r="N7">
        <f t="shared" si="8"/>
        <v>28</v>
      </c>
      <c r="O7" t="str">
        <f t="shared" si="9"/>
        <v>Money</v>
      </c>
    </row>
    <row r="8" spans="1:15" hidden="1" x14ac:dyDescent="0.3">
      <c r="A8" t="s">
        <v>239</v>
      </c>
      <c r="B8" s="2">
        <v>45176</v>
      </c>
      <c r="C8" s="3">
        <v>1181331718</v>
      </c>
      <c r="D8" s="4">
        <v>38453146</v>
      </c>
      <c r="E8" s="4">
        <v>54356</v>
      </c>
      <c r="F8">
        <f t="shared" si="0"/>
        <v>2023</v>
      </c>
      <c r="G8" t="str">
        <f t="shared" si="1"/>
        <v>September</v>
      </c>
      <c r="H8" t="str">
        <f t="shared" si="2"/>
        <v>Thursday</v>
      </c>
      <c r="I8">
        <f t="shared" si="3"/>
        <v>3.2596688477300328</v>
      </c>
      <c r="J8">
        <f t="shared" si="4"/>
        <v>32.550675999033828</v>
      </c>
      <c r="K8">
        <f t="shared" si="5"/>
        <v>4.6012478266498215E-2</v>
      </c>
      <c r="L8">
        <f t="shared" si="6"/>
        <v>0.79571271807740762</v>
      </c>
      <c r="M8">
        <f t="shared" si="7"/>
        <v>0.10235880823892518</v>
      </c>
      <c r="N8">
        <f t="shared" si="8"/>
        <v>16</v>
      </c>
      <c r="O8" t="str">
        <f t="shared" si="9"/>
        <v>Other</v>
      </c>
    </row>
    <row r="9" spans="1:15" x14ac:dyDescent="0.3">
      <c r="A9" t="s">
        <v>8</v>
      </c>
      <c r="B9" s="2">
        <v>46185</v>
      </c>
      <c r="C9" s="3">
        <v>8880900</v>
      </c>
      <c r="D9" s="4">
        <v>339957</v>
      </c>
      <c r="E9" s="4">
        <v>19736</v>
      </c>
      <c r="F9">
        <f t="shared" si="0"/>
        <v>2026</v>
      </c>
      <c r="G9" t="str">
        <f t="shared" si="1"/>
        <v>June</v>
      </c>
      <c r="H9" t="str">
        <f t="shared" si="2"/>
        <v>Friday</v>
      </c>
      <c r="I9">
        <f t="shared" si="3"/>
        <v>4.0501863549865442</v>
      </c>
      <c r="J9">
        <f t="shared" si="4"/>
        <v>38.279566260176331</v>
      </c>
      <c r="K9">
        <f t="shared" si="5"/>
        <v>2.222297289689108</v>
      </c>
      <c r="L9">
        <f t="shared" si="6"/>
        <v>0.78706572513800499</v>
      </c>
      <c r="M9">
        <f t="shared" si="7"/>
        <v>0.10769069594306906</v>
      </c>
      <c r="N9">
        <f t="shared" si="8"/>
        <v>35</v>
      </c>
      <c r="O9" t="str">
        <f t="shared" si="9"/>
        <v>Other</v>
      </c>
    </row>
    <row r="10" spans="1:15" hidden="1" x14ac:dyDescent="0.3">
      <c r="A10" t="s">
        <v>201</v>
      </c>
      <c r="B10" s="2">
        <v>45202</v>
      </c>
      <c r="C10" s="3">
        <v>1038267971</v>
      </c>
      <c r="D10" s="4">
        <v>26425972</v>
      </c>
      <c r="E10" s="4">
        <v>24152</v>
      </c>
      <c r="F10">
        <f t="shared" si="0"/>
        <v>2023</v>
      </c>
      <c r="G10" t="str">
        <f t="shared" si="1"/>
        <v>October</v>
      </c>
      <c r="H10" t="str">
        <f t="shared" si="2"/>
        <v>Tuesday</v>
      </c>
      <c r="I10">
        <f t="shared" si="3"/>
        <v>2.5475238318798143</v>
      </c>
      <c r="J10">
        <f t="shared" si="4"/>
        <v>25.451976501353521</v>
      </c>
      <c r="K10">
        <f t="shared" si="5"/>
        <v>2.3261817444621913E-2</v>
      </c>
      <c r="L10">
        <f t="shared" si="6"/>
        <v>0.78129225194049334</v>
      </c>
      <c r="M10">
        <f t="shared" si="7"/>
        <v>0.10341658945232174</v>
      </c>
      <c r="N10">
        <f t="shared" si="8"/>
        <v>23</v>
      </c>
      <c r="O10" t="str">
        <f t="shared" si="9"/>
        <v>Other</v>
      </c>
    </row>
    <row r="11" spans="1:15" hidden="1" x14ac:dyDescent="0.3">
      <c r="A11" t="s">
        <v>258</v>
      </c>
      <c r="B11" s="2">
        <v>45047</v>
      </c>
      <c r="C11" s="3">
        <v>991961264</v>
      </c>
      <c r="D11" s="4">
        <v>29376509</v>
      </c>
      <c r="E11" s="4">
        <v>38613</v>
      </c>
      <c r="F11">
        <f t="shared" si="0"/>
        <v>2023</v>
      </c>
      <c r="G11" t="str">
        <f t="shared" si="1"/>
        <v>May</v>
      </c>
      <c r="H11" t="str">
        <f t="shared" si="2"/>
        <v>Monday</v>
      </c>
      <c r="I11">
        <f t="shared" si="3"/>
        <v>2.9653498647100398</v>
      </c>
      <c r="J11">
        <f t="shared" si="4"/>
        <v>29.614572731944904</v>
      </c>
      <c r="K11">
        <f t="shared" si="5"/>
        <v>3.8925915155493408E-2</v>
      </c>
      <c r="L11">
        <f t="shared" si="6"/>
        <v>0.77602063894720985</v>
      </c>
      <c r="M11">
        <f t="shared" si="7"/>
        <v>0.11008708062648535</v>
      </c>
      <c r="N11">
        <f t="shared" si="8"/>
        <v>34</v>
      </c>
      <c r="O11" t="str">
        <f t="shared" si="9"/>
        <v>Other</v>
      </c>
    </row>
    <row r="12" spans="1:15" hidden="1" x14ac:dyDescent="0.3">
      <c r="A12" t="s">
        <v>289</v>
      </c>
      <c r="B12" s="2">
        <v>44524</v>
      </c>
      <c r="C12" s="3">
        <v>936855846</v>
      </c>
      <c r="D12" s="4">
        <v>20041207</v>
      </c>
      <c r="E12" s="4">
        <v>653246</v>
      </c>
      <c r="F12">
        <f t="shared" si="0"/>
        <v>2021</v>
      </c>
      <c r="G12" t="str">
        <f t="shared" si="1"/>
        <v>November</v>
      </c>
      <c r="H12" t="str">
        <f t="shared" si="2"/>
        <v>Wednesday</v>
      </c>
      <c r="I12">
        <f t="shared" si="3"/>
        <v>2.2089260677997626</v>
      </c>
      <c r="J12">
        <f t="shared" si="4"/>
        <v>21.391985848802612</v>
      </c>
      <c r="K12">
        <f t="shared" si="5"/>
        <v>0.6972748291950136</v>
      </c>
      <c r="L12">
        <f t="shared" si="6"/>
        <v>0.7700284379711283</v>
      </c>
      <c r="M12">
        <f t="shared" si="7"/>
        <v>0.11560279732396431</v>
      </c>
      <c r="N12">
        <f t="shared" si="8"/>
        <v>33</v>
      </c>
      <c r="O12" t="str">
        <f t="shared" si="9"/>
        <v>Money</v>
      </c>
    </row>
    <row r="13" spans="1:15" hidden="1" x14ac:dyDescent="0.3">
      <c r="A13" t="s">
        <v>123</v>
      </c>
      <c r="B13" s="2">
        <v>45793</v>
      </c>
      <c r="C13" s="3">
        <v>902456203</v>
      </c>
      <c r="D13" s="4">
        <v>9544909</v>
      </c>
      <c r="E13" s="4">
        <v>32555</v>
      </c>
      <c r="F13">
        <f t="shared" si="0"/>
        <v>2025</v>
      </c>
      <c r="G13" t="str">
        <f t="shared" si="1"/>
        <v>May</v>
      </c>
      <c r="H13" t="str">
        <f t="shared" si="2"/>
        <v>Friday</v>
      </c>
      <c r="I13">
        <f t="shared" si="3"/>
        <v>1.061266349343271</v>
      </c>
      <c r="J13">
        <f t="shared" si="4"/>
        <v>10.576589720664815</v>
      </c>
      <c r="K13">
        <f t="shared" si="5"/>
        <v>3.6073772767895751E-2</v>
      </c>
      <c r="L13">
        <f t="shared" si="6"/>
        <v>0.76722821896792615</v>
      </c>
      <c r="M13">
        <f t="shared" si="7"/>
        <v>7.8136579310296175E-2</v>
      </c>
      <c r="N13">
        <f t="shared" si="8"/>
        <v>25</v>
      </c>
      <c r="O13" t="str">
        <f t="shared" si="9"/>
        <v>Other</v>
      </c>
    </row>
    <row r="14" spans="1:15" hidden="1" x14ac:dyDescent="0.3">
      <c r="A14" t="s">
        <v>119</v>
      </c>
      <c r="B14" s="2">
        <v>45808</v>
      </c>
      <c r="C14" s="3">
        <v>899833123</v>
      </c>
      <c r="D14" s="4">
        <v>8560441</v>
      </c>
      <c r="E14" s="4">
        <v>22040</v>
      </c>
      <c r="F14">
        <f t="shared" si="0"/>
        <v>2025</v>
      </c>
      <c r="G14" t="str">
        <f t="shared" si="1"/>
        <v>May</v>
      </c>
      <c r="H14" t="str">
        <f t="shared" si="2"/>
        <v>Saturday</v>
      </c>
      <c r="I14">
        <f t="shared" si="3"/>
        <v>0.95378584991252879</v>
      </c>
      <c r="J14">
        <f t="shared" si="4"/>
        <v>9.5133650686917424</v>
      </c>
      <c r="K14">
        <f t="shared" si="5"/>
        <v>2.4493430433544953E-2</v>
      </c>
      <c r="L14">
        <f t="shared" si="6"/>
        <v>0.7715544590316249</v>
      </c>
      <c r="M14">
        <f t="shared" si="7"/>
        <v>8.2983957236570524E-2</v>
      </c>
      <c r="N14">
        <f t="shared" si="8"/>
        <v>35</v>
      </c>
      <c r="O14" t="str">
        <f t="shared" si="9"/>
        <v>Other</v>
      </c>
    </row>
    <row r="15" spans="1:15" hidden="1" x14ac:dyDescent="0.3">
      <c r="A15" t="s">
        <v>271</v>
      </c>
      <c r="B15" s="2">
        <v>44884</v>
      </c>
      <c r="C15" s="3">
        <v>875442677</v>
      </c>
      <c r="D15" s="4">
        <v>31098607</v>
      </c>
      <c r="E15" s="4">
        <v>56173</v>
      </c>
      <c r="F15">
        <f t="shared" si="0"/>
        <v>2022</v>
      </c>
      <c r="G15" t="str">
        <f t="shared" si="1"/>
        <v>November</v>
      </c>
      <c r="H15" t="str">
        <f t="shared" si="2"/>
        <v>Saturday</v>
      </c>
      <c r="I15">
        <f t="shared" si="3"/>
        <v>3.5587458572116195</v>
      </c>
      <c r="J15">
        <f t="shared" si="4"/>
        <v>35.523293320094787</v>
      </c>
      <c r="K15">
        <f t="shared" si="5"/>
        <v>6.4165252021406757E-2</v>
      </c>
      <c r="L15">
        <f t="shared" si="6"/>
        <v>0.77692797651333934</v>
      </c>
      <c r="M15">
        <f t="shared" si="7"/>
        <v>8.8698951103360527E-2</v>
      </c>
      <c r="N15">
        <f t="shared" si="8"/>
        <v>49</v>
      </c>
      <c r="O15" t="str">
        <f t="shared" si="9"/>
        <v>Other</v>
      </c>
    </row>
    <row r="16" spans="1:15" hidden="1" x14ac:dyDescent="0.3">
      <c r="A16" t="s">
        <v>164</v>
      </c>
      <c r="B16" s="2">
        <v>45604</v>
      </c>
      <c r="C16" s="3">
        <v>816189699</v>
      </c>
      <c r="D16" s="4">
        <v>14239088</v>
      </c>
      <c r="E16" s="4">
        <v>22167</v>
      </c>
      <c r="F16">
        <f t="shared" si="0"/>
        <v>2024</v>
      </c>
      <c r="G16" t="str">
        <f t="shared" si="1"/>
        <v>November</v>
      </c>
      <c r="H16" t="str">
        <f t="shared" si="2"/>
        <v>Friday</v>
      </c>
      <c r="I16">
        <f t="shared" si="3"/>
        <v>1.7472966171311604</v>
      </c>
      <c r="J16">
        <f t="shared" si="4"/>
        <v>17.4458070439333</v>
      </c>
      <c r="K16">
        <f t="shared" si="5"/>
        <v>2.7159127378303265E-2</v>
      </c>
      <c r="L16">
        <f t="shared" si="6"/>
        <v>0.77203790059135402</v>
      </c>
      <c r="M16">
        <f t="shared" si="7"/>
        <v>9.1705767037646047E-2</v>
      </c>
      <c r="N16">
        <f t="shared" si="8"/>
        <v>36</v>
      </c>
      <c r="O16" t="str">
        <f t="shared" si="9"/>
        <v>Other</v>
      </c>
    </row>
    <row r="17" spans="1:15" hidden="1" x14ac:dyDescent="0.3">
      <c r="A17" t="s">
        <v>145</v>
      </c>
      <c r="B17" s="2">
        <v>45707</v>
      </c>
      <c r="C17" s="3">
        <v>810548135</v>
      </c>
      <c r="D17" s="4">
        <v>18186040</v>
      </c>
      <c r="E17" s="4">
        <v>16704</v>
      </c>
      <c r="F17">
        <f t="shared" si="0"/>
        <v>2025</v>
      </c>
      <c r="G17" t="str">
        <f t="shared" si="1"/>
        <v>February</v>
      </c>
      <c r="H17" t="str">
        <f t="shared" si="2"/>
        <v>Wednesday</v>
      </c>
      <c r="I17">
        <f t="shared" si="3"/>
        <v>2.245732636224004</v>
      </c>
      <c r="J17">
        <f t="shared" si="4"/>
        <v>22.436718085841996</v>
      </c>
      <c r="K17">
        <f t="shared" si="5"/>
        <v>2.0608276398045133E-2</v>
      </c>
      <c r="L17">
        <f t="shared" si="6"/>
        <v>0.77187157362698655</v>
      </c>
      <c r="M17">
        <f t="shared" si="7"/>
        <v>9.7518085385434092E-2</v>
      </c>
      <c r="N17">
        <f t="shared" si="8"/>
        <v>31</v>
      </c>
      <c r="O17" t="str">
        <f t="shared" si="9"/>
        <v>Money</v>
      </c>
    </row>
    <row r="18" spans="1:15" hidden="1" x14ac:dyDescent="0.3">
      <c r="A18" t="s">
        <v>89</v>
      </c>
      <c r="B18" s="2">
        <v>45923</v>
      </c>
      <c r="C18" s="3">
        <v>800425043</v>
      </c>
      <c r="D18" s="4">
        <v>12496914</v>
      </c>
      <c r="E18" s="4">
        <v>65182</v>
      </c>
      <c r="F18">
        <f t="shared" si="0"/>
        <v>2025</v>
      </c>
      <c r="G18" t="str">
        <f t="shared" si="1"/>
        <v>September</v>
      </c>
      <c r="H18" t="str">
        <f t="shared" si="2"/>
        <v>Tuesday</v>
      </c>
      <c r="I18">
        <f t="shared" si="3"/>
        <v>1.5694281569348649</v>
      </c>
      <c r="J18">
        <f t="shared" si="4"/>
        <v>15.612847335662385</v>
      </c>
      <c r="K18">
        <f t="shared" si="5"/>
        <v>8.143423368626411E-2</v>
      </c>
      <c r="L18">
        <f t="shared" si="6"/>
        <v>0.76964512617334291</v>
      </c>
      <c r="M18">
        <f t="shared" si="7"/>
        <v>0.10337219547798285</v>
      </c>
      <c r="N18">
        <f t="shared" si="8"/>
        <v>33</v>
      </c>
      <c r="O18" t="str">
        <f t="shared" si="9"/>
        <v>Other</v>
      </c>
    </row>
    <row r="19" spans="1:15" hidden="1" x14ac:dyDescent="0.3">
      <c r="A19" t="s">
        <v>210</v>
      </c>
      <c r="B19" s="2">
        <v>45346</v>
      </c>
      <c r="C19" s="3">
        <v>784124610</v>
      </c>
      <c r="D19" s="4">
        <v>13512035</v>
      </c>
      <c r="E19" s="4">
        <v>13536</v>
      </c>
      <c r="F19">
        <f t="shared" si="0"/>
        <v>2024</v>
      </c>
      <c r="G19" t="str">
        <f t="shared" si="1"/>
        <v>February</v>
      </c>
      <c r="H19" t="str">
        <f t="shared" si="2"/>
        <v>Saturday</v>
      </c>
      <c r="I19">
        <f t="shared" si="3"/>
        <v>1.7249262205913929</v>
      </c>
      <c r="J19">
        <f t="shared" si="4"/>
        <v>17.231999643526045</v>
      </c>
      <c r="K19">
        <f t="shared" si="5"/>
        <v>1.7262562387883731E-2</v>
      </c>
      <c r="L19">
        <f t="shared" si="6"/>
        <v>0.77032756699132587</v>
      </c>
      <c r="M19">
        <f t="shared" si="7"/>
        <v>0.10479380869050042</v>
      </c>
      <c r="N19">
        <f t="shared" si="8"/>
        <v>42</v>
      </c>
      <c r="O19" t="str">
        <f t="shared" si="9"/>
        <v>Other</v>
      </c>
    </row>
    <row r="20" spans="1:15" hidden="1" x14ac:dyDescent="0.3">
      <c r="A20" t="s">
        <v>259</v>
      </c>
      <c r="B20" s="2">
        <v>45038</v>
      </c>
      <c r="C20" s="3">
        <v>775049947</v>
      </c>
      <c r="D20" s="4">
        <v>30632956</v>
      </c>
      <c r="E20" s="4">
        <v>73806</v>
      </c>
      <c r="F20">
        <f t="shared" si="0"/>
        <v>2023</v>
      </c>
      <c r="G20" t="str">
        <f t="shared" si="1"/>
        <v>April</v>
      </c>
      <c r="H20" t="str">
        <f t="shared" si="2"/>
        <v>Saturday</v>
      </c>
      <c r="I20">
        <f t="shared" si="3"/>
        <v>3.9619075027173696</v>
      </c>
      <c r="J20">
        <f t="shared" si="4"/>
        <v>39.523847615978227</v>
      </c>
      <c r="K20">
        <f t="shared" si="5"/>
        <v>9.5227411195474856E-2</v>
      </c>
      <c r="L20">
        <f t="shared" si="6"/>
        <v>0.77036682682594793</v>
      </c>
      <c r="M20">
        <f t="shared" si="7"/>
        <v>0.11037447416937644</v>
      </c>
      <c r="N20">
        <f t="shared" si="8"/>
        <v>24</v>
      </c>
      <c r="O20" t="str">
        <f t="shared" si="9"/>
        <v>Other</v>
      </c>
    </row>
    <row r="21" spans="1:15" hidden="1" x14ac:dyDescent="0.3">
      <c r="A21" t="s">
        <v>176</v>
      </c>
      <c r="B21" s="2">
        <v>45540</v>
      </c>
      <c r="C21" s="3">
        <v>772670894</v>
      </c>
      <c r="D21" s="4">
        <v>18116647</v>
      </c>
      <c r="E21" s="4">
        <v>15995</v>
      </c>
      <c r="F21">
        <f t="shared" si="0"/>
        <v>2024</v>
      </c>
      <c r="G21" t="str">
        <f t="shared" si="1"/>
        <v>September</v>
      </c>
      <c r="H21" t="str">
        <f t="shared" si="2"/>
        <v>Thursday</v>
      </c>
      <c r="I21">
        <f t="shared" si="3"/>
        <v>2.3467484204212825</v>
      </c>
      <c r="J21">
        <f t="shared" si="4"/>
        <v>23.446783282094227</v>
      </c>
      <c r="K21">
        <f t="shared" si="5"/>
        <v>2.0700922118596071E-2</v>
      </c>
      <c r="L21">
        <f t="shared" si="6"/>
        <v>0.7668496805146986</v>
      </c>
      <c r="M21">
        <f t="shared" si="7"/>
        <v>0.112145980261097</v>
      </c>
      <c r="N21">
        <f t="shared" si="8"/>
        <v>34</v>
      </c>
      <c r="O21" t="str">
        <f t="shared" si="9"/>
        <v>Other</v>
      </c>
    </row>
    <row r="22" spans="1:15" hidden="1" x14ac:dyDescent="0.3">
      <c r="A22" t="s">
        <v>195</v>
      </c>
      <c r="B22" s="2">
        <v>45197</v>
      </c>
      <c r="C22" s="3">
        <v>770479116</v>
      </c>
      <c r="D22" s="4">
        <v>22087704</v>
      </c>
      <c r="E22" s="4">
        <v>32117</v>
      </c>
      <c r="F22">
        <f t="shared" si="0"/>
        <v>2023</v>
      </c>
      <c r="G22" t="str">
        <f t="shared" si="1"/>
        <v>September</v>
      </c>
      <c r="H22" t="str">
        <f t="shared" si="2"/>
        <v>Thursday</v>
      </c>
      <c r="I22">
        <f t="shared" si="3"/>
        <v>2.8709176589803898</v>
      </c>
      <c r="J22">
        <f t="shared" si="4"/>
        <v>28.667492137450743</v>
      </c>
      <c r="K22">
        <f t="shared" si="5"/>
        <v>4.168445235315113E-2</v>
      </c>
      <c r="L22">
        <f t="shared" si="6"/>
        <v>0.7644108416022789</v>
      </c>
      <c r="M22">
        <f t="shared" si="7"/>
        <v>0.11820702211103817</v>
      </c>
      <c r="N22">
        <f t="shared" si="8"/>
        <v>34</v>
      </c>
      <c r="O22" t="str">
        <f t="shared" si="9"/>
        <v>Money</v>
      </c>
    </row>
    <row r="23" spans="1:15" hidden="1" x14ac:dyDescent="0.3">
      <c r="A23" t="s">
        <v>156</v>
      </c>
      <c r="B23" s="2">
        <v>45636</v>
      </c>
      <c r="C23" s="3">
        <v>770102891</v>
      </c>
      <c r="D23" s="4">
        <v>19342713</v>
      </c>
      <c r="E23" s="4">
        <v>17491</v>
      </c>
      <c r="F23">
        <f t="shared" si="0"/>
        <v>2024</v>
      </c>
      <c r="G23" t="str">
        <f t="shared" si="1"/>
        <v>December</v>
      </c>
      <c r="H23" t="str">
        <f t="shared" si="2"/>
        <v>Tuesday</v>
      </c>
      <c r="I23">
        <f t="shared" si="3"/>
        <v>2.5139762785282156</v>
      </c>
      <c r="J23">
        <f t="shared" si="4"/>
        <v>25.117050235823619</v>
      </c>
      <c r="K23">
        <f t="shared" si="5"/>
        <v>2.2712549458537224E-2</v>
      </c>
      <c r="L23">
        <f t="shared" si="6"/>
        <v>0.76070007654790506</v>
      </c>
      <c r="M23">
        <f t="shared" si="7"/>
        <v>0.12317518108787151</v>
      </c>
      <c r="N23">
        <f t="shared" si="8"/>
        <v>38</v>
      </c>
      <c r="O23" t="str">
        <f t="shared" si="9"/>
        <v>Other</v>
      </c>
    </row>
    <row r="24" spans="1:15" hidden="1" x14ac:dyDescent="0.3">
      <c r="A24" t="s">
        <v>264</v>
      </c>
      <c r="B24" s="2">
        <v>44996</v>
      </c>
      <c r="C24" s="3">
        <v>761620739</v>
      </c>
      <c r="D24" s="4">
        <v>14429211</v>
      </c>
      <c r="E24" s="4">
        <v>20201</v>
      </c>
      <c r="F24">
        <f t="shared" si="0"/>
        <v>2023</v>
      </c>
      <c r="G24" t="str">
        <f t="shared" si="1"/>
        <v>March</v>
      </c>
      <c r="H24" t="str">
        <f t="shared" si="2"/>
        <v>Saturday</v>
      </c>
      <c r="I24">
        <f t="shared" si="3"/>
        <v>1.8971925605613005</v>
      </c>
      <c r="J24">
        <f t="shared" si="4"/>
        <v>18.94540190560646</v>
      </c>
      <c r="K24">
        <f t="shared" si="5"/>
        <v>2.6523700006546171E-2</v>
      </c>
      <c r="L24">
        <f t="shared" si="6"/>
        <v>0.75762359173342442</v>
      </c>
      <c r="M24">
        <f t="shared" si="7"/>
        <v>0.1293853850724683</v>
      </c>
      <c r="N24">
        <f t="shared" si="8"/>
        <v>26</v>
      </c>
      <c r="O24" t="str">
        <f t="shared" si="9"/>
        <v>Money</v>
      </c>
    </row>
    <row r="25" spans="1:15" hidden="1" x14ac:dyDescent="0.3">
      <c r="A25" t="s">
        <v>250</v>
      </c>
      <c r="B25" s="2">
        <v>45122</v>
      </c>
      <c r="C25" s="3">
        <v>758607878</v>
      </c>
      <c r="D25" s="4">
        <v>27586644</v>
      </c>
      <c r="E25" s="4">
        <v>43992</v>
      </c>
      <c r="F25">
        <f t="shared" si="0"/>
        <v>2023</v>
      </c>
      <c r="G25" t="str">
        <f t="shared" si="1"/>
        <v>July</v>
      </c>
      <c r="H25" t="str">
        <f t="shared" si="2"/>
        <v>Saturday</v>
      </c>
      <c r="I25">
        <f t="shared" si="3"/>
        <v>3.6422817111846548</v>
      </c>
      <c r="J25">
        <f t="shared" si="4"/>
        <v>36.364826677953374</v>
      </c>
      <c r="K25">
        <f t="shared" si="5"/>
        <v>5.7990433893173994E-2</v>
      </c>
      <c r="L25">
        <f t="shared" si="6"/>
        <v>0.75389329439179364</v>
      </c>
      <c r="M25">
        <f t="shared" si="7"/>
        <v>0.13107083700536998</v>
      </c>
      <c r="N25">
        <f t="shared" si="8"/>
        <v>30</v>
      </c>
      <c r="O25" t="str">
        <f t="shared" si="9"/>
        <v>Other</v>
      </c>
    </row>
    <row r="26" spans="1:15" hidden="1" x14ac:dyDescent="0.3">
      <c r="A26" t="s">
        <v>154</v>
      </c>
      <c r="B26" s="2">
        <v>45648</v>
      </c>
      <c r="C26" s="3">
        <v>747520413</v>
      </c>
      <c r="D26" s="4">
        <v>14167719</v>
      </c>
      <c r="E26" s="4">
        <v>11672</v>
      </c>
      <c r="F26">
        <f t="shared" si="0"/>
        <v>2024</v>
      </c>
      <c r="G26" t="str">
        <f t="shared" si="1"/>
        <v>December</v>
      </c>
      <c r="H26" t="str">
        <f t="shared" si="2"/>
        <v>Sunday</v>
      </c>
      <c r="I26">
        <f t="shared" si="3"/>
        <v>1.8968566949354999</v>
      </c>
      <c r="J26">
        <f t="shared" si="4"/>
        <v>18.952952660036591</v>
      </c>
      <c r="K26">
        <f t="shared" si="5"/>
        <v>1.5614289318410893E-2</v>
      </c>
      <c r="L26">
        <f t="shared" si="6"/>
        <v>0.74957185963786432</v>
      </c>
      <c r="M26">
        <f t="shared" si="7"/>
        <v>0.13537343689475728</v>
      </c>
      <c r="N26">
        <f t="shared" si="8"/>
        <v>33</v>
      </c>
      <c r="O26" t="str">
        <f t="shared" si="9"/>
        <v>Money</v>
      </c>
    </row>
    <row r="27" spans="1:15" hidden="1" x14ac:dyDescent="0.3">
      <c r="A27" t="s">
        <v>262</v>
      </c>
      <c r="B27" s="2">
        <v>45015</v>
      </c>
      <c r="C27" s="3">
        <v>745892791</v>
      </c>
      <c r="D27" s="4">
        <v>30271166</v>
      </c>
      <c r="E27" s="4">
        <v>81586</v>
      </c>
      <c r="F27">
        <f t="shared" si="0"/>
        <v>2023</v>
      </c>
      <c r="G27" t="str">
        <f t="shared" si="1"/>
        <v>March</v>
      </c>
      <c r="H27" t="str">
        <f t="shared" si="2"/>
        <v>Thursday</v>
      </c>
      <c r="I27">
        <f t="shared" si="3"/>
        <v>4.0693183211097699</v>
      </c>
      <c r="J27">
        <f t="shared" si="4"/>
        <v>40.583802880593872</v>
      </c>
      <c r="K27">
        <f t="shared" si="5"/>
        <v>0.10938033050382438</v>
      </c>
      <c r="L27">
        <f t="shared" si="6"/>
        <v>0.74852963735221445</v>
      </c>
      <c r="M27">
        <f t="shared" si="7"/>
        <v>0.14183261615932338</v>
      </c>
      <c r="N27">
        <f t="shared" si="8"/>
        <v>33</v>
      </c>
      <c r="O27" t="str">
        <f t="shared" si="9"/>
        <v>Other</v>
      </c>
    </row>
    <row r="28" spans="1:15" hidden="1" x14ac:dyDescent="0.3">
      <c r="A28" t="s">
        <v>226</v>
      </c>
      <c r="B28" s="2">
        <v>45232</v>
      </c>
      <c r="C28" s="3">
        <v>738096987</v>
      </c>
      <c r="D28" s="4">
        <v>22393089</v>
      </c>
      <c r="E28" s="4">
        <v>41164</v>
      </c>
      <c r="F28">
        <f t="shared" si="0"/>
        <v>2023</v>
      </c>
      <c r="G28" t="str">
        <f t="shared" si="1"/>
        <v>November</v>
      </c>
      <c r="H28" t="str">
        <f t="shared" si="2"/>
        <v>Thursday</v>
      </c>
      <c r="I28">
        <f t="shared" si="3"/>
        <v>3.0394722367292362</v>
      </c>
      <c r="J28">
        <f t="shared" si="4"/>
        <v>30.338951918794379</v>
      </c>
      <c r="K28">
        <f t="shared" si="5"/>
        <v>5.5770448497983099E-2</v>
      </c>
      <c r="L28">
        <f t="shared" si="6"/>
        <v>0.74464424995107159</v>
      </c>
      <c r="M28">
        <f t="shared" si="7"/>
        <v>0.1438513580230881</v>
      </c>
      <c r="N28">
        <f t="shared" si="8"/>
        <v>34</v>
      </c>
      <c r="O28" t="str">
        <f t="shared" si="9"/>
        <v>Money</v>
      </c>
    </row>
    <row r="29" spans="1:15" hidden="1" x14ac:dyDescent="0.3">
      <c r="A29" t="s">
        <v>163</v>
      </c>
      <c r="B29" s="2">
        <v>45608</v>
      </c>
      <c r="C29" s="3">
        <v>734694473</v>
      </c>
      <c r="D29" s="4">
        <v>13659548</v>
      </c>
      <c r="E29" s="4">
        <v>9967</v>
      </c>
      <c r="F29">
        <f t="shared" si="0"/>
        <v>2024</v>
      </c>
      <c r="G29" t="str">
        <f t="shared" si="1"/>
        <v>November</v>
      </c>
      <c r="H29" t="str">
        <f t="shared" si="2"/>
        <v>Tuesday</v>
      </c>
      <c r="I29">
        <f t="shared" si="3"/>
        <v>1.8605713670585895</v>
      </c>
      <c r="J29">
        <f t="shared" si="4"/>
        <v>18.592147487136465</v>
      </c>
      <c r="K29">
        <f t="shared" si="5"/>
        <v>1.3566183449429597E-2</v>
      </c>
      <c r="L29">
        <f t="shared" si="6"/>
        <v>0.74038200266457832</v>
      </c>
      <c r="M29">
        <f t="shared" si="7"/>
        <v>0.14828469483324233</v>
      </c>
      <c r="N29">
        <f t="shared" si="8"/>
        <v>20</v>
      </c>
      <c r="O29" t="str">
        <f t="shared" si="9"/>
        <v>Other</v>
      </c>
    </row>
    <row r="30" spans="1:15" hidden="1" x14ac:dyDescent="0.3">
      <c r="A30" t="s">
        <v>199</v>
      </c>
      <c r="B30" s="2">
        <v>45407</v>
      </c>
      <c r="C30" s="3">
        <v>731923375</v>
      </c>
      <c r="D30" s="4">
        <v>26575642</v>
      </c>
      <c r="E30" s="4">
        <v>44356</v>
      </c>
      <c r="F30">
        <f t="shared" si="0"/>
        <v>2024</v>
      </c>
      <c r="G30" t="str">
        <f t="shared" si="1"/>
        <v>April</v>
      </c>
      <c r="H30" t="str">
        <f t="shared" si="2"/>
        <v>Thursday</v>
      </c>
      <c r="I30">
        <f t="shared" si="3"/>
        <v>3.6369924652290275</v>
      </c>
      <c r="J30">
        <f t="shared" si="4"/>
        <v>36.309322680123451</v>
      </c>
      <c r="K30">
        <f t="shared" si="5"/>
        <v>6.060197216682689E-2</v>
      </c>
      <c r="L30">
        <f t="shared" si="6"/>
        <v>0.73703883507952883</v>
      </c>
      <c r="M30">
        <f t="shared" si="7"/>
        <v>0.14959751525820256</v>
      </c>
      <c r="N30">
        <f t="shared" si="8"/>
        <v>28</v>
      </c>
      <c r="O30" t="str">
        <f t="shared" si="9"/>
        <v>Other</v>
      </c>
    </row>
    <row r="31" spans="1:15" hidden="1" x14ac:dyDescent="0.3">
      <c r="A31" t="s">
        <v>275</v>
      </c>
      <c r="B31" s="2">
        <v>44855</v>
      </c>
      <c r="C31" s="3">
        <v>728659862</v>
      </c>
      <c r="D31" s="4">
        <v>36370869</v>
      </c>
      <c r="E31" s="4">
        <v>81679</v>
      </c>
      <c r="F31">
        <f t="shared" si="0"/>
        <v>2022</v>
      </c>
      <c r="G31" t="str">
        <f t="shared" si="1"/>
        <v>October</v>
      </c>
      <c r="H31" t="str">
        <f t="shared" si="2"/>
        <v>Friday</v>
      </c>
      <c r="I31">
        <f t="shared" si="3"/>
        <v>5.0026836801393619</v>
      </c>
      <c r="J31">
        <f t="shared" si="4"/>
        <v>49.914741976003064</v>
      </c>
      <c r="K31">
        <f t="shared" si="5"/>
        <v>0.11209482539056063</v>
      </c>
      <c r="L31">
        <f t="shared" si="6"/>
        <v>0.73236955336051957</v>
      </c>
      <c r="M31">
        <f t="shared" si="7"/>
        <v>0.15405579058792346</v>
      </c>
      <c r="N31">
        <f t="shared" si="8"/>
        <v>32</v>
      </c>
      <c r="O31" t="str">
        <f t="shared" si="9"/>
        <v>Money</v>
      </c>
    </row>
    <row r="32" spans="1:15" hidden="1" x14ac:dyDescent="0.3">
      <c r="A32" t="s">
        <v>232</v>
      </c>
      <c r="B32" s="2">
        <v>45211</v>
      </c>
      <c r="C32" s="3">
        <v>724271269</v>
      </c>
      <c r="D32" s="4">
        <v>27136649</v>
      </c>
      <c r="E32" s="4">
        <v>36788</v>
      </c>
      <c r="F32">
        <f t="shared" si="0"/>
        <v>2023</v>
      </c>
      <c r="G32" t="str">
        <f t="shared" si="1"/>
        <v>October</v>
      </c>
      <c r="H32" t="str">
        <f t="shared" si="2"/>
        <v>Thursday</v>
      </c>
      <c r="I32">
        <f t="shared" si="3"/>
        <v>3.7518314149777492</v>
      </c>
      <c r="J32">
        <f t="shared" si="4"/>
        <v>37.467521026296573</v>
      </c>
      <c r="K32">
        <f t="shared" si="5"/>
        <v>5.0793123480920514E-2</v>
      </c>
      <c r="L32">
        <f t="shared" si="6"/>
        <v>0.7315418083989762</v>
      </c>
      <c r="M32">
        <f t="shared" si="7"/>
        <v>0.15594541702539841</v>
      </c>
      <c r="N32">
        <f t="shared" si="8"/>
        <v>38</v>
      </c>
      <c r="O32" t="str">
        <f t="shared" si="9"/>
        <v>Other</v>
      </c>
    </row>
    <row r="33" spans="1:15" x14ac:dyDescent="0.3">
      <c r="A33" t="s">
        <v>7</v>
      </c>
      <c r="B33" s="2">
        <v>46186</v>
      </c>
      <c r="C33" s="3">
        <v>62264600</v>
      </c>
      <c r="D33" s="4">
        <v>1965717</v>
      </c>
      <c r="E33" s="4">
        <v>131250</v>
      </c>
      <c r="F33">
        <f t="shared" si="0"/>
        <v>2026</v>
      </c>
      <c r="G33" t="str">
        <f t="shared" si="1"/>
        <v>June</v>
      </c>
      <c r="H33" t="str">
        <f t="shared" si="2"/>
        <v>Saturday</v>
      </c>
      <c r="I33">
        <f t="shared" si="3"/>
        <v>3.3678318016979154</v>
      </c>
      <c r="J33">
        <f t="shared" si="4"/>
        <v>31.570378674238654</v>
      </c>
      <c r="K33">
        <f t="shared" si="5"/>
        <v>2.1079393427404978</v>
      </c>
      <c r="L33">
        <f t="shared" si="6"/>
        <v>0.72704090035988633</v>
      </c>
      <c r="M33">
        <f t="shared" si="7"/>
        <v>0.16087064536623638</v>
      </c>
      <c r="N33">
        <f t="shared" si="8"/>
        <v>39</v>
      </c>
      <c r="O33" t="str">
        <f t="shared" si="9"/>
        <v>Money</v>
      </c>
    </row>
    <row r="34" spans="1:15" hidden="1" x14ac:dyDescent="0.3">
      <c r="A34" t="s">
        <v>181</v>
      </c>
      <c r="B34" s="2">
        <v>45492</v>
      </c>
      <c r="C34" s="3">
        <v>691776126</v>
      </c>
      <c r="D34" s="4">
        <v>17596005</v>
      </c>
      <c r="E34" s="4">
        <v>30213</v>
      </c>
      <c r="F34">
        <f t="shared" si="0"/>
        <v>2024</v>
      </c>
      <c r="G34" t="str">
        <f t="shared" si="1"/>
        <v>July</v>
      </c>
      <c r="H34" t="str">
        <f t="shared" si="2"/>
        <v>Friday</v>
      </c>
      <c r="I34">
        <f t="shared" si="3"/>
        <v>2.5479656405488615</v>
      </c>
      <c r="J34">
        <f t="shared" si="4"/>
        <v>25.4359818713952</v>
      </c>
      <c r="K34">
        <f t="shared" si="5"/>
        <v>4.3674534093418545E-2</v>
      </c>
      <c r="L34">
        <f t="shared" si="6"/>
        <v>0.72734695669612515</v>
      </c>
      <c r="M34">
        <f t="shared" si="7"/>
        <v>0.16310492845457134</v>
      </c>
      <c r="N34">
        <f t="shared" si="8"/>
        <v>32</v>
      </c>
      <c r="O34" t="str">
        <f t="shared" si="9"/>
        <v>Money</v>
      </c>
    </row>
    <row r="35" spans="1:15" hidden="1" x14ac:dyDescent="0.3">
      <c r="A35" t="s">
        <v>143</v>
      </c>
      <c r="B35" s="2">
        <v>45716</v>
      </c>
      <c r="C35" s="3">
        <v>680873257</v>
      </c>
      <c r="D35" s="4">
        <v>12649855</v>
      </c>
      <c r="E35" s="4">
        <v>14101</v>
      </c>
      <c r="F35">
        <f t="shared" si="0"/>
        <v>2025</v>
      </c>
      <c r="G35" t="str">
        <f t="shared" si="1"/>
        <v>February</v>
      </c>
      <c r="H35" t="str">
        <f t="shared" si="2"/>
        <v>Friday</v>
      </c>
      <c r="I35">
        <f t="shared" si="3"/>
        <v>1.8599579099051029</v>
      </c>
      <c r="J35">
        <f t="shared" si="4"/>
        <v>18.578868930374217</v>
      </c>
      <c r="K35">
        <f t="shared" si="5"/>
        <v>2.0710168676811462E-2</v>
      </c>
      <c r="L35">
        <f t="shared" si="6"/>
        <v>0.72387213151686802</v>
      </c>
      <c r="M35">
        <f t="shared" si="7"/>
        <v>0.1680304668380353</v>
      </c>
      <c r="N35">
        <f t="shared" si="8"/>
        <v>33</v>
      </c>
      <c r="O35" t="str">
        <f t="shared" si="9"/>
        <v>Money</v>
      </c>
    </row>
    <row r="36" spans="1:15" x14ac:dyDescent="0.3">
      <c r="A36" t="s">
        <v>5</v>
      </c>
      <c r="B36" s="2">
        <v>46190</v>
      </c>
      <c r="C36" s="3">
        <v>11011863</v>
      </c>
      <c r="D36" s="4">
        <v>446914</v>
      </c>
      <c r="E36" s="4">
        <v>17767</v>
      </c>
      <c r="F36">
        <f t="shared" si="0"/>
        <v>2026</v>
      </c>
      <c r="G36" t="str">
        <f t="shared" si="1"/>
        <v>June</v>
      </c>
      <c r="H36" t="str">
        <f t="shared" si="2"/>
        <v>Wednesday</v>
      </c>
      <c r="I36">
        <f t="shared" si="3"/>
        <v>4.2198218412270476</v>
      </c>
      <c r="J36">
        <f t="shared" si="4"/>
        <v>40.584776617725808</v>
      </c>
      <c r="K36">
        <f t="shared" si="5"/>
        <v>1.6134417945446651</v>
      </c>
      <c r="L36">
        <f t="shared" si="6"/>
        <v>0.72265121350257955</v>
      </c>
      <c r="M36">
        <f t="shared" si="7"/>
        <v>0.17415881557035809</v>
      </c>
      <c r="N36">
        <f t="shared" si="8"/>
        <v>44</v>
      </c>
      <c r="O36" t="str">
        <f t="shared" si="9"/>
        <v>Other</v>
      </c>
    </row>
    <row r="37" spans="1:15" x14ac:dyDescent="0.3">
      <c r="A37" t="s">
        <v>14</v>
      </c>
      <c r="B37" s="2">
        <v>46158</v>
      </c>
      <c r="C37" s="3">
        <v>86411166</v>
      </c>
      <c r="D37" s="4">
        <v>1847674</v>
      </c>
      <c r="E37" s="4">
        <v>136619</v>
      </c>
      <c r="F37">
        <f t="shared" si="0"/>
        <v>2026</v>
      </c>
      <c r="G37" t="str">
        <f t="shared" si="1"/>
        <v>May</v>
      </c>
      <c r="H37" t="str">
        <f t="shared" si="2"/>
        <v>Saturday</v>
      </c>
      <c r="I37">
        <f t="shared" si="3"/>
        <v>2.2963386467901614</v>
      </c>
      <c r="J37">
        <f t="shared" si="4"/>
        <v>21.382352368674205</v>
      </c>
      <c r="K37">
        <f t="shared" si="5"/>
        <v>1.5810340992274079</v>
      </c>
      <c r="L37">
        <f t="shared" si="6"/>
        <v>0.72270191354785762</v>
      </c>
      <c r="M37">
        <f t="shared" si="7"/>
        <v>0.17433990132018984</v>
      </c>
      <c r="N37">
        <f t="shared" si="8"/>
        <v>55</v>
      </c>
      <c r="O37" t="str">
        <f t="shared" si="9"/>
        <v>Money</v>
      </c>
    </row>
    <row r="38" spans="1:15" hidden="1" x14ac:dyDescent="0.3">
      <c r="A38" t="s">
        <v>96</v>
      </c>
      <c r="B38" s="2">
        <v>45898</v>
      </c>
      <c r="C38" s="3">
        <v>659158821</v>
      </c>
      <c r="D38" s="4">
        <v>23734250</v>
      </c>
      <c r="E38" s="4">
        <v>33539</v>
      </c>
      <c r="F38">
        <f t="shared" si="0"/>
        <v>2025</v>
      </c>
      <c r="G38" t="str">
        <f t="shared" si="1"/>
        <v>August</v>
      </c>
      <c r="H38" t="str">
        <f t="shared" si="2"/>
        <v>Friday</v>
      </c>
      <c r="I38">
        <f t="shared" si="3"/>
        <v>3.6057757618933541</v>
      </c>
      <c r="J38">
        <f t="shared" si="4"/>
        <v>36.006876103081076</v>
      </c>
      <c r="K38">
        <f t="shared" si="5"/>
        <v>5.088151585245948E-2</v>
      </c>
      <c r="L38">
        <f t="shared" si="6"/>
        <v>0.72306311009394331</v>
      </c>
      <c r="M38">
        <f t="shared" si="7"/>
        <v>0.17675997931745113</v>
      </c>
      <c r="N38">
        <f t="shared" si="8"/>
        <v>30</v>
      </c>
      <c r="O38" t="str">
        <f t="shared" si="9"/>
        <v>Other</v>
      </c>
    </row>
    <row r="39" spans="1:15" hidden="1" x14ac:dyDescent="0.3">
      <c r="A39" t="s">
        <v>153</v>
      </c>
      <c r="B39" s="2">
        <v>45653</v>
      </c>
      <c r="C39" s="3">
        <v>650067550</v>
      </c>
      <c r="D39" s="4">
        <v>12873323</v>
      </c>
      <c r="E39" s="4">
        <v>33682</v>
      </c>
      <c r="F39">
        <f t="shared" si="0"/>
        <v>2024</v>
      </c>
      <c r="G39" t="str">
        <f t="shared" si="1"/>
        <v>December</v>
      </c>
      <c r="H39" t="str">
        <f t="shared" si="2"/>
        <v>Friday</v>
      </c>
      <c r="I39">
        <f t="shared" si="3"/>
        <v>1.9854867390319668</v>
      </c>
      <c r="J39">
        <f t="shared" si="4"/>
        <v>19.803054313355588</v>
      </c>
      <c r="K39">
        <f t="shared" si="5"/>
        <v>5.1813076964078573E-2</v>
      </c>
      <c r="L39">
        <f t="shared" si="6"/>
        <v>0.71929796945590241</v>
      </c>
      <c r="M39">
        <f t="shared" si="7"/>
        <v>0.18140180740137332</v>
      </c>
      <c r="N39">
        <f t="shared" si="8"/>
        <v>32</v>
      </c>
      <c r="O39" t="str">
        <f t="shared" si="9"/>
        <v>Other</v>
      </c>
    </row>
    <row r="40" spans="1:15" hidden="1" x14ac:dyDescent="0.3">
      <c r="A40" t="s">
        <v>149</v>
      </c>
      <c r="B40" s="2">
        <v>45678</v>
      </c>
      <c r="C40" s="3">
        <v>648512206</v>
      </c>
      <c r="D40" s="4">
        <v>13848986</v>
      </c>
      <c r="E40" s="4">
        <v>18353</v>
      </c>
      <c r="F40">
        <f t="shared" si="0"/>
        <v>2025</v>
      </c>
      <c r="G40" t="str">
        <f t="shared" si="1"/>
        <v>January</v>
      </c>
      <c r="H40" t="str">
        <f t="shared" si="2"/>
        <v>Tuesday</v>
      </c>
      <c r="I40">
        <f t="shared" si="3"/>
        <v>2.1383312251797464</v>
      </c>
      <c r="J40">
        <f t="shared" si="4"/>
        <v>21.355012090551153</v>
      </c>
      <c r="K40">
        <f t="shared" si="5"/>
        <v>2.8300161246309682E-2</v>
      </c>
      <c r="L40">
        <f t="shared" si="6"/>
        <v>0.71776236161490459</v>
      </c>
      <c r="M40">
        <f t="shared" si="7"/>
        <v>0.18617607583646173</v>
      </c>
      <c r="N40">
        <f t="shared" si="8"/>
        <v>32</v>
      </c>
      <c r="O40" t="str">
        <f t="shared" si="9"/>
        <v>Money</v>
      </c>
    </row>
    <row r="41" spans="1:15" x14ac:dyDescent="0.3">
      <c r="A41" t="s">
        <v>17</v>
      </c>
      <c r="B41" s="2">
        <v>46149</v>
      </c>
      <c r="C41" s="3">
        <v>679847266</v>
      </c>
      <c r="D41" s="4">
        <v>5785615</v>
      </c>
      <c r="E41" s="4">
        <v>1054577</v>
      </c>
      <c r="F41">
        <f t="shared" si="0"/>
        <v>2026</v>
      </c>
      <c r="G41" t="str">
        <f t="shared" si="1"/>
        <v>May</v>
      </c>
      <c r="H41" t="str">
        <f t="shared" si="2"/>
        <v>Thursday</v>
      </c>
      <c r="I41">
        <f t="shared" si="3"/>
        <v>1.0061365753878018</v>
      </c>
      <c r="J41">
        <f t="shared" si="4"/>
        <v>8.5101688119460643</v>
      </c>
      <c r="K41">
        <f t="shared" si="5"/>
        <v>1.5511969419319545</v>
      </c>
      <c r="L41">
        <f t="shared" si="6"/>
        <v>0.7156907440671999</v>
      </c>
      <c r="M41">
        <f t="shared" si="7"/>
        <v>0.19194791800705932</v>
      </c>
      <c r="N41">
        <f t="shared" si="8"/>
        <v>40</v>
      </c>
      <c r="O41" t="str">
        <f t="shared" si="9"/>
        <v>Other</v>
      </c>
    </row>
    <row r="42" spans="1:15" hidden="1" x14ac:dyDescent="0.3">
      <c r="A42" t="s">
        <v>130</v>
      </c>
      <c r="B42" s="2">
        <v>45769</v>
      </c>
      <c r="C42" s="3">
        <v>634149354</v>
      </c>
      <c r="D42" s="4">
        <v>7004817</v>
      </c>
      <c r="E42" s="4">
        <v>6212</v>
      </c>
      <c r="F42">
        <f t="shared" si="0"/>
        <v>2025</v>
      </c>
      <c r="G42" t="str">
        <f t="shared" si="1"/>
        <v>April</v>
      </c>
      <c r="H42" t="str">
        <f t="shared" si="2"/>
        <v>Tuesday</v>
      </c>
      <c r="I42">
        <f t="shared" si="3"/>
        <v>1.1055800902069515</v>
      </c>
      <c r="J42">
        <f t="shared" si="4"/>
        <v>11.046005102450991</v>
      </c>
      <c r="K42">
        <f t="shared" si="5"/>
        <v>9.7957996185233046E-3</v>
      </c>
      <c r="L42">
        <f t="shared" si="6"/>
        <v>0.72022243269107433</v>
      </c>
      <c r="M42">
        <f t="shared" si="7"/>
        <v>0.15311619150703581</v>
      </c>
      <c r="N42">
        <f t="shared" si="8"/>
        <v>26</v>
      </c>
      <c r="O42" t="str">
        <f t="shared" si="9"/>
        <v>Money</v>
      </c>
    </row>
    <row r="43" spans="1:15" hidden="1" x14ac:dyDescent="0.3">
      <c r="A43" t="s">
        <v>218</v>
      </c>
      <c r="B43" s="2">
        <v>45274</v>
      </c>
      <c r="C43" s="3">
        <v>633026108</v>
      </c>
      <c r="D43" s="4">
        <v>16095881</v>
      </c>
      <c r="E43" s="4">
        <v>32298</v>
      </c>
      <c r="F43">
        <f t="shared" si="0"/>
        <v>2023</v>
      </c>
      <c r="G43" t="str">
        <f t="shared" si="1"/>
        <v>December</v>
      </c>
      <c r="H43" t="str">
        <f t="shared" si="2"/>
        <v>Thursday</v>
      </c>
      <c r="I43">
        <f t="shared" si="3"/>
        <v>2.5477904933424957</v>
      </c>
      <c r="J43">
        <f t="shared" si="4"/>
        <v>25.426883341121215</v>
      </c>
      <c r="K43">
        <f t="shared" si="5"/>
        <v>5.1021592303741127E-2</v>
      </c>
      <c r="L43">
        <f t="shared" si="6"/>
        <v>0.72283114638060819</v>
      </c>
      <c r="M43">
        <f t="shared" si="7"/>
        <v>0.16008061101556995</v>
      </c>
      <c r="N43">
        <f t="shared" si="8"/>
        <v>33</v>
      </c>
      <c r="O43" t="str">
        <f t="shared" si="9"/>
        <v>Money</v>
      </c>
    </row>
    <row r="44" spans="1:15" hidden="1" x14ac:dyDescent="0.3">
      <c r="A44" t="s">
        <v>167</v>
      </c>
      <c r="B44" s="2">
        <v>45582</v>
      </c>
      <c r="C44" s="3">
        <v>631406756</v>
      </c>
      <c r="D44" s="4">
        <v>14097247</v>
      </c>
      <c r="E44" s="4">
        <v>22617</v>
      </c>
      <c r="F44">
        <f t="shared" si="0"/>
        <v>2024</v>
      </c>
      <c r="G44" t="str">
        <f t="shared" si="1"/>
        <v>October</v>
      </c>
      <c r="H44" t="str">
        <f t="shared" si="2"/>
        <v>Thursday</v>
      </c>
      <c r="I44">
        <f t="shared" si="3"/>
        <v>2.2362548176472155</v>
      </c>
      <c r="J44">
        <f t="shared" si="4"/>
        <v>22.326728160634378</v>
      </c>
      <c r="K44">
        <f t="shared" si="5"/>
        <v>3.5820015837777955E-2</v>
      </c>
      <c r="L44">
        <f t="shared" si="6"/>
        <v>0.71990182463482799</v>
      </c>
      <c r="M44">
        <f t="shared" si="7"/>
        <v>0.16525737107196964</v>
      </c>
      <c r="N44">
        <f t="shared" si="8"/>
        <v>19</v>
      </c>
      <c r="O44" t="str">
        <f t="shared" si="9"/>
        <v>Other</v>
      </c>
    </row>
    <row r="45" spans="1:15" hidden="1" x14ac:dyDescent="0.3">
      <c r="A45" t="s">
        <v>137</v>
      </c>
      <c r="B45" s="2">
        <v>45739</v>
      </c>
      <c r="C45" s="3">
        <v>631272285</v>
      </c>
      <c r="D45" s="4">
        <v>13249291</v>
      </c>
      <c r="E45" s="4">
        <v>13051</v>
      </c>
      <c r="F45">
        <f t="shared" si="0"/>
        <v>2025</v>
      </c>
      <c r="G45" t="str">
        <f t="shared" si="1"/>
        <v>March</v>
      </c>
      <c r="H45" t="str">
        <f t="shared" si="2"/>
        <v>Sunday</v>
      </c>
      <c r="I45">
        <f t="shared" si="3"/>
        <v>2.1008909016178334</v>
      </c>
      <c r="J45">
        <f t="shared" si="4"/>
        <v>20.988234894551088</v>
      </c>
      <c r="K45">
        <f t="shared" si="5"/>
        <v>2.0674121627246789E-2</v>
      </c>
      <c r="L45">
        <f t="shared" si="6"/>
        <v>0.71766493650051644</v>
      </c>
      <c r="M45">
        <f t="shared" si="7"/>
        <v>0.17088944354584865</v>
      </c>
      <c r="N45">
        <f t="shared" si="8"/>
        <v>26</v>
      </c>
      <c r="O45" t="str">
        <f t="shared" si="9"/>
        <v>Money</v>
      </c>
    </row>
    <row r="46" spans="1:15" hidden="1" x14ac:dyDescent="0.3">
      <c r="A46" t="s">
        <v>201</v>
      </c>
      <c r="B46" s="2">
        <v>45391</v>
      </c>
      <c r="C46" s="3">
        <v>622697624</v>
      </c>
      <c r="D46" s="4">
        <v>19929284</v>
      </c>
      <c r="E46" s="4">
        <v>26190</v>
      </c>
      <c r="F46">
        <f t="shared" si="0"/>
        <v>2024</v>
      </c>
      <c r="G46" t="str">
        <f t="shared" si="1"/>
        <v>April</v>
      </c>
      <c r="H46" t="str">
        <f t="shared" si="2"/>
        <v>Tuesday</v>
      </c>
      <c r="I46">
        <f t="shared" si="3"/>
        <v>3.2046812499159305</v>
      </c>
      <c r="J46">
        <f t="shared" si="4"/>
        <v>32.004753562380699</v>
      </c>
      <c r="K46">
        <f t="shared" si="5"/>
        <v>4.2058936778599301E-2</v>
      </c>
      <c r="L46">
        <f t="shared" si="6"/>
        <v>0.71577096520736516</v>
      </c>
      <c r="M46">
        <f t="shared" si="7"/>
        <v>0.17764333574388086</v>
      </c>
      <c r="N46">
        <f t="shared" si="8"/>
        <v>23</v>
      </c>
      <c r="O46" t="str">
        <f t="shared" si="9"/>
        <v>Other</v>
      </c>
    </row>
    <row r="47" spans="1:15" hidden="1" x14ac:dyDescent="0.3">
      <c r="A47" t="s">
        <v>265</v>
      </c>
      <c r="B47" s="2">
        <v>44971</v>
      </c>
      <c r="C47" s="3">
        <v>612882497</v>
      </c>
      <c r="D47" s="4">
        <v>22148024</v>
      </c>
      <c r="E47" s="4">
        <v>30322</v>
      </c>
      <c r="F47">
        <f t="shared" si="0"/>
        <v>2023</v>
      </c>
      <c r="G47" t="str">
        <f t="shared" si="1"/>
        <v>February</v>
      </c>
      <c r="H47" t="str">
        <f t="shared" si="2"/>
        <v>Tuesday</v>
      </c>
      <c r="I47">
        <f t="shared" si="3"/>
        <v>3.6186946288335595</v>
      </c>
      <c r="J47">
        <f t="shared" si="4"/>
        <v>36.13747187823509</v>
      </c>
      <c r="K47">
        <f t="shared" si="5"/>
        <v>4.9474410100505774E-2</v>
      </c>
      <c r="L47">
        <f t="shared" si="6"/>
        <v>0.71189375195677085</v>
      </c>
      <c r="M47">
        <f t="shared" si="7"/>
        <v>0.18309190026376784</v>
      </c>
      <c r="N47">
        <f t="shared" si="8"/>
        <v>30</v>
      </c>
      <c r="O47" t="str">
        <f t="shared" si="9"/>
        <v>Other</v>
      </c>
    </row>
    <row r="48" spans="1:15" hidden="1" x14ac:dyDescent="0.3">
      <c r="A48" t="s">
        <v>94</v>
      </c>
      <c r="B48" s="2">
        <v>45901</v>
      </c>
      <c r="C48" s="3">
        <v>612079232</v>
      </c>
      <c r="D48" s="4">
        <v>9690800</v>
      </c>
      <c r="E48" s="4">
        <v>12851</v>
      </c>
      <c r="F48">
        <f t="shared" si="0"/>
        <v>2025</v>
      </c>
      <c r="G48" t="str">
        <f t="shared" si="1"/>
        <v>September</v>
      </c>
      <c r="H48" t="str">
        <f t="shared" si="2"/>
        <v>Monday</v>
      </c>
      <c r="I48">
        <f t="shared" si="3"/>
        <v>1.5853586419347749</v>
      </c>
      <c r="J48">
        <f t="shared" si="4"/>
        <v>15.832590771516328</v>
      </c>
      <c r="K48">
        <f t="shared" si="5"/>
        <v>2.0995647831423235E-2</v>
      </c>
      <c r="L48">
        <f t="shared" si="6"/>
        <v>0.70817366049110053</v>
      </c>
      <c r="M48">
        <f t="shared" si="7"/>
        <v>0.18848511026974757</v>
      </c>
      <c r="N48">
        <f t="shared" si="8"/>
        <v>18</v>
      </c>
      <c r="O48" t="str">
        <f t="shared" si="9"/>
        <v>Other</v>
      </c>
    </row>
    <row r="49" spans="1:15" hidden="1" x14ac:dyDescent="0.3">
      <c r="A49" t="s">
        <v>246</v>
      </c>
      <c r="B49" s="2">
        <v>45155</v>
      </c>
      <c r="C49" s="3">
        <v>600816252</v>
      </c>
      <c r="D49" s="4">
        <v>21408214</v>
      </c>
      <c r="E49" s="4">
        <v>40536</v>
      </c>
      <c r="F49">
        <f t="shared" si="0"/>
        <v>2023</v>
      </c>
      <c r="G49" t="str">
        <f t="shared" si="1"/>
        <v>August</v>
      </c>
      <c r="H49" t="str">
        <f t="shared" si="2"/>
        <v>Thursday</v>
      </c>
      <c r="I49">
        <f t="shared" si="3"/>
        <v>3.569935055618302</v>
      </c>
      <c r="J49">
        <f t="shared" si="4"/>
        <v>35.631882341291927</v>
      </c>
      <c r="K49">
        <f t="shared" si="5"/>
        <v>6.7468214891097847E-2</v>
      </c>
      <c r="L49">
        <f t="shared" si="6"/>
        <v>0.70824164928348543</v>
      </c>
      <c r="M49">
        <f t="shared" si="7"/>
        <v>0.19513491783623096</v>
      </c>
      <c r="N49">
        <f t="shared" si="8"/>
        <v>37</v>
      </c>
      <c r="O49" t="str">
        <f t="shared" si="9"/>
        <v>Other</v>
      </c>
    </row>
    <row r="50" spans="1:15" hidden="1" x14ac:dyDescent="0.3">
      <c r="A50" t="s">
        <v>146</v>
      </c>
      <c r="B50" s="2">
        <v>45702</v>
      </c>
      <c r="C50" s="3">
        <v>599313395</v>
      </c>
      <c r="D50" s="4">
        <v>8507821</v>
      </c>
      <c r="E50" s="4">
        <v>11705</v>
      </c>
      <c r="F50">
        <f t="shared" si="0"/>
        <v>2025</v>
      </c>
      <c r="G50" t="str">
        <f t="shared" si="1"/>
        <v>February</v>
      </c>
      <c r="H50" t="str">
        <f t="shared" si="2"/>
        <v>Friday</v>
      </c>
      <c r="I50">
        <f t="shared" si="3"/>
        <v>1.4215477363058104</v>
      </c>
      <c r="J50">
        <f t="shared" si="4"/>
        <v>14.195946679950312</v>
      </c>
      <c r="K50">
        <f t="shared" si="5"/>
        <v>1.9530683107792043E-2</v>
      </c>
      <c r="L50">
        <f t="shared" si="6"/>
        <v>0.70455173549547734</v>
      </c>
      <c r="M50">
        <f t="shared" si="7"/>
        <v>0.19982000980929873</v>
      </c>
      <c r="N50">
        <f t="shared" si="8"/>
        <v>28</v>
      </c>
      <c r="O50" t="str">
        <f t="shared" si="9"/>
        <v>Money</v>
      </c>
    </row>
    <row r="51" spans="1:15" hidden="1" x14ac:dyDescent="0.3">
      <c r="A51" t="s">
        <v>260</v>
      </c>
      <c r="B51" s="2">
        <v>45031</v>
      </c>
      <c r="C51" s="3">
        <v>596738610</v>
      </c>
      <c r="D51" s="4">
        <v>24373873</v>
      </c>
      <c r="E51" s="4">
        <v>29871</v>
      </c>
      <c r="F51">
        <f t="shared" si="0"/>
        <v>2023</v>
      </c>
      <c r="G51" t="str">
        <f t="shared" si="1"/>
        <v>April</v>
      </c>
      <c r="H51" t="str">
        <f t="shared" si="2"/>
        <v>Saturday</v>
      </c>
      <c r="I51">
        <f t="shared" si="3"/>
        <v>4.0895198653226075</v>
      </c>
      <c r="J51">
        <f t="shared" si="4"/>
        <v>40.845141560389393</v>
      </c>
      <c r="K51">
        <f t="shared" si="5"/>
        <v>5.005709283667769E-2</v>
      </c>
      <c r="L51">
        <f t="shared" si="6"/>
        <v>0.70535865987554491</v>
      </c>
      <c r="M51">
        <f t="shared" si="7"/>
        <v>0.20653785755190152</v>
      </c>
      <c r="N51">
        <f t="shared" si="8"/>
        <v>38</v>
      </c>
      <c r="O51" t="str">
        <f t="shared" si="9"/>
        <v>Other</v>
      </c>
    </row>
    <row r="52" spans="1:15" hidden="1" x14ac:dyDescent="0.3">
      <c r="A52" t="s">
        <v>234</v>
      </c>
      <c r="B52" s="2">
        <v>45204</v>
      </c>
      <c r="C52" s="3">
        <v>591984955</v>
      </c>
      <c r="D52" s="4">
        <v>31173271</v>
      </c>
      <c r="E52" s="4">
        <v>84571</v>
      </c>
      <c r="F52">
        <f t="shared" si="0"/>
        <v>2023</v>
      </c>
      <c r="G52" t="str">
        <f t="shared" si="1"/>
        <v>October</v>
      </c>
      <c r="H52" t="str">
        <f t="shared" si="2"/>
        <v>Thursday</v>
      </c>
      <c r="I52">
        <f t="shared" si="3"/>
        <v>5.2801750679626647</v>
      </c>
      <c r="J52">
        <f t="shared" si="4"/>
        <v>52.658890630083668</v>
      </c>
      <c r="K52">
        <f t="shared" si="5"/>
        <v>0.14286004954298204</v>
      </c>
      <c r="L52">
        <f t="shared" si="6"/>
        <v>0.70220761986687719</v>
      </c>
      <c r="M52">
        <f t="shared" si="7"/>
        <v>0.2120429146565464</v>
      </c>
      <c r="N52">
        <f t="shared" si="8"/>
        <v>54</v>
      </c>
      <c r="O52" t="str">
        <f t="shared" si="9"/>
        <v>Other</v>
      </c>
    </row>
    <row r="53" spans="1:15" hidden="1" x14ac:dyDescent="0.3">
      <c r="A53" t="s">
        <v>161</v>
      </c>
      <c r="B53" s="2">
        <v>45614</v>
      </c>
      <c r="C53" s="3">
        <v>582483781</v>
      </c>
      <c r="D53" s="4">
        <v>11215697</v>
      </c>
      <c r="E53" s="4">
        <v>15353</v>
      </c>
      <c r="F53">
        <f t="shared" si="0"/>
        <v>2024</v>
      </c>
      <c r="G53" t="str">
        <f t="shared" si="1"/>
        <v>November</v>
      </c>
      <c r="H53" t="str">
        <f t="shared" si="2"/>
        <v>Monday</v>
      </c>
      <c r="I53">
        <f t="shared" si="3"/>
        <v>1.9281309396664559</v>
      </c>
      <c r="J53">
        <f t="shared" si="4"/>
        <v>19.254951581218361</v>
      </c>
      <c r="K53">
        <f t="shared" si="5"/>
        <v>2.635781544619523E-2</v>
      </c>
      <c r="L53">
        <f t="shared" si="6"/>
        <v>0.70355308232649294</v>
      </c>
      <c r="M53">
        <f t="shared" si="7"/>
        <v>0.21397352385961124</v>
      </c>
      <c r="N53">
        <f t="shared" si="8"/>
        <v>38</v>
      </c>
      <c r="O53" t="str">
        <f t="shared" si="9"/>
        <v>Other</v>
      </c>
    </row>
    <row r="54" spans="1:15" x14ac:dyDescent="0.3">
      <c r="A54" t="s">
        <v>30</v>
      </c>
      <c r="B54" s="2">
        <v>46116</v>
      </c>
      <c r="C54" s="3">
        <v>111478886</v>
      </c>
      <c r="D54" s="4">
        <v>2619052</v>
      </c>
      <c r="E54" s="4">
        <v>171141</v>
      </c>
      <c r="F54">
        <f t="shared" si="0"/>
        <v>2026</v>
      </c>
      <c r="G54" t="str">
        <f t="shared" si="1"/>
        <v>April</v>
      </c>
      <c r="H54" t="str">
        <f t="shared" si="2"/>
        <v>Saturday</v>
      </c>
      <c r="I54">
        <f t="shared" si="3"/>
        <v>2.5028892018171045</v>
      </c>
      <c r="J54">
        <f t="shared" si="4"/>
        <v>23.493704449109764</v>
      </c>
      <c r="K54">
        <f t="shared" si="5"/>
        <v>1.535187569061284</v>
      </c>
      <c r="L54">
        <f t="shared" si="6"/>
        <v>0.70210052755129615</v>
      </c>
      <c r="M54">
        <f t="shared" si="7"/>
        <v>0.22014082663766954</v>
      </c>
      <c r="N54">
        <f t="shared" si="8"/>
        <v>33</v>
      </c>
      <c r="O54" t="str">
        <f t="shared" si="9"/>
        <v>Money</v>
      </c>
    </row>
    <row r="55" spans="1:15" hidden="1" x14ac:dyDescent="0.3">
      <c r="A55" t="s">
        <v>131</v>
      </c>
      <c r="B55" s="2">
        <v>45763</v>
      </c>
      <c r="C55" s="3">
        <v>569381470</v>
      </c>
      <c r="D55" s="4">
        <v>7116073</v>
      </c>
      <c r="E55" s="4">
        <v>12000</v>
      </c>
      <c r="F55">
        <f t="shared" si="0"/>
        <v>2025</v>
      </c>
      <c r="G55" t="str">
        <f t="shared" si="1"/>
        <v>April</v>
      </c>
      <c r="H55" t="str">
        <f t="shared" si="2"/>
        <v>Wednesday</v>
      </c>
      <c r="I55">
        <f t="shared" si="3"/>
        <v>1.2518976074159911</v>
      </c>
      <c r="J55">
        <f t="shared" si="4"/>
        <v>12.497900572703919</v>
      </c>
      <c r="K55">
        <f t="shared" si="5"/>
        <v>2.1075501455992237E-2</v>
      </c>
      <c r="L55">
        <f t="shared" si="6"/>
        <v>0.70260343271588688</v>
      </c>
      <c r="M55">
        <f t="shared" si="7"/>
        <v>0.22314245104566674</v>
      </c>
      <c r="N55">
        <f t="shared" si="8"/>
        <v>27</v>
      </c>
      <c r="O55" t="str">
        <f t="shared" si="9"/>
        <v>Money</v>
      </c>
    </row>
    <row r="56" spans="1:15" hidden="1" x14ac:dyDescent="0.3">
      <c r="A56" t="s">
        <v>237</v>
      </c>
      <c r="B56" s="2">
        <v>45185</v>
      </c>
      <c r="C56" s="3">
        <v>565310414</v>
      </c>
      <c r="D56" s="4">
        <v>8195535</v>
      </c>
      <c r="E56" s="4">
        <v>159916</v>
      </c>
      <c r="F56">
        <f t="shared" si="0"/>
        <v>2023</v>
      </c>
      <c r="G56" t="str">
        <f t="shared" si="1"/>
        <v>September</v>
      </c>
      <c r="H56" t="str">
        <f t="shared" si="2"/>
        <v>Saturday</v>
      </c>
      <c r="I56">
        <f t="shared" si="3"/>
        <v>1.4780288480586881</v>
      </c>
      <c r="J56">
        <f t="shared" si="4"/>
        <v>14.497406729181536</v>
      </c>
      <c r="K56">
        <f t="shared" si="5"/>
        <v>0.28288175140534383</v>
      </c>
      <c r="L56">
        <f t="shared" si="6"/>
        <v>0.7040741570277943</v>
      </c>
      <c r="M56">
        <f t="shared" si="7"/>
        <v>0.22943055973776866</v>
      </c>
      <c r="N56">
        <f t="shared" si="8"/>
        <v>23</v>
      </c>
      <c r="O56" t="str">
        <f t="shared" si="9"/>
        <v>Money</v>
      </c>
    </row>
    <row r="57" spans="1:15" hidden="1" x14ac:dyDescent="0.3">
      <c r="A57" t="s">
        <v>261</v>
      </c>
      <c r="B57" s="2">
        <v>45017</v>
      </c>
      <c r="C57" s="3">
        <v>564954489</v>
      </c>
      <c r="D57" s="4">
        <v>9086953</v>
      </c>
      <c r="E57" s="4">
        <v>176255</v>
      </c>
      <c r="F57">
        <f t="shared" si="0"/>
        <v>2023</v>
      </c>
      <c r="G57" t="str">
        <f t="shared" si="1"/>
        <v>April</v>
      </c>
      <c r="H57" t="str">
        <f t="shared" si="2"/>
        <v>Saturday</v>
      </c>
      <c r="I57">
        <f t="shared" si="3"/>
        <v>1.6396379142674624</v>
      </c>
      <c r="J57">
        <f t="shared" si="4"/>
        <v>16.084398260264113</v>
      </c>
      <c r="K57">
        <f t="shared" si="5"/>
        <v>0.31198088241051219</v>
      </c>
      <c r="L57">
        <f t="shared" si="6"/>
        <v>0.70461871449020819</v>
      </c>
      <c r="M57">
        <f t="shared" si="7"/>
        <v>0.22670665840947787</v>
      </c>
      <c r="N57">
        <f t="shared" si="8"/>
        <v>28</v>
      </c>
      <c r="O57" t="str">
        <f t="shared" si="9"/>
        <v>Money</v>
      </c>
    </row>
    <row r="58" spans="1:15" hidden="1" x14ac:dyDescent="0.3">
      <c r="A58" t="s">
        <v>227</v>
      </c>
      <c r="B58" s="2">
        <v>45230</v>
      </c>
      <c r="C58" s="3">
        <v>560260485</v>
      </c>
      <c r="D58" s="4">
        <v>21942870</v>
      </c>
      <c r="E58" s="4">
        <v>39094</v>
      </c>
      <c r="F58">
        <f t="shared" si="0"/>
        <v>2023</v>
      </c>
      <c r="G58" t="str">
        <f t="shared" si="1"/>
        <v>October</v>
      </c>
      <c r="H58" t="str">
        <f t="shared" si="2"/>
        <v>Tuesday</v>
      </c>
      <c r="I58">
        <f t="shared" si="3"/>
        <v>3.9235256793096878</v>
      </c>
      <c r="J58">
        <f t="shared" si="4"/>
        <v>39.165478536291914</v>
      </c>
      <c r="K58">
        <f t="shared" si="5"/>
        <v>6.9778256804957431E-2</v>
      </c>
      <c r="L58">
        <f t="shared" si="6"/>
        <v>0.704516346977893</v>
      </c>
      <c r="M58">
        <f t="shared" si="7"/>
        <v>0.22308113713728964</v>
      </c>
      <c r="N58">
        <f t="shared" si="8"/>
        <v>28</v>
      </c>
      <c r="O58" t="str">
        <f t="shared" si="9"/>
        <v>Other</v>
      </c>
    </row>
    <row r="59" spans="1:15" hidden="1" x14ac:dyDescent="0.3">
      <c r="A59" t="s">
        <v>248</v>
      </c>
      <c r="B59" s="2">
        <v>45146</v>
      </c>
      <c r="C59" s="3">
        <v>559313193</v>
      </c>
      <c r="D59" s="4">
        <v>22296213</v>
      </c>
      <c r="E59" s="4">
        <v>41505</v>
      </c>
      <c r="F59">
        <f t="shared" si="0"/>
        <v>2023</v>
      </c>
      <c r="G59" t="str">
        <f t="shared" si="1"/>
        <v>August</v>
      </c>
      <c r="H59" t="str">
        <f t="shared" si="2"/>
        <v>Tuesday</v>
      </c>
      <c r="I59">
        <f t="shared" si="3"/>
        <v>3.99377634562609</v>
      </c>
      <c r="J59">
        <f t="shared" si="4"/>
        <v>39.863556374219122</v>
      </c>
      <c r="K59">
        <f t="shared" si="5"/>
        <v>7.4207082041778338E-2</v>
      </c>
      <c r="L59">
        <f t="shared" si="6"/>
        <v>0.70165123133360496</v>
      </c>
      <c r="M59">
        <f t="shared" si="7"/>
        <v>0.2277622759012069</v>
      </c>
      <c r="N59">
        <f t="shared" si="8"/>
        <v>39</v>
      </c>
      <c r="O59" t="str">
        <f t="shared" si="9"/>
        <v>Other</v>
      </c>
    </row>
    <row r="60" spans="1:15" hidden="1" x14ac:dyDescent="0.3">
      <c r="A60" t="s">
        <v>294</v>
      </c>
      <c r="B60" s="2">
        <v>44439</v>
      </c>
      <c r="C60" s="3">
        <v>558041959</v>
      </c>
      <c r="D60" s="4">
        <v>7913972</v>
      </c>
      <c r="E60" s="4">
        <v>132963</v>
      </c>
      <c r="F60">
        <f t="shared" si="0"/>
        <v>2021</v>
      </c>
      <c r="G60" t="str">
        <f t="shared" si="1"/>
        <v>August</v>
      </c>
      <c r="H60" t="str">
        <f t="shared" si="2"/>
        <v>Tuesday</v>
      </c>
      <c r="I60">
        <f t="shared" si="3"/>
        <v>1.4419946153188814</v>
      </c>
      <c r="J60">
        <f t="shared" si="4"/>
        <v>14.181679123522681</v>
      </c>
      <c r="K60">
        <f t="shared" si="5"/>
        <v>0.23826702966613303</v>
      </c>
      <c r="L60">
        <f t="shared" si="6"/>
        <v>0.69889426151615719</v>
      </c>
      <c r="M60">
        <f t="shared" si="7"/>
        <v>0.23231035796987407</v>
      </c>
      <c r="N60">
        <f t="shared" si="8"/>
        <v>34</v>
      </c>
      <c r="O60" t="str">
        <f t="shared" si="9"/>
        <v>Money</v>
      </c>
    </row>
    <row r="61" spans="1:15" hidden="1" x14ac:dyDescent="0.3">
      <c r="A61" t="s">
        <v>253</v>
      </c>
      <c r="B61" s="2">
        <v>45087</v>
      </c>
      <c r="C61" s="3">
        <v>555433781</v>
      </c>
      <c r="D61" s="4">
        <v>8457520</v>
      </c>
      <c r="E61" s="4">
        <v>168267</v>
      </c>
      <c r="F61">
        <f t="shared" si="0"/>
        <v>2023</v>
      </c>
      <c r="G61" t="str">
        <f t="shared" si="1"/>
        <v>June</v>
      </c>
      <c r="H61" t="str">
        <f t="shared" si="2"/>
        <v>Saturday</v>
      </c>
      <c r="I61">
        <f t="shared" si="3"/>
        <v>1.5529820646612778</v>
      </c>
      <c r="J61">
        <f t="shared" si="4"/>
        <v>15.226873642386543</v>
      </c>
      <c r="K61">
        <f t="shared" si="5"/>
        <v>0.30294700422623377</v>
      </c>
      <c r="L61">
        <f t="shared" si="6"/>
        <v>0.69948366884373814</v>
      </c>
      <c r="M61">
        <f t="shared" si="7"/>
        <v>0.23120702008967917</v>
      </c>
      <c r="N61">
        <f t="shared" si="8"/>
        <v>27</v>
      </c>
      <c r="O61" t="str">
        <f t="shared" si="9"/>
        <v>Money</v>
      </c>
    </row>
    <row r="62" spans="1:15" hidden="1" x14ac:dyDescent="0.3">
      <c r="A62" t="s">
        <v>192</v>
      </c>
      <c r="B62" s="2">
        <v>45426</v>
      </c>
      <c r="C62" s="3">
        <v>553404359</v>
      </c>
      <c r="D62" s="4">
        <v>12961525</v>
      </c>
      <c r="E62" s="4">
        <v>52785</v>
      </c>
      <c r="F62">
        <f t="shared" si="0"/>
        <v>2024</v>
      </c>
      <c r="G62" t="str">
        <f t="shared" si="1"/>
        <v>May</v>
      </c>
      <c r="H62" t="str">
        <f t="shared" si="2"/>
        <v>Tuesday</v>
      </c>
      <c r="I62">
        <f t="shared" si="3"/>
        <v>2.3516818739044303</v>
      </c>
      <c r="J62">
        <f t="shared" si="4"/>
        <v>23.4214364039731</v>
      </c>
      <c r="K62">
        <f t="shared" si="5"/>
        <v>9.5382335071198823E-2</v>
      </c>
      <c r="L62">
        <f t="shared" si="6"/>
        <v>0.69963089005844525</v>
      </c>
      <c r="M62">
        <f t="shared" si="7"/>
        <v>0.22814350612482984</v>
      </c>
      <c r="N62">
        <f t="shared" si="8"/>
        <v>42</v>
      </c>
      <c r="O62" t="str">
        <f t="shared" si="9"/>
        <v>Other</v>
      </c>
    </row>
    <row r="63" spans="1:15" hidden="1" x14ac:dyDescent="0.3">
      <c r="A63" t="s">
        <v>185</v>
      </c>
      <c r="B63" s="2">
        <v>45483</v>
      </c>
      <c r="C63" s="3">
        <v>548557553</v>
      </c>
      <c r="D63" s="4">
        <v>20410996</v>
      </c>
      <c r="E63" s="4">
        <v>51434</v>
      </c>
      <c r="F63">
        <f t="shared" si="0"/>
        <v>2024</v>
      </c>
      <c r="G63" t="str">
        <f t="shared" si="1"/>
        <v>July</v>
      </c>
      <c r="H63" t="str">
        <f t="shared" si="2"/>
        <v>Wednesday</v>
      </c>
      <c r="I63">
        <f t="shared" si="3"/>
        <v>3.7302248210954811</v>
      </c>
      <c r="J63">
        <f t="shared" si="4"/>
        <v>37.208485943497713</v>
      </c>
      <c r="K63">
        <f t="shared" si="5"/>
        <v>9.3762267457103088E-2</v>
      </c>
      <c r="L63">
        <f t="shared" si="6"/>
        <v>0.6970554766099033</v>
      </c>
      <c r="M63">
        <f t="shared" si="7"/>
        <v>0.23190500011646167</v>
      </c>
      <c r="N63">
        <f t="shared" si="8"/>
        <v>38</v>
      </c>
      <c r="O63" t="str">
        <f t="shared" si="9"/>
        <v>Other</v>
      </c>
    </row>
    <row r="64" spans="1:15" hidden="1" x14ac:dyDescent="0.3">
      <c r="A64" t="s">
        <v>252</v>
      </c>
      <c r="B64" s="2">
        <v>45113</v>
      </c>
      <c r="C64" s="3">
        <v>539238972</v>
      </c>
      <c r="D64" s="4">
        <v>26241912</v>
      </c>
      <c r="E64" s="4">
        <v>39406</v>
      </c>
      <c r="F64">
        <f t="shared" si="0"/>
        <v>2023</v>
      </c>
      <c r="G64" t="str">
        <f t="shared" si="1"/>
        <v>July</v>
      </c>
      <c r="H64" t="str">
        <f t="shared" si="2"/>
        <v>Thursday</v>
      </c>
      <c r="I64">
        <f t="shared" si="3"/>
        <v>4.873779412219486</v>
      </c>
      <c r="J64">
        <f t="shared" si="4"/>
        <v>48.664717059804794</v>
      </c>
      <c r="K64">
        <f t="shared" si="5"/>
        <v>7.3077062390067754E-2</v>
      </c>
      <c r="L64">
        <f t="shared" si="6"/>
        <v>0.69377724332748936</v>
      </c>
      <c r="M64">
        <f t="shared" si="7"/>
        <v>0.23562991244124373</v>
      </c>
      <c r="N64">
        <f t="shared" si="8"/>
        <v>41</v>
      </c>
      <c r="O64" t="str">
        <f t="shared" si="9"/>
        <v>Other</v>
      </c>
    </row>
    <row r="65" spans="1:15" hidden="1" x14ac:dyDescent="0.3">
      <c r="A65" t="s">
        <v>235</v>
      </c>
      <c r="B65" s="2">
        <v>45195</v>
      </c>
      <c r="C65" s="3">
        <v>538569877</v>
      </c>
      <c r="D65" s="4">
        <v>25215900</v>
      </c>
      <c r="E65" s="4">
        <v>63720</v>
      </c>
      <c r="F65">
        <f t="shared" si="0"/>
        <v>2023</v>
      </c>
      <c r="G65" t="str">
        <f t="shared" si="1"/>
        <v>September</v>
      </c>
      <c r="H65" t="str">
        <f t="shared" si="2"/>
        <v>Tuesday</v>
      </c>
      <c r="I65">
        <f t="shared" si="3"/>
        <v>4.6938421697134762</v>
      </c>
      <c r="J65">
        <f t="shared" si="4"/>
        <v>46.820108358938164</v>
      </c>
      <c r="K65">
        <f t="shared" si="5"/>
        <v>0.1183133381965958</v>
      </c>
      <c r="L65">
        <f t="shared" si="6"/>
        <v>0.69396018262061965</v>
      </c>
      <c r="M65">
        <f t="shared" si="7"/>
        <v>0.24004171513291298</v>
      </c>
      <c r="N65">
        <f t="shared" si="8"/>
        <v>43</v>
      </c>
      <c r="O65" t="str">
        <f t="shared" si="9"/>
        <v>Other</v>
      </c>
    </row>
    <row r="66" spans="1:15" hidden="1" x14ac:dyDescent="0.3">
      <c r="A66" t="s">
        <v>244</v>
      </c>
      <c r="B66" s="2">
        <v>45160</v>
      </c>
      <c r="C66" s="3">
        <v>538185052</v>
      </c>
      <c r="D66" s="4">
        <v>13889755</v>
      </c>
      <c r="E66" s="4">
        <v>29588</v>
      </c>
      <c r="F66">
        <f t="shared" ref="F66:F129" si="10">YEAR(B66)</f>
        <v>2023</v>
      </c>
      <c r="G66" t="str">
        <f t="shared" ref="G66:G129" si="11">TEXT(B66,"MMMM")</f>
        <v>August</v>
      </c>
      <c r="H66" t="str">
        <f t="shared" ref="H66:H129" si="12">TEXT(B66, "DDDD")</f>
        <v>Tuesday</v>
      </c>
      <c r="I66">
        <f t="shared" ref="I66:I129" si="13">((D66+E66)/C66)*100</f>
        <v>2.5863488679726467</v>
      </c>
      <c r="J66">
        <f t="shared" ref="J66:J129" si="14">(D66/C66)*1000</f>
        <v>25.80851130737091</v>
      </c>
      <c r="K66">
        <f t="shared" ref="K66:K129" si="15">(E66/C66)*1000</f>
        <v>5.4977372355559218E-2</v>
      </c>
      <c r="L66">
        <f t="shared" ref="L66:L129" si="16">CORREL(C66:C564, D66:D564)</f>
        <v>0.69380892799923966</v>
      </c>
      <c r="M66">
        <f t="shared" ref="M66:M129" si="17">CORREL(C66:C564,E66:E564)</f>
        <v>0.24304411871151632</v>
      </c>
      <c r="N66">
        <f t="shared" ref="N66:N129" si="18">LEN(A66)</f>
        <v>24</v>
      </c>
      <c r="O66" t="str">
        <f t="shared" ref="O66:O129" si="19">IF(ISNUMBER(SEARCH("$",A66)), "Money", IF(ISNUMBER(SEARCH("Win",A66)), "Challenge",IF(ISNUMBER(SEARCH("Challenge",A66)), "Challenge",IF(ISNUMBER(SEARCH("Last To Leave",A66)),"Challenge",IF(ISNUMBER(SEARCH("Giving Away", A66)),"Giveaway",IF(ISNUMBER(SEARCH("Stranded",A66)),"Survival", IF(ISNUMBER(SEARCH("Survive",A66)), "Survival", IF(ISNUMBER(SEARCH("Days",A66)),"Endurance","Other"))))))))</f>
        <v>Other</v>
      </c>
    </row>
    <row r="67" spans="1:15" hidden="1" x14ac:dyDescent="0.3">
      <c r="A67" t="s">
        <v>197</v>
      </c>
      <c r="B67" s="2">
        <v>45412</v>
      </c>
      <c r="C67" s="3">
        <v>531706665</v>
      </c>
      <c r="D67" s="4">
        <v>14065500</v>
      </c>
      <c r="E67" s="4">
        <v>38283</v>
      </c>
      <c r="F67">
        <f t="shared" si="10"/>
        <v>2024</v>
      </c>
      <c r="G67" t="str">
        <f t="shared" si="11"/>
        <v>April</v>
      </c>
      <c r="H67" t="str">
        <f t="shared" si="12"/>
        <v>Tuesday</v>
      </c>
      <c r="I67">
        <f t="shared" si="13"/>
        <v>2.6525495970602511</v>
      </c>
      <c r="J67">
        <f t="shared" si="14"/>
        <v>26.453495744688475</v>
      </c>
      <c r="K67">
        <f t="shared" si="15"/>
        <v>7.2000225914038526E-2</v>
      </c>
      <c r="L67">
        <f t="shared" si="16"/>
        <v>0.69060197283189539</v>
      </c>
      <c r="M67">
        <f t="shared" si="17"/>
        <v>0.24818222712478841</v>
      </c>
      <c r="N67">
        <f t="shared" si="18"/>
        <v>35</v>
      </c>
      <c r="O67" t="str">
        <f t="shared" si="19"/>
        <v>Challenge</v>
      </c>
    </row>
    <row r="68" spans="1:15" hidden="1" x14ac:dyDescent="0.3">
      <c r="A68" t="s">
        <v>105</v>
      </c>
      <c r="B68" s="2">
        <v>45869</v>
      </c>
      <c r="C68" s="3">
        <v>529630320</v>
      </c>
      <c r="D68" s="4">
        <v>8545980</v>
      </c>
      <c r="E68" s="4">
        <v>13955</v>
      </c>
      <c r="F68">
        <f t="shared" si="10"/>
        <v>2025</v>
      </c>
      <c r="G68" t="str">
        <f t="shared" si="11"/>
        <v>July</v>
      </c>
      <c r="H68" t="str">
        <f t="shared" si="12"/>
        <v>Thursday</v>
      </c>
      <c r="I68">
        <f t="shared" si="13"/>
        <v>1.6162093967732061</v>
      </c>
      <c r="J68">
        <f t="shared" si="14"/>
        <v>16.135745400678722</v>
      </c>
      <c r="K68">
        <f t="shared" si="15"/>
        <v>2.6348567053336373E-2</v>
      </c>
      <c r="L68">
        <f t="shared" si="16"/>
        <v>0.68735448543365996</v>
      </c>
      <c r="M68">
        <f t="shared" si="17"/>
        <v>0.25277937503280606</v>
      </c>
      <c r="N68">
        <f t="shared" si="18"/>
        <v>29</v>
      </c>
      <c r="O68" t="str">
        <f t="shared" si="19"/>
        <v>Money</v>
      </c>
    </row>
    <row r="69" spans="1:15" hidden="1" x14ac:dyDescent="0.3">
      <c r="A69" t="s">
        <v>220</v>
      </c>
      <c r="B69" s="2">
        <v>45262</v>
      </c>
      <c r="C69" s="3">
        <v>527904203</v>
      </c>
      <c r="D69" s="4">
        <v>7590609</v>
      </c>
      <c r="E69" s="4">
        <v>89158</v>
      </c>
      <c r="F69">
        <f t="shared" si="10"/>
        <v>2023</v>
      </c>
      <c r="G69" t="str">
        <f t="shared" si="11"/>
        <v>December</v>
      </c>
      <c r="H69" t="str">
        <f t="shared" si="12"/>
        <v>Saturday</v>
      </c>
      <c r="I69">
        <f t="shared" si="13"/>
        <v>1.4547652692206354</v>
      </c>
      <c r="J69">
        <f t="shared" si="14"/>
        <v>14.378762201292798</v>
      </c>
      <c r="K69">
        <f t="shared" si="15"/>
        <v>0.1688904909135569</v>
      </c>
      <c r="L69">
        <f t="shared" si="16"/>
        <v>0.68682026380700267</v>
      </c>
      <c r="M69">
        <f t="shared" si="17"/>
        <v>0.25903034194178637</v>
      </c>
      <c r="N69">
        <f t="shared" si="18"/>
        <v>48</v>
      </c>
      <c r="O69" t="str">
        <f t="shared" si="19"/>
        <v>Money</v>
      </c>
    </row>
    <row r="70" spans="1:15" hidden="1" x14ac:dyDescent="0.3">
      <c r="A70" t="s">
        <v>240</v>
      </c>
      <c r="B70" s="2">
        <v>45174</v>
      </c>
      <c r="C70" s="3">
        <v>527154335</v>
      </c>
      <c r="D70" s="4">
        <v>15642985</v>
      </c>
      <c r="E70" s="4">
        <v>29577</v>
      </c>
      <c r="F70">
        <f t="shared" si="10"/>
        <v>2023</v>
      </c>
      <c r="G70" t="str">
        <f t="shared" si="11"/>
        <v>September</v>
      </c>
      <c r="H70" t="str">
        <f t="shared" si="12"/>
        <v>Tuesday</v>
      </c>
      <c r="I70">
        <f t="shared" si="13"/>
        <v>2.9730500082105937</v>
      </c>
      <c r="J70">
        <f t="shared" si="14"/>
        <v>29.67439317368034</v>
      </c>
      <c r="K70">
        <f t="shared" si="15"/>
        <v>5.6106908425594182E-2</v>
      </c>
      <c r="L70">
        <f t="shared" si="16"/>
        <v>0.68702498292203984</v>
      </c>
      <c r="M70">
        <f t="shared" si="17"/>
        <v>0.26031600827492257</v>
      </c>
      <c r="N70">
        <f t="shared" si="18"/>
        <v>35</v>
      </c>
      <c r="O70" t="str">
        <f t="shared" si="19"/>
        <v>Other</v>
      </c>
    </row>
    <row r="71" spans="1:15" hidden="1" x14ac:dyDescent="0.3">
      <c r="A71" t="s">
        <v>114</v>
      </c>
      <c r="B71" s="2">
        <v>45833</v>
      </c>
      <c r="C71" s="3">
        <v>526764521</v>
      </c>
      <c r="D71" s="4">
        <v>4257056</v>
      </c>
      <c r="E71" s="4">
        <v>8710</v>
      </c>
      <c r="F71">
        <f t="shared" si="10"/>
        <v>2025</v>
      </c>
      <c r="G71" t="str">
        <f t="shared" si="11"/>
        <v>June</v>
      </c>
      <c r="H71" t="str">
        <f t="shared" si="12"/>
        <v>Wednesday</v>
      </c>
      <c r="I71">
        <f t="shared" si="13"/>
        <v>0.80980510834365771</v>
      </c>
      <c r="J71">
        <f t="shared" si="14"/>
        <v>8.0815161809274532</v>
      </c>
      <c r="K71">
        <f t="shared" si="15"/>
        <v>1.6534902509123237E-2</v>
      </c>
      <c r="L71">
        <f t="shared" si="16"/>
        <v>0.68340266942422689</v>
      </c>
      <c r="M71">
        <f t="shared" si="17"/>
        <v>0.26558455351292592</v>
      </c>
      <c r="N71">
        <f t="shared" si="18"/>
        <v>23</v>
      </c>
      <c r="O71" t="str">
        <f t="shared" si="19"/>
        <v>Other</v>
      </c>
    </row>
    <row r="72" spans="1:15" hidden="1" x14ac:dyDescent="0.3">
      <c r="A72" t="s">
        <v>117</v>
      </c>
      <c r="B72" s="2">
        <v>45818</v>
      </c>
      <c r="C72" s="3">
        <v>522328986</v>
      </c>
      <c r="D72" s="4">
        <v>8234604</v>
      </c>
      <c r="E72" s="4">
        <v>26094</v>
      </c>
      <c r="F72">
        <f t="shared" si="10"/>
        <v>2025</v>
      </c>
      <c r="G72" t="str">
        <f t="shared" si="11"/>
        <v>June</v>
      </c>
      <c r="H72" t="str">
        <f t="shared" si="12"/>
        <v>Tuesday</v>
      </c>
      <c r="I72">
        <f t="shared" si="13"/>
        <v>1.581512460807603</v>
      </c>
      <c r="J72">
        <f t="shared" si="14"/>
        <v>15.765167587310575</v>
      </c>
      <c r="K72">
        <f t="shared" si="15"/>
        <v>4.9957020765452977E-2</v>
      </c>
      <c r="L72">
        <f t="shared" si="16"/>
        <v>0.68705996555335536</v>
      </c>
      <c r="M72">
        <f t="shared" si="17"/>
        <v>0.27225388290884789</v>
      </c>
      <c r="N72">
        <f t="shared" si="18"/>
        <v>53</v>
      </c>
      <c r="O72" t="str">
        <f t="shared" si="19"/>
        <v>Other</v>
      </c>
    </row>
    <row r="73" spans="1:15" hidden="1" x14ac:dyDescent="0.3">
      <c r="A73" t="s">
        <v>100</v>
      </c>
      <c r="B73" s="2">
        <v>45884</v>
      </c>
      <c r="C73" s="3">
        <v>513025476</v>
      </c>
      <c r="D73" s="4">
        <v>5217480</v>
      </c>
      <c r="E73" s="4">
        <v>28950</v>
      </c>
      <c r="F73">
        <f t="shared" si="10"/>
        <v>2025</v>
      </c>
      <c r="G73" t="str">
        <f t="shared" si="11"/>
        <v>August</v>
      </c>
      <c r="H73" t="str">
        <f t="shared" si="12"/>
        <v>Friday</v>
      </c>
      <c r="I73">
        <f t="shared" si="13"/>
        <v>1.0226451210387844</v>
      </c>
      <c r="J73">
        <f t="shared" si="14"/>
        <v>10.170021264207159</v>
      </c>
      <c r="K73">
        <f t="shared" si="15"/>
        <v>5.6429946180684407E-2</v>
      </c>
      <c r="L73">
        <f t="shared" si="16"/>
        <v>0.68665725869029826</v>
      </c>
      <c r="M73">
        <f t="shared" si="17"/>
        <v>0.27756446732120638</v>
      </c>
      <c r="N73">
        <f t="shared" si="18"/>
        <v>32</v>
      </c>
      <c r="O73" t="str">
        <f t="shared" si="19"/>
        <v>Other</v>
      </c>
    </row>
    <row r="74" spans="1:15" hidden="1" x14ac:dyDescent="0.3">
      <c r="A74" t="s">
        <v>219</v>
      </c>
      <c r="B74" s="2">
        <v>45265</v>
      </c>
      <c r="C74" s="3">
        <v>511827924</v>
      </c>
      <c r="D74" s="4">
        <v>15852700</v>
      </c>
      <c r="E74" s="4">
        <v>31382</v>
      </c>
      <c r="F74">
        <f t="shared" si="10"/>
        <v>2023</v>
      </c>
      <c r="G74" t="str">
        <f t="shared" si="11"/>
        <v>December</v>
      </c>
      <c r="H74" t="str">
        <f t="shared" si="12"/>
        <v>Tuesday</v>
      </c>
      <c r="I74">
        <f t="shared" si="13"/>
        <v>3.1034027756562965</v>
      </c>
      <c r="J74">
        <f t="shared" si="14"/>
        <v>30.9727141811825</v>
      </c>
      <c r="K74">
        <f t="shared" si="15"/>
        <v>6.1313575380463219E-2</v>
      </c>
      <c r="L74">
        <f t="shared" si="16"/>
        <v>0.68902363994351534</v>
      </c>
      <c r="M74">
        <f t="shared" si="17"/>
        <v>0.28280983943592086</v>
      </c>
      <c r="N74">
        <f t="shared" si="18"/>
        <v>31</v>
      </c>
      <c r="O74" t="str">
        <f t="shared" si="19"/>
        <v>Other</v>
      </c>
    </row>
    <row r="75" spans="1:15" hidden="1" x14ac:dyDescent="0.3">
      <c r="A75" t="s">
        <v>204</v>
      </c>
      <c r="B75" s="2">
        <v>45381</v>
      </c>
      <c r="C75" s="3">
        <v>498944989</v>
      </c>
      <c r="D75" s="4">
        <v>7725619</v>
      </c>
      <c r="E75" s="4">
        <v>152291</v>
      </c>
      <c r="F75">
        <f t="shared" si="10"/>
        <v>2024</v>
      </c>
      <c r="G75" t="str">
        <f t="shared" si="11"/>
        <v>March</v>
      </c>
      <c r="H75" t="str">
        <f t="shared" si="12"/>
        <v>Saturday</v>
      </c>
      <c r="I75">
        <f t="shared" si="13"/>
        <v>1.5789135423103728</v>
      </c>
      <c r="J75">
        <f t="shared" si="14"/>
        <v>15.483909389457761</v>
      </c>
      <c r="K75">
        <f t="shared" si="15"/>
        <v>0.30522603364596568</v>
      </c>
      <c r="L75">
        <f t="shared" si="16"/>
        <v>0.68551123680165682</v>
      </c>
      <c r="M75">
        <f t="shared" si="17"/>
        <v>0.28794525424655343</v>
      </c>
      <c r="N75">
        <f t="shared" si="18"/>
        <v>28</v>
      </c>
      <c r="O75" t="str">
        <f t="shared" si="19"/>
        <v>Survival</v>
      </c>
    </row>
    <row r="76" spans="1:15" hidden="1" x14ac:dyDescent="0.3">
      <c r="A76" t="s">
        <v>209</v>
      </c>
      <c r="B76" s="2">
        <v>45349</v>
      </c>
      <c r="C76" s="3">
        <v>494324020</v>
      </c>
      <c r="D76" s="4">
        <v>15192554</v>
      </c>
      <c r="E76" s="4">
        <v>30585</v>
      </c>
      <c r="F76">
        <f t="shared" si="10"/>
        <v>2024</v>
      </c>
      <c r="G76" t="str">
        <f t="shared" si="11"/>
        <v>February</v>
      </c>
      <c r="H76" t="str">
        <f t="shared" si="12"/>
        <v>Tuesday</v>
      </c>
      <c r="I76">
        <f t="shared" si="13"/>
        <v>3.0795871501449597</v>
      </c>
      <c r="J76">
        <f t="shared" si="14"/>
        <v>30.733999128749598</v>
      </c>
      <c r="K76">
        <f t="shared" si="15"/>
        <v>6.1872372699995438E-2</v>
      </c>
      <c r="L76">
        <f t="shared" si="16"/>
        <v>0.68534711019642824</v>
      </c>
      <c r="M76">
        <f t="shared" si="17"/>
        <v>0.28592191494215768</v>
      </c>
      <c r="N76">
        <f t="shared" si="18"/>
        <v>41</v>
      </c>
      <c r="O76" t="str">
        <f t="shared" si="19"/>
        <v>Other</v>
      </c>
    </row>
    <row r="77" spans="1:15" x14ac:dyDescent="0.3">
      <c r="A77" t="s">
        <v>44</v>
      </c>
      <c r="B77" s="2">
        <v>46074</v>
      </c>
      <c r="C77" s="3">
        <v>70103357</v>
      </c>
      <c r="D77" s="4">
        <v>2387295</v>
      </c>
      <c r="E77" s="4">
        <v>96244</v>
      </c>
      <c r="F77">
        <f t="shared" si="10"/>
        <v>2026</v>
      </c>
      <c r="G77" t="str">
        <f t="shared" si="11"/>
        <v>February</v>
      </c>
      <c r="H77" t="str">
        <f t="shared" si="12"/>
        <v>Saturday</v>
      </c>
      <c r="I77">
        <f t="shared" si="13"/>
        <v>3.5426819859710856</v>
      </c>
      <c r="J77">
        <f t="shared" si="14"/>
        <v>34.053932681141077</v>
      </c>
      <c r="K77">
        <f t="shared" si="15"/>
        <v>1.3728871785697796</v>
      </c>
      <c r="L77">
        <f t="shared" si="16"/>
        <v>0.68208295222329696</v>
      </c>
      <c r="M77">
        <f t="shared" si="17"/>
        <v>0.29089091703197933</v>
      </c>
      <c r="N77">
        <f t="shared" si="18"/>
        <v>35</v>
      </c>
      <c r="O77" t="str">
        <f t="shared" si="19"/>
        <v>Other</v>
      </c>
    </row>
    <row r="78" spans="1:15" hidden="1" x14ac:dyDescent="0.3">
      <c r="A78" t="s">
        <v>211</v>
      </c>
      <c r="B78" s="2">
        <v>45339</v>
      </c>
      <c r="C78" s="3">
        <v>477519959</v>
      </c>
      <c r="D78" s="4">
        <v>16515463</v>
      </c>
      <c r="E78" s="4">
        <v>37766</v>
      </c>
      <c r="F78">
        <f t="shared" si="10"/>
        <v>2024</v>
      </c>
      <c r="G78" t="str">
        <f t="shared" si="11"/>
        <v>February</v>
      </c>
      <c r="H78" t="str">
        <f t="shared" si="12"/>
        <v>Saturday</v>
      </c>
      <c r="I78">
        <f t="shared" si="13"/>
        <v>3.466499920687085</v>
      </c>
      <c r="J78">
        <f t="shared" si="14"/>
        <v>34.585911413181371</v>
      </c>
      <c r="K78">
        <f t="shared" si="15"/>
        <v>7.908779368947802E-2</v>
      </c>
      <c r="L78">
        <f t="shared" si="16"/>
        <v>0.6826597452236286</v>
      </c>
      <c r="M78">
        <f t="shared" si="17"/>
        <v>0.29273539652121805</v>
      </c>
      <c r="N78">
        <f t="shared" si="18"/>
        <v>27</v>
      </c>
      <c r="O78" t="str">
        <f t="shared" si="19"/>
        <v>Money</v>
      </c>
    </row>
    <row r="79" spans="1:15" hidden="1" x14ac:dyDescent="0.3">
      <c r="A79" t="s">
        <v>254</v>
      </c>
      <c r="B79" s="2">
        <v>45080</v>
      </c>
      <c r="C79" s="3">
        <v>472227647</v>
      </c>
      <c r="D79" s="4">
        <v>16934409</v>
      </c>
      <c r="E79" s="4">
        <v>26955</v>
      </c>
      <c r="F79">
        <f t="shared" si="10"/>
        <v>2023</v>
      </c>
      <c r="G79" t="str">
        <f t="shared" si="11"/>
        <v>June</v>
      </c>
      <c r="H79" t="str">
        <f t="shared" si="12"/>
        <v>Saturday</v>
      </c>
      <c r="I79">
        <f t="shared" si="13"/>
        <v>3.5917769973345082</v>
      </c>
      <c r="J79">
        <f t="shared" si="14"/>
        <v>35.860689452602081</v>
      </c>
      <c r="K79">
        <f t="shared" si="15"/>
        <v>5.7080520742996653E-2</v>
      </c>
      <c r="L79">
        <f t="shared" si="16"/>
        <v>0.67984601917676157</v>
      </c>
      <c r="M79">
        <f t="shared" si="17"/>
        <v>0.29704278365534181</v>
      </c>
      <c r="N79">
        <f t="shared" si="18"/>
        <v>22</v>
      </c>
      <c r="O79" t="str">
        <f t="shared" si="19"/>
        <v>Other</v>
      </c>
    </row>
    <row r="80" spans="1:15" hidden="1" x14ac:dyDescent="0.3">
      <c r="A80" t="s">
        <v>183</v>
      </c>
      <c r="B80" s="2">
        <v>45486</v>
      </c>
      <c r="C80" s="3">
        <v>472174213</v>
      </c>
      <c r="D80" s="4">
        <v>9756553</v>
      </c>
      <c r="E80" s="4">
        <v>350709</v>
      </c>
      <c r="F80">
        <f t="shared" si="10"/>
        <v>2024</v>
      </c>
      <c r="G80" t="str">
        <f t="shared" si="11"/>
        <v>July</v>
      </c>
      <c r="H80" t="str">
        <f t="shared" si="12"/>
        <v>Saturday</v>
      </c>
      <c r="I80">
        <f t="shared" si="13"/>
        <v>2.1405789900686512</v>
      </c>
      <c r="J80">
        <f t="shared" si="14"/>
        <v>20.663036505129941</v>
      </c>
      <c r="K80">
        <f t="shared" si="15"/>
        <v>0.74275339555656761</v>
      </c>
      <c r="L80">
        <f t="shared" si="16"/>
        <v>0.67721751399398411</v>
      </c>
      <c r="M80">
        <f t="shared" si="17"/>
        <v>0.30192672672953103</v>
      </c>
      <c r="N80">
        <f t="shared" si="18"/>
        <v>33</v>
      </c>
      <c r="O80" t="str">
        <f t="shared" si="19"/>
        <v>Money</v>
      </c>
    </row>
    <row r="81" spans="1:15" hidden="1" x14ac:dyDescent="0.3">
      <c r="A81" t="s">
        <v>255</v>
      </c>
      <c r="B81" s="2">
        <v>45073</v>
      </c>
      <c r="C81" s="3">
        <v>466906979</v>
      </c>
      <c r="D81" s="4">
        <v>6742042</v>
      </c>
      <c r="E81" s="4">
        <v>119176</v>
      </c>
      <c r="F81">
        <f t="shared" si="10"/>
        <v>2023</v>
      </c>
      <c r="G81" t="str">
        <f t="shared" si="11"/>
        <v>May</v>
      </c>
      <c r="H81" t="str">
        <f t="shared" si="12"/>
        <v>Saturday</v>
      </c>
      <c r="I81">
        <f t="shared" si="13"/>
        <v>1.4695042714279067</v>
      </c>
      <c r="J81">
        <f t="shared" si="14"/>
        <v>14.439797011472814</v>
      </c>
      <c r="K81">
        <f t="shared" si="15"/>
        <v>0.25524570280625425</v>
      </c>
      <c r="L81">
        <f t="shared" si="16"/>
        <v>0.67546316305767118</v>
      </c>
      <c r="M81">
        <f t="shared" si="17"/>
        <v>0.29272397147097617</v>
      </c>
      <c r="N81">
        <f t="shared" si="18"/>
        <v>31</v>
      </c>
      <c r="O81" t="str">
        <f t="shared" si="19"/>
        <v>Money</v>
      </c>
    </row>
    <row r="82" spans="1:15" hidden="1" x14ac:dyDescent="0.3">
      <c r="A82" t="s">
        <v>179</v>
      </c>
      <c r="B82" s="2">
        <v>45519</v>
      </c>
      <c r="C82" s="3">
        <v>464460790</v>
      </c>
      <c r="D82" s="4">
        <v>12466964</v>
      </c>
      <c r="E82" s="4">
        <v>33605</v>
      </c>
      <c r="F82">
        <f t="shared" si="10"/>
        <v>2024</v>
      </c>
      <c r="G82" t="str">
        <f t="shared" si="11"/>
        <v>August</v>
      </c>
      <c r="H82" t="str">
        <f t="shared" si="12"/>
        <v>Thursday</v>
      </c>
      <c r="I82">
        <f t="shared" si="13"/>
        <v>2.6914153506908516</v>
      </c>
      <c r="J82">
        <f t="shared" si="14"/>
        <v>26.84180079011621</v>
      </c>
      <c r="K82">
        <f t="shared" si="15"/>
        <v>7.235271679230447E-2</v>
      </c>
      <c r="L82">
        <f t="shared" si="16"/>
        <v>0.67571456364864702</v>
      </c>
      <c r="M82">
        <f t="shared" si="17"/>
        <v>0.29247270499989692</v>
      </c>
      <c r="N82">
        <f t="shared" si="18"/>
        <v>41</v>
      </c>
      <c r="O82" t="str">
        <f t="shared" si="19"/>
        <v>Other</v>
      </c>
    </row>
    <row r="83" spans="1:15" hidden="1" x14ac:dyDescent="0.3">
      <c r="A83" t="s">
        <v>128</v>
      </c>
      <c r="B83" s="2">
        <v>45776</v>
      </c>
      <c r="C83" s="3">
        <v>460500616</v>
      </c>
      <c r="D83" s="4">
        <v>10233050</v>
      </c>
      <c r="E83" s="4">
        <v>31574</v>
      </c>
      <c r="F83">
        <f t="shared" si="10"/>
        <v>2025</v>
      </c>
      <c r="G83" t="str">
        <f t="shared" si="11"/>
        <v>April</v>
      </c>
      <c r="H83" t="str">
        <f t="shared" si="12"/>
        <v>Tuesday</v>
      </c>
      <c r="I83">
        <f t="shared" si="13"/>
        <v>2.2290141735662736</v>
      </c>
      <c r="J83">
        <f t="shared" si="14"/>
        <v>22.221577223688229</v>
      </c>
      <c r="K83">
        <f t="shared" si="15"/>
        <v>6.8564511974507317E-2</v>
      </c>
      <c r="L83">
        <f t="shared" si="16"/>
        <v>0.67297928746017954</v>
      </c>
      <c r="M83">
        <f t="shared" si="17"/>
        <v>0.29694695993208997</v>
      </c>
      <c r="N83">
        <f t="shared" si="18"/>
        <v>41</v>
      </c>
      <c r="O83" t="str">
        <f t="shared" si="19"/>
        <v>Other</v>
      </c>
    </row>
    <row r="84" spans="1:15" hidden="1" x14ac:dyDescent="0.3">
      <c r="A84" t="s">
        <v>217</v>
      </c>
      <c r="B84" s="2">
        <v>45276</v>
      </c>
      <c r="C84" s="3">
        <v>458998051</v>
      </c>
      <c r="D84" s="4">
        <v>6944270</v>
      </c>
      <c r="E84" s="4">
        <v>98894</v>
      </c>
      <c r="F84">
        <f t="shared" si="10"/>
        <v>2023</v>
      </c>
      <c r="G84" t="str">
        <f t="shared" si="11"/>
        <v>December</v>
      </c>
      <c r="H84" t="str">
        <f t="shared" si="12"/>
        <v>Saturday</v>
      </c>
      <c r="I84">
        <f t="shared" si="13"/>
        <v>1.5344649034250475</v>
      </c>
      <c r="J84">
        <f t="shared" si="14"/>
        <v>15.129192781692225</v>
      </c>
      <c r="K84">
        <f t="shared" si="15"/>
        <v>0.21545625255824888</v>
      </c>
      <c r="L84">
        <f t="shared" si="16"/>
        <v>0.67093939649177248</v>
      </c>
      <c r="M84">
        <f t="shared" si="17"/>
        <v>0.30146433720695465</v>
      </c>
      <c r="N84">
        <f t="shared" si="18"/>
        <v>38</v>
      </c>
      <c r="O84" t="str">
        <f t="shared" si="19"/>
        <v>Money</v>
      </c>
    </row>
    <row r="85" spans="1:15" hidden="1" x14ac:dyDescent="0.3">
      <c r="A85" t="s">
        <v>274</v>
      </c>
      <c r="B85" s="2">
        <v>44856</v>
      </c>
      <c r="C85" s="3">
        <v>449482142</v>
      </c>
      <c r="D85" s="4">
        <v>7705582</v>
      </c>
      <c r="E85" s="4">
        <v>116509</v>
      </c>
      <c r="F85">
        <f t="shared" si="10"/>
        <v>2022</v>
      </c>
      <c r="G85" t="str">
        <f t="shared" si="11"/>
        <v>October</v>
      </c>
      <c r="H85" t="str">
        <f t="shared" si="12"/>
        <v>Saturday</v>
      </c>
      <c r="I85">
        <f t="shared" si="13"/>
        <v>1.7402451107835115</v>
      </c>
      <c r="J85">
        <f t="shared" si="14"/>
        <v>17.143243924471641</v>
      </c>
      <c r="K85">
        <f t="shared" si="15"/>
        <v>0.25920718336347165</v>
      </c>
      <c r="L85">
        <f t="shared" si="16"/>
        <v>0.67091457582808622</v>
      </c>
      <c r="M85">
        <f t="shared" si="17"/>
        <v>0.30224899738841171</v>
      </c>
      <c r="N85">
        <f t="shared" si="18"/>
        <v>28</v>
      </c>
      <c r="O85" t="str">
        <f t="shared" si="19"/>
        <v>Money</v>
      </c>
    </row>
    <row r="86" spans="1:15" hidden="1" x14ac:dyDescent="0.3">
      <c r="A86" t="s">
        <v>247</v>
      </c>
      <c r="B86" s="2">
        <v>45150</v>
      </c>
      <c r="C86" s="3">
        <v>445122218</v>
      </c>
      <c r="D86" s="4">
        <v>6843185</v>
      </c>
      <c r="E86" s="4">
        <v>109234</v>
      </c>
      <c r="F86">
        <f t="shared" si="10"/>
        <v>2023</v>
      </c>
      <c r="G86" t="str">
        <f t="shared" si="11"/>
        <v>August</v>
      </c>
      <c r="H86" t="str">
        <f t="shared" si="12"/>
        <v>Saturday</v>
      </c>
      <c r="I86">
        <f t="shared" si="13"/>
        <v>1.561912373468628</v>
      </c>
      <c r="J86">
        <f t="shared" si="14"/>
        <v>15.373721470807372</v>
      </c>
      <c r="K86">
        <f t="shared" si="15"/>
        <v>0.24540226387890618</v>
      </c>
      <c r="L86">
        <f t="shared" si="16"/>
        <v>0.67027946584738951</v>
      </c>
      <c r="M86">
        <f t="shared" si="17"/>
        <v>0.30207152796312386</v>
      </c>
      <c r="N86">
        <f t="shared" si="18"/>
        <v>24</v>
      </c>
      <c r="O86" t="str">
        <f t="shared" si="19"/>
        <v>Money</v>
      </c>
    </row>
    <row r="87" spans="1:15" hidden="1" x14ac:dyDescent="0.3">
      <c r="A87" t="s">
        <v>166</v>
      </c>
      <c r="B87" s="2">
        <v>45584</v>
      </c>
      <c r="C87" s="3">
        <v>442862242</v>
      </c>
      <c r="D87" s="4">
        <v>17882490</v>
      </c>
      <c r="E87" s="4">
        <v>33852</v>
      </c>
      <c r="F87">
        <f t="shared" si="10"/>
        <v>2024</v>
      </c>
      <c r="G87" t="str">
        <f t="shared" si="11"/>
        <v>October</v>
      </c>
      <c r="H87" t="str">
        <f t="shared" si="12"/>
        <v>Saturday</v>
      </c>
      <c r="I87">
        <f t="shared" si="13"/>
        <v>4.0455790313232436</v>
      </c>
      <c r="J87">
        <f t="shared" si="14"/>
        <v>40.379351193367263</v>
      </c>
      <c r="K87">
        <f t="shared" si="15"/>
        <v>7.6439119865179206E-2</v>
      </c>
      <c r="L87">
        <f t="shared" si="16"/>
        <v>0.67024620751157826</v>
      </c>
      <c r="M87">
        <f t="shared" si="17"/>
        <v>0.3022640621833117</v>
      </c>
      <c r="N87">
        <f t="shared" si="18"/>
        <v>22</v>
      </c>
      <c r="O87" t="str">
        <f t="shared" si="19"/>
        <v>Other</v>
      </c>
    </row>
    <row r="88" spans="1:15" hidden="1" x14ac:dyDescent="0.3">
      <c r="A88" t="s">
        <v>238</v>
      </c>
      <c r="B88" s="2">
        <v>45181</v>
      </c>
      <c r="C88" s="3">
        <v>442228882</v>
      </c>
      <c r="D88" s="4">
        <v>20385519</v>
      </c>
      <c r="E88" s="4">
        <v>50195</v>
      </c>
      <c r="F88">
        <f t="shared" si="10"/>
        <v>2023</v>
      </c>
      <c r="G88" t="str">
        <f t="shared" si="11"/>
        <v>September</v>
      </c>
      <c r="H88" t="str">
        <f t="shared" si="12"/>
        <v>Tuesday</v>
      </c>
      <c r="I88">
        <f t="shared" si="13"/>
        <v>4.6210717643720072</v>
      </c>
      <c r="J88">
        <f t="shared" si="14"/>
        <v>46.097213071669074</v>
      </c>
      <c r="K88">
        <f t="shared" si="15"/>
        <v>0.11350457205099508</v>
      </c>
      <c r="L88">
        <f t="shared" si="16"/>
        <v>0.66846693137154845</v>
      </c>
      <c r="M88">
        <f t="shared" si="17"/>
        <v>0.30646888620838419</v>
      </c>
      <c r="N88">
        <f t="shared" si="18"/>
        <v>22</v>
      </c>
      <c r="O88" t="str">
        <f t="shared" si="19"/>
        <v>Other</v>
      </c>
    </row>
    <row r="89" spans="1:15" hidden="1" x14ac:dyDescent="0.3">
      <c r="A89" t="s">
        <v>73</v>
      </c>
      <c r="B89" s="2">
        <v>45975</v>
      </c>
      <c r="C89" s="3">
        <v>438719795</v>
      </c>
      <c r="D89" s="4">
        <v>4836816</v>
      </c>
      <c r="E89" s="4">
        <v>12110</v>
      </c>
      <c r="F89">
        <f t="shared" si="10"/>
        <v>2025</v>
      </c>
      <c r="G89" t="str">
        <f t="shared" si="11"/>
        <v>November</v>
      </c>
      <c r="H89" t="str">
        <f t="shared" si="12"/>
        <v>Friday</v>
      </c>
      <c r="I89">
        <f t="shared" si="13"/>
        <v>1.1052444077660093</v>
      </c>
      <c r="J89">
        <f t="shared" si="14"/>
        <v>11.024841037774465</v>
      </c>
      <c r="K89">
        <f t="shared" si="15"/>
        <v>2.7603039885629049E-2</v>
      </c>
      <c r="L89">
        <f t="shared" si="16"/>
        <v>0.66840590352498974</v>
      </c>
      <c r="M89">
        <f t="shared" si="17"/>
        <v>0.30976863432379492</v>
      </c>
      <c r="N89">
        <f t="shared" si="18"/>
        <v>18</v>
      </c>
      <c r="O89" t="str">
        <f t="shared" si="19"/>
        <v>Other</v>
      </c>
    </row>
    <row r="90" spans="1:15" hidden="1" x14ac:dyDescent="0.3">
      <c r="A90" t="s">
        <v>187</v>
      </c>
      <c r="B90" s="2">
        <v>45458</v>
      </c>
      <c r="C90" s="3">
        <v>435083886</v>
      </c>
      <c r="D90" s="4">
        <v>6876080</v>
      </c>
      <c r="E90" s="4">
        <v>139132</v>
      </c>
      <c r="F90">
        <f t="shared" si="10"/>
        <v>2024</v>
      </c>
      <c r="G90" t="str">
        <f t="shared" si="11"/>
        <v>June</v>
      </c>
      <c r="H90" t="str">
        <f t="shared" si="12"/>
        <v>Saturday</v>
      </c>
      <c r="I90">
        <f t="shared" si="13"/>
        <v>1.6123814799245402</v>
      </c>
      <c r="J90">
        <f t="shared" si="14"/>
        <v>15.804032788288556</v>
      </c>
      <c r="K90">
        <f t="shared" si="15"/>
        <v>0.31978201095684794</v>
      </c>
      <c r="L90">
        <f t="shared" si="16"/>
        <v>0.66996438690975058</v>
      </c>
      <c r="M90">
        <f t="shared" si="17"/>
        <v>0.31515288049518214</v>
      </c>
      <c r="N90">
        <f t="shared" si="18"/>
        <v>36</v>
      </c>
      <c r="O90" t="str">
        <f t="shared" si="19"/>
        <v>Other</v>
      </c>
    </row>
    <row r="91" spans="1:15" hidden="1" x14ac:dyDescent="0.3">
      <c r="A91" t="s">
        <v>224</v>
      </c>
      <c r="B91" s="2">
        <v>45239</v>
      </c>
      <c r="C91" s="3">
        <v>435071761</v>
      </c>
      <c r="D91" s="4">
        <v>11053068</v>
      </c>
      <c r="E91" s="4">
        <v>15357</v>
      </c>
      <c r="F91">
        <f t="shared" si="10"/>
        <v>2023</v>
      </c>
      <c r="G91" t="str">
        <f t="shared" si="11"/>
        <v>November</v>
      </c>
      <c r="H91" t="str">
        <f t="shared" si="12"/>
        <v>Thursday</v>
      </c>
      <c r="I91">
        <f t="shared" si="13"/>
        <v>2.5440458315565095</v>
      </c>
      <c r="J91">
        <f t="shared" si="14"/>
        <v>25.405160690261393</v>
      </c>
      <c r="K91">
        <f t="shared" si="15"/>
        <v>3.5297625303702486E-2</v>
      </c>
      <c r="L91">
        <f t="shared" si="16"/>
        <v>0.66970863391100144</v>
      </c>
      <c r="M91">
        <f t="shared" si="17"/>
        <v>0.31392752755796971</v>
      </c>
      <c r="N91">
        <f t="shared" si="18"/>
        <v>45</v>
      </c>
      <c r="O91" t="str">
        <f t="shared" si="19"/>
        <v>Other</v>
      </c>
    </row>
    <row r="92" spans="1:15" hidden="1" x14ac:dyDescent="0.3">
      <c r="A92" t="s">
        <v>249</v>
      </c>
      <c r="B92" s="2">
        <v>45143</v>
      </c>
      <c r="C92" s="3">
        <v>431041411</v>
      </c>
      <c r="D92" s="4">
        <v>8395881</v>
      </c>
      <c r="E92" s="4">
        <v>129678</v>
      </c>
      <c r="F92">
        <f t="shared" si="10"/>
        <v>2023</v>
      </c>
      <c r="G92" t="str">
        <f t="shared" si="11"/>
        <v>August</v>
      </c>
      <c r="H92" t="str">
        <f t="shared" si="12"/>
        <v>Saturday</v>
      </c>
      <c r="I92">
        <f t="shared" si="13"/>
        <v>1.9778978962186073</v>
      </c>
      <c r="J92">
        <f t="shared" si="14"/>
        <v>19.478130837874417</v>
      </c>
      <c r="K92">
        <f t="shared" si="15"/>
        <v>0.30084812431165692</v>
      </c>
      <c r="L92">
        <f t="shared" si="16"/>
        <v>0.66728674437482249</v>
      </c>
      <c r="M92">
        <f t="shared" si="17"/>
        <v>0.31911440404394237</v>
      </c>
      <c r="N92">
        <f t="shared" si="18"/>
        <v>22</v>
      </c>
      <c r="O92" t="str">
        <f t="shared" si="19"/>
        <v>Survival</v>
      </c>
    </row>
    <row r="93" spans="1:15" hidden="1" x14ac:dyDescent="0.3">
      <c r="A93" t="s">
        <v>231</v>
      </c>
      <c r="B93" s="2">
        <v>45213</v>
      </c>
      <c r="C93" s="3">
        <v>430236651</v>
      </c>
      <c r="D93" s="4">
        <v>6515260</v>
      </c>
      <c r="E93" s="4">
        <v>136272</v>
      </c>
      <c r="F93">
        <f t="shared" si="10"/>
        <v>2023</v>
      </c>
      <c r="G93" t="str">
        <f t="shared" si="11"/>
        <v>October</v>
      </c>
      <c r="H93" t="str">
        <f t="shared" si="12"/>
        <v>Saturday</v>
      </c>
      <c r="I93">
        <f t="shared" si="13"/>
        <v>1.5460170546929997</v>
      </c>
      <c r="J93">
        <f t="shared" si="14"/>
        <v>15.143433235770516</v>
      </c>
      <c r="K93">
        <f t="shared" si="15"/>
        <v>0.31673731115948095</v>
      </c>
      <c r="L93">
        <f t="shared" si="16"/>
        <v>0.66596566640367927</v>
      </c>
      <c r="M93">
        <f t="shared" si="17"/>
        <v>0.31836027592078209</v>
      </c>
      <c r="N93">
        <f t="shared" si="18"/>
        <v>25</v>
      </c>
      <c r="O93" t="str">
        <f t="shared" si="19"/>
        <v>Money</v>
      </c>
    </row>
    <row r="94" spans="1:15" hidden="1" x14ac:dyDescent="0.3">
      <c r="A94" t="s">
        <v>242</v>
      </c>
      <c r="B94" s="2">
        <v>45169</v>
      </c>
      <c r="C94" s="3">
        <v>422830495</v>
      </c>
      <c r="D94" s="4">
        <v>14303407</v>
      </c>
      <c r="E94" s="4">
        <v>33946</v>
      </c>
      <c r="F94">
        <f t="shared" si="10"/>
        <v>2023</v>
      </c>
      <c r="G94" t="str">
        <f t="shared" si="11"/>
        <v>August</v>
      </c>
      <c r="H94" t="str">
        <f t="shared" si="12"/>
        <v>Thursday</v>
      </c>
      <c r="I94">
        <f t="shared" si="13"/>
        <v>3.390803920138258</v>
      </c>
      <c r="J94">
        <f t="shared" si="14"/>
        <v>33.827756439374127</v>
      </c>
      <c r="K94">
        <f t="shared" si="15"/>
        <v>8.0282762008449748E-2</v>
      </c>
      <c r="L94">
        <f t="shared" si="16"/>
        <v>0.6659068836170623</v>
      </c>
      <c r="M94">
        <f t="shared" si="17"/>
        <v>0.31728519016998874</v>
      </c>
      <c r="N94">
        <f t="shared" si="18"/>
        <v>34</v>
      </c>
      <c r="O94" t="str">
        <f t="shared" si="19"/>
        <v>Money</v>
      </c>
    </row>
    <row r="95" spans="1:15" hidden="1" x14ac:dyDescent="0.3">
      <c r="A95" t="s">
        <v>162</v>
      </c>
      <c r="B95" s="2">
        <v>45614</v>
      </c>
      <c r="C95" s="3">
        <v>421407377</v>
      </c>
      <c r="D95" s="4">
        <v>6566336</v>
      </c>
      <c r="E95" s="4">
        <v>2740</v>
      </c>
      <c r="F95">
        <f t="shared" si="10"/>
        <v>2024</v>
      </c>
      <c r="G95" t="str">
        <f t="shared" si="11"/>
        <v>November</v>
      </c>
      <c r="H95" t="str">
        <f t="shared" si="12"/>
        <v>Monday</v>
      </c>
      <c r="I95">
        <f t="shared" si="13"/>
        <v>1.5588421936904062</v>
      </c>
      <c r="J95">
        <f t="shared" si="14"/>
        <v>15.581919914990001</v>
      </c>
      <c r="K95">
        <f t="shared" si="15"/>
        <v>6.5020219140587091E-3</v>
      </c>
      <c r="L95">
        <f t="shared" si="16"/>
        <v>0.66342069627187972</v>
      </c>
      <c r="M95">
        <f t="shared" si="17"/>
        <v>0.32130879303295923</v>
      </c>
      <c r="N95">
        <f t="shared" si="18"/>
        <v>34</v>
      </c>
      <c r="O95" t="str">
        <f t="shared" si="19"/>
        <v>Other</v>
      </c>
    </row>
    <row r="96" spans="1:15" hidden="1" x14ac:dyDescent="0.3">
      <c r="A96" t="s">
        <v>169</v>
      </c>
      <c r="B96" s="2">
        <v>45576</v>
      </c>
      <c r="C96" s="3">
        <v>421092888</v>
      </c>
      <c r="D96" s="4">
        <v>10440135</v>
      </c>
      <c r="E96" s="4">
        <v>8114</v>
      </c>
      <c r="F96">
        <f t="shared" si="10"/>
        <v>2024</v>
      </c>
      <c r="G96" t="str">
        <f t="shared" si="11"/>
        <v>October</v>
      </c>
      <c r="H96" t="str">
        <f t="shared" si="12"/>
        <v>Friday</v>
      </c>
      <c r="I96">
        <f t="shared" si="13"/>
        <v>2.4812219103543729</v>
      </c>
      <c r="J96">
        <f t="shared" si="14"/>
        <v>24.79295019582473</v>
      </c>
      <c r="K96">
        <f t="shared" si="15"/>
        <v>1.9268907719001895E-2</v>
      </c>
      <c r="L96">
        <f t="shared" si="16"/>
        <v>0.66323361031645123</v>
      </c>
      <c r="M96">
        <f t="shared" si="17"/>
        <v>0.32711730555319979</v>
      </c>
      <c r="N96">
        <f t="shared" si="18"/>
        <v>38</v>
      </c>
      <c r="O96" t="str">
        <f t="shared" si="19"/>
        <v>Other</v>
      </c>
    </row>
    <row r="97" spans="1:15" hidden="1" x14ac:dyDescent="0.3">
      <c r="A97" t="s">
        <v>276</v>
      </c>
      <c r="B97" s="2">
        <v>44828</v>
      </c>
      <c r="C97" s="3">
        <v>419236868</v>
      </c>
      <c r="D97" s="4">
        <v>6359856</v>
      </c>
      <c r="E97" s="4">
        <v>101545</v>
      </c>
      <c r="F97">
        <f t="shared" si="10"/>
        <v>2022</v>
      </c>
      <c r="G97" t="str">
        <f t="shared" si="11"/>
        <v>September</v>
      </c>
      <c r="H97" t="str">
        <f t="shared" si="12"/>
        <v>Saturday</v>
      </c>
      <c r="I97">
        <f t="shared" si="13"/>
        <v>1.5412291936118558</v>
      </c>
      <c r="J97">
        <f t="shared" si="14"/>
        <v>15.170078028538272</v>
      </c>
      <c r="K97">
        <f t="shared" si="15"/>
        <v>0.24221390758028466</v>
      </c>
      <c r="L97">
        <f t="shared" si="16"/>
        <v>0.66094174064680755</v>
      </c>
      <c r="M97">
        <f t="shared" si="17"/>
        <v>0.33267280520507614</v>
      </c>
      <c r="N97">
        <f t="shared" si="18"/>
        <v>40</v>
      </c>
      <c r="O97" t="str">
        <f t="shared" si="19"/>
        <v>Money</v>
      </c>
    </row>
    <row r="98" spans="1:15" hidden="1" x14ac:dyDescent="0.3">
      <c r="A98" t="s">
        <v>139</v>
      </c>
      <c r="B98" s="2">
        <v>45734</v>
      </c>
      <c r="C98" s="3">
        <v>412890266</v>
      </c>
      <c r="D98" s="4">
        <v>8957930</v>
      </c>
      <c r="E98" s="4">
        <v>25775</v>
      </c>
      <c r="F98">
        <f t="shared" si="10"/>
        <v>2025</v>
      </c>
      <c r="G98" t="str">
        <f t="shared" si="11"/>
        <v>March</v>
      </c>
      <c r="H98" t="str">
        <f t="shared" si="12"/>
        <v>Tuesday</v>
      </c>
      <c r="I98">
        <f t="shared" si="13"/>
        <v>2.1758093468834647</v>
      </c>
      <c r="J98">
        <f t="shared" si="14"/>
        <v>21.695667681349502</v>
      </c>
      <c r="K98">
        <f t="shared" si="15"/>
        <v>6.2425787485142603E-2</v>
      </c>
      <c r="L98">
        <f t="shared" si="16"/>
        <v>0.66086151608129351</v>
      </c>
      <c r="M98">
        <f t="shared" si="17"/>
        <v>0.33323397718204639</v>
      </c>
      <c r="N98">
        <f t="shared" si="18"/>
        <v>35</v>
      </c>
      <c r="O98" t="str">
        <f t="shared" si="19"/>
        <v>Other</v>
      </c>
    </row>
    <row r="99" spans="1:15" hidden="1" x14ac:dyDescent="0.3">
      <c r="A99" t="s">
        <v>158</v>
      </c>
      <c r="B99" s="2">
        <v>45627</v>
      </c>
      <c r="C99" s="3">
        <v>412413088</v>
      </c>
      <c r="D99" s="4">
        <v>9750373</v>
      </c>
      <c r="E99" s="4">
        <v>38883</v>
      </c>
      <c r="F99">
        <f t="shared" si="10"/>
        <v>2024</v>
      </c>
      <c r="G99" t="str">
        <f t="shared" si="11"/>
        <v>December</v>
      </c>
      <c r="H99" t="str">
        <f t="shared" si="12"/>
        <v>Sunday</v>
      </c>
      <c r="I99">
        <f t="shared" si="13"/>
        <v>2.3736530883326381</v>
      </c>
      <c r="J99">
        <f t="shared" si="14"/>
        <v>23.642249200393952</v>
      </c>
      <c r="K99">
        <f t="shared" si="15"/>
        <v>9.4281682932429139E-2</v>
      </c>
      <c r="L99">
        <f t="shared" si="16"/>
        <v>0.65913526133703693</v>
      </c>
      <c r="M99">
        <f t="shared" si="17"/>
        <v>0.33759926034361193</v>
      </c>
      <c r="N99">
        <f t="shared" si="18"/>
        <v>30</v>
      </c>
      <c r="O99" t="str">
        <f t="shared" si="19"/>
        <v>Other</v>
      </c>
    </row>
    <row r="100" spans="1:15" hidden="1" x14ac:dyDescent="0.3">
      <c r="A100" t="s">
        <v>170</v>
      </c>
      <c r="B100" s="2">
        <v>45570</v>
      </c>
      <c r="C100" s="3">
        <v>407288459</v>
      </c>
      <c r="D100" s="4">
        <v>11173042</v>
      </c>
      <c r="E100" s="4">
        <v>14434</v>
      </c>
      <c r="F100">
        <f t="shared" si="10"/>
        <v>2024</v>
      </c>
      <c r="G100" t="str">
        <f t="shared" si="11"/>
        <v>October</v>
      </c>
      <c r="H100" t="str">
        <f t="shared" si="12"/>
        <v>Saturday</v>
      </c>
      <c r="I100">
        <f t="shared" si="13"/>
        <v>2.7468188093196129</v>
      </c>
      <c r="J100">
        <f t="shared" si="14"/>
        <v>27.432748837108591</v>
      </c>
      <c r="K100">
        <f t="shared" si="15"/>
        <v>3.5439256087538687E-2</v>
      </c>
      <c r="L100">
        <f t="shared" si="16"/>
        <v>0.65704154937784909</v>
      </c>
      <c r="M100">
        <f t="shared" si="17"/>
        <v>0.34121966427164835</v>
      </c>
      <c r="N100">
        <f t="shared" si="18"/>
        <v>34</v>
      </c>
      <c r="O100" t="str">
        <f t="shared" si="19"/>
        <v>Money</v>
      </c>
    </row>
    <row r="101" spans="1:15" hidden="1" x14ac:dyDescent="0.3">
      <c r="A101" t="s">
        <v>303</v>
      </c>
      <c r="B101" s="2">
        <v>44296</v>
      </c>
      <c r="C101" s="3">
        <v>406183182</v>
      </c>
      <c r="D101" s="4">
        <v>5789027</v>
      </c>
      <c r="E101" s="4">
        <v>139930</v>
      </c>
      <c r="F101">
        <f t="shared" si="10"/>
        <v>2021</v>
      </c>
      <c r="G101" t="str">
        <f t="shared" si="11"/>
        <v>April</v>
      </c>
      <c r="H101" t="str">
        <f t="shared" si="12"/>
        <v>Saturday</v>
      </c>
      <c r="I101">
        <f t="shared" si="13"/>
        <v>1.4596756494955028</v>
      </c>
      <c r="J101">
        <f t="shared" si="14"/>
        <v>14.252256756410954</v>
      </c>
      <c r="K101">
        <f t="shared" si="15"/>
        <v>0.34449973854407395</v>
      </c>
      <c r="L101">
        <f t="shared" si="16"/>
        <v>0.65458729957410122</v>
      </c>
      <c r="M101">
        <f t="shared" si="17"/>
        <v>0.34622025182846855</v>
      </c>
      <c r="N101">
        <f t="shared" si="18"/>
        <v>36</v>
      </c>
      <c r="O101" t="str">
        <f t="shared" si="19"/>
        <v>Money</v>
      </c>
    </row>
    <row r="102" spans="1:15" hidden="1" x14ac:dyDescent="0.3">
      <c r="A102" t="s">
        <v>216</v>
      </c>
      <c r="B102" s="2">
        <v>45283</v>
      </c>
      <c r="C102" s="3">
        <v>401580019</v>
      </c>
      <c r="D102" s="4">
        <v>6748579</v>
      </c>
      <c r="E102" s="4">
        <v>112568</v>
      </c>
      <c r="F102">
        <f t="shared" si="10"/>
        <v>2023</v>
      </c>
      <c r="G102" t="str">
        <f t="shared" si="11"/>
        <v>December</v>
      </c>
      <c r="H102" t="str">
        <f t="shared" si="12"/>
        <v>Saturday</v>
      </c>
      <c r="I102">
        <f t="shared" si="13"/>
        <v>1.7085379439657828</v>
      </c>
      <c r="J102">
        <f t="shared" si="14"/>
        <v>16.805066688340389</v>
      </c>
      <c r="K102">
        <f t="shared" si="15"/>
        <v>0.28031275131744038</v>
      </c>
      <c r="L102">
        <f t="shared" si="16"/>
        <v>0.65481914995161528</v>
      </c>
      <c r="M102">
        <f t="shared" si="17"/>
        <v>0.34504200767296583</v>
      </c>
      <c r="N102">
        <f t="shared" si="18"/>
        <v>19</v>
      </c>
      <c r="O102" t="str">
        <f t="shared" si="19"/>
        <v>Other</v>
      </c>
    </row>
    <row r="103" spans="1:15" hidden="1" x14ac:dyDescent="0.3">
      <c r="A103" t="s">
        <v>144</v>
      </c>
      <c r="B103" s="2">
        <v>45712</v>
      </c>
      <c r="C103" s="3">
        <v>400158289</v>
      </c>
      <c r="D103" s="4">
        <v>7992608</v>
      </c>
      <c r="E103" s="4">
        <v>9952</v>
      </c>
      <c r="F103">
        <f t="shared" si="10"/>
        <v>2025</v>
      </c>
      <c r="G103" t="str">
        <f t="shared" si="11"/>
        <v>February</v>
      </c>
      <c r="H103" t="str">
        <f t="shared" si="12"/>
        <v>Monday</v>
      </c>
      <c r="I103">
        <f t="shared" si="13"/>
        <v>1.9998486149064878</v>
      </c>
      <c r="J103">
        <f t="shared" si="14"/>
        <v>19.973615990746104</v>
      </c>
      <c r="K103">
        <f t="shared" si="15"/>
        <v>2.4870158318774701E-2</v>
      </c>
      <c r="L103">
        <f t="shared" si="16"/>
        <v>0.65428660940803984</v>
      </c>
      <c r="M103">
        <f t="shared" si="17"/>
        <v>0.34502842914440068</v>
      </c>
      <c r="N103">
        <f t="shared" si="18"/>
        <v>27</v>
      </c>
      <c r="O103" t="str">
        <f t="shared" si="19"/>
        <v>Money</v>
      </c>
    </row>
    <row r="104" spans="1:15" hidden="1" x14ac:dyDescent="0.3">
      <c r="A104" t="s">
        <v>213</v>
      </c>
      <c r="B104" s="2">
        <v>45318</v>
      </c>
      <c r="C104" s="3">
        <v>399154956</v>
      </c>
      <c r="D104" s="4">
        <v>6030192</v>
      </c>
      <c r="E104" s="4">
        <v>103841</v>
      </c>
      <c r="F104">
        <f t="shared" si="10"/>
        <v>2024</v>
      </c>
      <c r="G104" t="str">
        <f t="shared" si="11"/>
        <v>January</v>
      </c>
      <c r="H104" t="str">
        <f t="shared" si="12"/>
        <v>Saturday</v>
      </c>
      <c r="I104">
        <f t="shared" si="13"/>
        <v>1.5367548135867315</v>
      </c>
      <c r="J104">
        <f t="shared" si="14"/>
        <v>15.107396035939486</v>
      </c>
      <c r="K104">
        <f t="shared" si="15"/>
        <v>0.26015209992782851</v>
      </c>
      <c r="L104">
        <f t="shared" si="16"/>
        <v>0.65295694721852038</v>
      </c>
      <c r="M104">
        <f t="shared" si="17"/>
        <v>0.35020874410602626</v>
      </c>
      <c r="N104">
        <f t="shared" si="18"/>
        <v>34</v>
      </c>
      <c r="O104" t="str">
        <f t="shared" si="19"/>
        <v>Money</v>
      </c>
    </row>
    <row r="105" spans="1:15" hidden="1" x14ac:dyDescent="0.3">
      <c r="A105" t="s">
        <v>190</v>
      </c>
      <c r="B105" s="2">
        <v>45440</v>
      </c>
      <c r="C105" s="3">
        <v>393938176</v>
      </c>
      <c r="D105" s="4">
        <v>23245946</v>
      </c>
      <c r="E105" s="4">
        <v>828970</v>
      </c>
      <c r="F105">
        <f t="shared" si="10"/>
        <v>2024</v>
      </c>
      <c r="G105" t="str">
        <f t="shared" si="11"/>
        <v>May</v>
      </c>
      <c r="H105" t="str">
        <f t="shared" si="12"/>
        <v>Tuesday</v>
      </c>
      <c r="I105">
        <f t="shared" si="13"/>
        <v>6.111343725163616</v>
      </c>
      <c r="J105">
        <f t="shared" si="14"/>
        <v>59.009122284203301</v>
      </c>
      <c r="K105">
        <f t="shared" si="15"/>
        <v>2.1043149674328596</v>
      </c>
      <c r="L105">
        <f t="shared" si="16"/>
        <v>0.65292542955738653</v>
      </c>
      <c r="M105">
        <f t="shared" si="17"/>
        <v>0.35061448005794305</v>
      </c>
      <c r="N105">
        <f t="shared" si="18"/>
        <v>23</v>
      </c>
      <c r="O105" t="str">
        <f t="shared" si="19"/>
        <v>Other</v>
      </c>
    </row>
    <row r="106" spans="1:15" hidden="1" x14ac:dyDescent="0.3">
      <c r="A106" t="s">
        <v>106</v>
      </c>
      <c r="B106" s="2">
        <v>45867</v>
      </c>
      <c r="C106" s="3">
        <v>393764062</v>
      </c>
      <c r="D106" s="4">
        <v>5385447</v>
      </c>
      <c r="E106" s="4">
        <v>14582</v>
      </c>
      <c r="F106">
        <f t="shared" si="10"/>
        <v>2025</v>
      </c>
      <c r="G106" t="str">
        <f t="shared" si="11"/>
        <v>July</v>
      </c>
      <c r="H106" t="str">
        <f t="shared" si="12"/>
        <v>Tuesday</v>
      </c>
      <c r="I106">
        <f t="shared" si="13"/>
        <v>1.3713869601436608</v>
      </c>
      <c r="J106">
        <f t="shared" si="14"/>
        <v>13.676837273179084</v>
      </c>
      <c r="K106">
        <f t="shared" si="15"/>
        <v>3.7032328257523922E-2</v>
      </c>
      <c r="L106">
        <f t="shared" si="16"/>
        <v>0.65858030267155854</v>
      </c>
      <c r="M106">
        <f t="shared" si="17"/>
        <v>0.35300328158567845</v>
      </c>
      <c r="N106">
        <f t="shared" si="18"/>
        <v>28</v>
      </c>
      <c r="O106" t="str">
        <f t="shared" si="19"/>
        <v>Other</v>
      </c>
    </row>
    <row r="107" spans="1:15" hidden="1" x14ac:dyDescent="0.3">
      <c r="A107" t="s">
        <v>212</v>
      </c>
      <c r="B107" s="2">
        <v>45332</v>
      </c>
      <c r="C107" s="3">
        <v>390692211</v>
      </c>
      <c r="D107" s="4">
        <v>6831068</v>
      </c>
      <c r="E107" s="4">
        <v>229660</v>
      </c>
      <c r="F107">
        <f t="shared" si="10"/>
        <v>2024</v>
      </c>
      <c r="G107" t="str">
        <f t="shared" si="11"/>
        <v>February</v>
      </c>
      <c r="H107" t="str">
        <f t="shared" si="12"/>
        <v>Saturday</v>
      </c>
      <c r="I107">
        <f t="shared" si="13"/>
        <v>1.8072354147853742</v>
      </c>
      <c r="J107">
        <f t="shared" si="14"/>
        <v>17.484525689712306</v>
      </c>
      <c r="K107">
        <f t="shared" si="15"/>
        <v>0.58782845814143958</v>
      </c>
      <c r="L107">
        <f t="shared" si="16"/>
        <v>0.65895635083134796</v>
      </c>
      <c r="M107">
        <f t="shared" si="17"/>
        <v>0.35816620240599445</v>
      </c>
      <c r="N107">
        <f t="shared" si="18"/>
        <v>38</v>
      </c>
      <c r="O107" t="str">
        <f t="shared" si="19"/>
        <v>Money</v>
      </c>
    </row>
    <row r="108" spans="1:15" hidden="1" x14ac:dyDescent="0.3">
      <c r="A108" t="s">
        <v>230</v>
      </c>
      <c r="B108" s="2">
        <v>45216</v>
      </c>
      <c r="C108" s="3">
        <v>387921769</v>
      </c>
      <c r="D108" s="4">
        <v>12905894</v>
      </c>
      <c r="E108" s="4">
        <v>24038</v>
      </c>
      <c r="F108">
        <f t="shared" si="10"/>
        <v>2023</v>
      </c>
      <c r="G108" t="str">
        <f t="shared" si="11"/>
        <v>October</v>
      </c>
      <c r="H108" t="str">
        <f t="shared" si="12"/>
        <v>Tuesday</v>
      </c>
      <c r="I108">
        <f t="shared" si="13"/>
        <v>3.3331287474098934</v>
      </c>
      <c r="J108">
        <f t="shared" si="14"/>
        <v>33.269321371856293</v>
      </c>
      <c r="K108">
        <f t="shared" si="15"/>
        <v>6.1966102242640576E-2</v>
      </c>
      <c r="L108">
        <f t="shared" si="16"/>
        <v>0.65819862334070844</v>
      </c>
      <c r="M108">
        <f t="shared" si="17"/>
        <v>0.35340621205928469</v>
      </c>
      <c r="N108">
        <f t="shared" si="18"/>
        <v>21</v>
      </c>
      <c r="O108" t="str">
        <f t="shared" si="19"/>
        <v>Money</v>
      </c>
    </row>
    <row r="109" spans="1:15" hidden="1" x14ac:dyDescent="0.3">
      <c r="A109" t="s">
        <v>188</v>
      </c>
      <c r="B109" s="2">
        <v>45444</v>
      </c>
      <c r="C109" s="3">
        <v>387111248</v>
      </c>
      <c r="D109" s="4">
        <v>9069627</v>
      </c>
      <c r="E109" s="4">
        <v>343473</v>
      </c>
      <c r="F109">
        <f t="shared" si="10"/>
        <v>2024</v>
      </c>
      <c r="G109" t="str">
        <f t="shared" si="11"/>
        <v>June</v>
      </c>
      <c r="H109" t="str">
        <f t="shared" si="12"/>
        <v>Saturday</v>
      </c>
      <c r="I109">
        <f t="shared" si="13"/>
        <v>2.4316265798610943</v>
      </c>
      <c r="J109">
        <f t="shared" si="14"/>
        <v>23.428993724305318</v>
      </c>
      <c r="K109">
        <f t="shared" si="15"/>
        <v>0.88727207430562705</v>
      </c>
      <c r="L109">
        <f t="shared" si="16"/>
        <v>0.65590691816096702</v>
      </c>
      <c r="M109">
        <f t="shared" si="17"/>
        <v>0.35793470568926938</v>
      </c>
      <c r="N109">
        <f t="shared" si="18"/>
        <v>47</v>
      </c>
      <c r="O109" t="str">
        <f t="shared" si="19"/>
        <v>Money</v>
      </c>
    </row>
    <row r="110" spans="1:15" hidden="1" x14ac:dyDescent="0.3">
      <c r="A110" t="s">
        <v>173</v>
      </c>
      <c r="B110" s="2">
        <v>45555</v>
      </c>
      <c r="C110" s="3">
        <v>385309922</v>
      </c>
      <c r="D110" s="4">
        <v>8513082</v>
      </c>
      <c r="E110" s="4">
        <v>11669</v>
      </c>
      <c r="F110">
        <f t="shared" si="10"/>
        <v>2024</v>
      </c>
      <c r="G110" t="str">
        <f t="shared" si="11"/>
        <v>September</v>
      </c>
      <c r="H110" t="str">
        <f t="shared" si="12"/>
        <v>Friday</v>
      </c>
      <c r="I110">
        <f t="shared" si="13"/>
        <v>2.212440041967048</v>
      </c>
      <c r="J110">
        <f t="shared" si="14"/>
        <v>22.094115707718526</v>
      </c>
      <c r="K110">
        <f t="shared" si="15"/>
        <v>3.0284711951954355E-2</v>
      </c>
      <c r="L110">
        <f t="shared" si="16"/>
        <v>0.653934105470109</v>
      </c>
      <c r="M110">
        <f t="shared" si="17"/>
        <v>0.35080822987521099</v>
      </c>
      <c r="N110">
        <f t="shared" si="18"/>
        <v>39</v>
      </c>
      <c r="O110" t="str">
        <f t="shared" si="19"/>
        <v>Other</v>
      </c>
    </row>
    <row r="111" spans="1:15" hidden="1" x14ac:dyDescent="0.3">
      <c r="A111" t="s">
        <v>71</v>
      </c>
      <c r="B111" s="2">
        <v>45979</v>
      </c>
      <c r="C111" s="3">
        <v>379533891</v>
      </c>
      <c r="D111" s="4">
        <v>3079228</v>
      </c>
      <c r="E111" s="4">
        <v>13172</v>
      </c>
      <c r="F111">
        <f t="shared" si="10"/>
        <v>2025</v>
      </c>
      <c r="G111" t="str">
        <f t="shared" si="11"/>
        <v>November</v>
      </c>
      <c r="H111" t="str">
        <f t="shared" si="12"/>
        <v>Tuesday</v>
      </c>
      <c r="I111">
        <f t="shared" si="13"/>
        <v>0.81478889588808812</v>
      </c>
      <c r="J111">
        <f t="shared" si="14"/>
        <v>8.1131832308488097</v>
      </c>
      <c r="K111">
        <f t="shared" si="15"/>
        <v>3.4705728032071843E-2</v>
      </c>
      <c r="L111">
        <f t="shared" si="16"/>
        <v>0.65215727188046657</v>
      </c>
      <c r="M111">
        <f t="shared" si="17"/>
        <v>0.35611940210816923</v>
      </c>
      <c r="N111">
        <f t="shared" si="18"/>
        <v>24</v>
      </c>
      <c r="O111" t="str">
        <f t="shared" si="19"/>
        <v>Other</v>
      </c>
    </row>
    <row r="112" spans="1:15" hidden="1" x14ac:dyDescent="0.3">
      <c r="A112" t="s">
        <v>282</v>
      </c>
      <c r="B112" s="2">
        <v>44716</v>
      </c>
      <c r="C112" s="3">
        <v>378733676</v>
      </c>
      <c r="D112" s="4">
        <v>6950863</v>
      </c>
      <c r="E112" s="4">
        <v>155666</v>
      </c>
      <c r="F112">
        <f t="shared" si="10"/>
        <v>2022</v>
      </c>
      <c r="G112" t="str">
        <f t="shared" si="11"/>
        <v>June</v>
      </c>
      <c r="H112" t="str">
        <f t="shared" si="12"/>
        <v>Saturday</v>
      </c>
      <c r="I112">
        <f t="shared" si="13"/>
        <v>1.8763921590114949</v>
      </c>
      <c r="J112">
        <f t="shared" si="14"/>
        <v>18.352904535481549</v>
      </c>
      <c r="K112">
        <f t="shared" si="15"/>
        <v>0.41101705463339888</v>
      </c>
      <c r="L112">
        <f t="shared" si="16"/>
        <v>0.65465314930759178</v>
      </c>
      <c r="M112">
        <f t="shared" si="17"/>
        <v>0.36122766947527507</v>
      </c>
      <c r="N112">
        <f t="shared" si="18"/>
        <v>40</v>
      </c>
      <c r="O112" t="str">
        <f t="shared" si="19"/>
        <v>Other</v>
      </c>
    </row>
    <row r="113" spans="1:15" hidden="1" x14ac:dyDescent="0.3">
      <c r="A113" t="s">
        <v>159</v>
      </c>
      <c r="B113" s="2">
        <v>45626</v>
      </c>
      <c r="C113" s="3">
        <v>377030112</v>
      </c>
      <c r="D113" s="4">
        <v>8446700</v>
      </c>
      <c r="E113" s="4">
        <v>122492</v>
      </c>
      <c r="F113">
        <f t="shared" si="10"/>
        <v>2024</v>
      </c>
      <c r="G113" t="str">
        <f t="shared" si="11"/>
        <v>November</v>
      </c>
      <c r="H113" t="str">
        <f t="shared" si="12"/>
        <v>Saturday</v>
      </c>
      <c r="I113">
        <f t="shared" si="13"/>
        <v>2.2728136897458207</v>
      </c>
      <c r="J113">
        <f t="shared" si="14"/>
        <v>22.403250380171226</v>
      </c>
      <c r="K113">
        <f t="shared" si="15"/>
        <v>0.32488651728697998</v>
      </c>
      <c r="L113">
        <f t="shared" si="16"/>
        <v>0.65370124587342571</v>
      </c>
      <c r="M113">
        <f t="shared" si="17"/>
        <v>0.35901516241306441</v>
      </c>
      <c r="N113">
        <f t="shared" si="18"/>
        <v>28</v>
      </c>
      <c r="O113" t="str">
        <f t="shared" si="19"/>
        <v>Money</v>
      </c>
    </row>
    <row r="114" spans="1:15" hidden="1" x14ac:dyDescent="0.3">
      <c r="A114" t="s">
        <v>223</v>
      </c>
      <c r="B114" s="2">
        <v>45240</v>
      </c>
      <c r="C114" s="3">
        <v>371302133</v>
      </c>
      <c r="D114" s="4">
        <v>13869865</v>
      </c>
      <c r="E114" s="4">
        <v>37583</v>
      </c>
      <c r="F114">
        <f t="shared" si="10"/>
        <v>2023</v>
      </c>
      <c r="G114" t="str">
        <f t="shared" si="11"/>
        <v>November</v>
      </c>
      <c r="H114" t="str">
        <f t="shared" si="12"/>
        <v>Friday</v>
      </c>
      <c r="I114">
        <f t="shared" si="13"/>
        <v>3.7455879629972393</v>
      </c>
      <c r="J114">
        <f t="shared" si="14"/>
        <v>37.354660173740506</v>
      </c>
      <c r="K114">
        <f t="shared" si="15"/>
        <v>0.10121945623188758</v>
      </c>
      <c r="L114">
        <f t="shared" si="16"/>
        <v>0.65195300201005635</v>
      </c>
      <c r="M114">
        <f t="shared" si="17"/>
        <v>0.3581830379884402</v>
      </c>
      <c r="N114">
        <f t="shared" si="18"/>
        <v>32</v>
      </c>
      <c r="O114" t="str">
        <f t="shared" si="19"/>
        <v>Other</v>
      </c>
    </row>
    <row r="115" spans="1:15" hidden="1" x14ac:dyDescent="0.3">
      <c r="A115" t="s">
        <v>316</v>
      </c>
      <c r="B115" s="2">
        <v>44149</v>
      </c>
      <c r="C115" s="3">
        <v>366548012</v>
      </c>
      <c r="D115" s="4">
        <v>4869422</v>
      </c>
      <c r="E115" s="4">
        <v>93132</v>
      </c>
      <c r="F115">
        <f t="shared" si="10"/>
        <v>2020</v>
      </c>
      <c r="G115" t="str">
        <f t="shared" si="11"/>
        <v>November</v>
      </c>
      <c r="H115" t="str">
        <f t="shared" si="12"/>
        <v>Saturday</v>
      </c>
      <c r="I115">
        <f t="shared" si="13"/>
        <v>1.3538619328264152</v>
      </c>
      <c r="J115">
        <f t="shared" si="14"/>
        <v>13.284540743873956</v>
      </c>
      <c r="K115">
        <f t="shared" si="15"/>
        <v>0.25407858439019443</v>
      </c>
      <c r="L115">
        <f t="shared" si="16"/>
        <v>0.65017976183003079</v>
      </c>
      <c r="M115">
        <f t="shared" si="17"/>
        <v>0.36168703373287781</v>
      </c>
      <c r="N115">
        <f t="shared" si="18"/>
        <v>34</v>
      </c>
      <c r="O115" t="str">
        <f t="shared" si="19"/>
        <v>Money</v>
      </c>
    </row>
    <row r="116" spans="1:15" hidden="1" x14ac:dyDescent="0.3">
      <c r="A116" t="s">
        <v>174</v>
      </c>
      <c r="B116" s="2">
        <v>45551</v>
      </c>
      <c r="C116" s="3">
        <v>363330621</v>
      </c>
      <c r="D116" s="4">
        <v>8313824</v>
      </c>
      <c r="E116" s="4">
        <v>11669</v>
      </c>
      <c r="F116">
        <f t="shared" si="10"/>
        <v>2024</v>
      </c>
      <c r="G116" t="str">
        <f t="shared" si="11"/>
        <v>September</v>
      </c>
      <c r="H116" t="str">
        <f t="shared" si="12"/>
        <v>Monday</v>
      </c>
      <c r="I116">
        <f t="shared" si="13"/>
        <v>2.2914371976371353</v>
      </c>
      <c r="J116">
        <f t="shared" si="14"/>
        <v>22.8822552228539</v>
      </c>
      <c r="K116">
        <f t="shared" si="15"/>
        <v>3.2116753517452634E-2</v>
      </c>
      <c r="L116">
        <f t="shared" si="16"/>
        <v>0.65066998919025432</v>
      </c>
      <c r="M116">
        <f t="shared" si="17"/>
        <v>0.36219952563408953</v>
      </c>
      <c r="N116">
        <f t="shared" si="18"/>
        <v>30</v>
      </c>
      <c r="O116" t="str">
        <f t="shared" si="19"/>
        <v>Other</v>
      </c>
    </row>
    <row r="117" spans="1:15" x14ac:dyDescent="0.3">
      <c r="A117" t="s">
        <v>40</v>
      </c>
      <c r="B117" s="2">
        <v>46088</v>
      </c>
      <c r="C117" s="3">
        <v>128541828</v>
      </c>
      <c r="D117" s="4">
        <v>2473487</v>
      </c>
      <c r="E117" s="4">
        <v>151158</v>
      </c>
      <c r="F117">
        <f t="shared" si="10"/>
        <v>2026</v>
      </c>
      <c r="G117" t="str">
        <f t="shared" si="11"/>
        <v>March</v>
      </c>
      <c r="H117" t="str">
        <f t="shared" si="12"/>
        <v>Saturday</v>
      </c>
      <c r="I117">
        <f t="shared" si="13"/>
        <v>2.041860646325957</v>
      </c>
      <c r="J117">
        <f t="shared" si="14"/>
        <v>19.2426623962435</v>
      </c>
      <c r="K117">
        <f t="shared" si="15"/>
        <v>1.1759440670160688</v>
      </c>
      <c r="L117">
        <f t="shared" si="16"/>
        <v>0.64899533102034701</v>
      </c>
      <c r="M117">
        <f t="shared" si="17"/>
        <v>0.36713110998551507</v>
      </c>
      <c r="N117">
        <f t="shared" si="18"/>
        <v>51</v>
      </c>
      <c r="O117" t="str">
        <f t="shared" si="19"/>
        <v>Money</v>
      </c>
    </row>
    <row r="118" spans="1:15" hidden="1" x14ac:dyDescent="0.3">
      <c r="A118" t="s">
        <v>180</v>
      </c>
      <c r="B118" s="2">
        <v>45507</v>
      </c>
      <c r="C118" s="3">
        <v>359777547</v>
      </c>
      <c r="D118" s="4">
        <v>6281451</v>
      </c>
      <c r="E118" s="4">
        <v>88575</v>
      </c>
      <c r="F118">
        <f t="shared" si="10"/>
        <v>2024</v>
      </c>
      <c r="G118" t="str">
        <f t="shared" si="11"/>
        <v>August</v>
      </c>
      <c r="H118" t="str">
        <f t="shared" si="12"/>
        <v>Saturday</v>
      </c>
      <c r="I118">
        <f t="shared" si="13"/>
        <v>1.7705457311375798</v>
      </c>
      <c r="J118">
        <f t="shared" si="14"/>
        <v>17.459263515407756</v>
      </c>
      <c r="K118">
        <f t="shared" si="15"/>
        <v>0.2461937959680402</v>
      </c>
      <c r="L118">
        <f t="shared" si="16"/>
        <v>0.64959552055889691</v>
      </c>
      <c r="M118">
        <f t="shared" si="17"/>
        <v>0.3688281576793731</v>
      </c>
      <c r="N118">
        <f t="shared" si="18"/>
        <v>48</v>
      </c>
      <c r="O118" t="str">
        <f t="shared" si="19"/>
        <v>Money</v>
      </c>
    </row>
    <row r="119" spans="1:15" hidden="1" x14ac:dyDescent="0.3">
      <c r="A119" t="s">
        <v>207</v>
      </c>
      <c r="B119" s="2">
        <v>45353</v>
      </c>
      <c r="C119" s="3">
        <v>355486399</v>
      </c>
      <c r="D119" s="4">
        <v>6796150</v>
      </c>
      <c r="E119" s="4">
        <v>201734</v>
      </c>
      <c r="F119">
        <f t="shared" si="10"/>
        <v>2024</v>
      </c>
      <c r="G119" t="str">
        <f t="shared" si="11"/>
        <v>March</v>
      </c>
      <c r="H119" t="str">
        <f t="shared" si="12"/>
        <v>Saturday</v>
      </c>
      <c r="I119">
        <f t="shared" si="13"/>
        <v>1.9685377611310524</v>
      </c>
      <c r="J119">
        <f t="shared" si="14"/>
        <v>19.117890358443784</v>
      </c>
      <c r="K119">
        <f t="shared" si="15"/>
        <v>0.5674872528667404</v>
      </c>
      <c r="L119">
        <f t="shared" si="16"/>
        <v>0.64894882564071632</v>
      </c>
      <c r="M119">
        <f t="shared" si="17"/>
        <v>0.36950926099082726</v>
      </c>
      <c r="N119">
        <f t="shared" si="18"/>
        <v>38</v>
      </c>
      <c r="O119" t="str">
        <f t="shared" si="19"/>
        <v>Survival</v>
      </c>
    </row>
    <row r="120" spans="1:15" x14ac:dyDescent="0.3">
      <c r="A120" t="s">
        <v>9</v>
      </c>
      <c r="B120" s="2">
        <v>46172</v>
      </c>
      <c r="C120" s="3">
        <v>85713424</v>
      </c>
      <c r="D120" s="4">
        <v>2372163</v>
      </c>
      <c r="E120" s="4">
        <v>97537</v>
      </c>
      <c r="F120">
        <f t="shared" si="10"/>
        <v>2026</v>
      </c>
      <c r="G120" t="str">
        <f t="shared" si="11"/>
        <v>May</v>
      </c>
      <c r="H120" t="str">
        <f t="shared" si="12"/>
        <v>Saturday</v>
      </c>
      <c r="I120">
        <f t="shared" si="13"/>
        <v>2.8813456337947718</v>
      </c>
      <c r="J120">
        <f t="shared" si="14"/>
        <v>27.675513231159684</v>
      </c>
      <c r="K120">
        <f t="shared" si="15"/>
        <v>1.1379431067880335</v>
      </c>
      <c r="L120">
        <f t="shared" si="16"/>
        <v>0.64798550323296333</v>
      </c>
      <c r="M120">
        <f t="shared" si="17"/>
        <v>0.36593663647282709</v>
      </c>
      <c r="N120">
        <f t="shared" si="18"/>
        <v>29</v>
      </c>
      <c r="O120" t="str">
        <f t="shared" si="19"/>
        <v>Survival</v>
      </c>
    </row>
    <row r="121" spans="1:15" hidden="1" x14ac:dyDescent="0.3">
      <c r="A121" t="s">
        <v>127</v>
      </c>
      <c r="B121" s="2">
        <v>45779</v>
      </c>
      <c r="C121" s="3">
        <v>352451133</v>
      </c>
      <c r="D121" s="4">
        <v>6343883</v>
      </c>
      <c r="E121" s="4">
        <v>15949</v>
      </c>
      <c r="F121">
        <f t="shared" si="10"/>
        <v>2025</v>
      </c>
      <c r="G121" t="str">
        <f t="shared" si="11"/>
        <v>May</v>
      </c>
      <c r="H121" t="str">
        <f t="shared" si="12"/>
        <v>Friday</v>
      </c>
      <c r="I121">
        <f t="shared" si="13"/>
        <v>1.8044578111769045</v>
      </c>
      <c r="J121">
        <f t="shared" si="14"/>
        <v>17.999326448469667</v>
      </c>
      <c r="K121">
        <f t="shared" si="15"/>
        <v>4.5251663299377166E-2</v>
      </c>
      <c r="L121">
        <f t="shared" si="16"/>
        <v>0.64857253374899482</v>
      </c>
      <c r="M121">
        <f t="shared" si="17"/>
        <v>0.36744707905453211</v>
      </c>
      <c r="N121">
        <f t="shared" si="18"/>
        <v>25</v>
      </c>
      <c r="O121" t="str">
        <f t="shared" si="19"/>
        <v>Other</v>
      </c>
    </row>
    <row r="122" spans="1:15" hidden="1" x14ac:dyDescent="0.3">
      <c r="A122" t="s">
        <v>233</v>
      </c>
      <c r="B122" s="2">
        <v>45206</v>
      </c>
      <c r="C122" s="3">
        <v>351886259</v>
      </c>
      <c r="D122" s="4">
        <v>6751592</v>
      </c>
      <c r="E122" s="4">
        <v>149864</v>
      </c>
      <c r="F122">
        <f t="shared" si="10"/>
        <v>2023</v>
      </c>
      <c r="G122" t="str">
        <f t="shared" si="11"/>
        <v>October</v>
      </c>
      <c r="H122" t="str">
        <f t="shared" si="12"/>
        <v>Saturday</v>
      </c>
      <c r="I122">
        <f t="shared" si="13"/>
        <v>1.9612746515344892</v>
      </c>
      <c r="J122">
        <f t="shared" si="14"/>
        <v>19.186858899199017</v>
      </c>
      <c r="K122">
        <f t="shared" si="15"/>
        <v>0.42588761614587517</v>
      </c>
      <c r="L122">
        <f t="shared" si="16"/>
        <v>0.64785874410827549</v>
      </c>
      <c r="M122">
        <f t="shared" si="17"/>
        <v>0.37192454110206657</v>
      </c>
      <c r="N122">
        <f t="shared" si="18"/>
        <v>28</v>
      </c>
      <c r="O122" t="str">
        <f t="shared" si="19"/>
        <v>Other</v>
      </c>
    </row>
    <row r="123" spans="1:15" hidden="1" x14ac:dyDescent="0.3">
      <c r="A123" t="s">
        <v>202</v>
      </c>
      <c r="B123" s="2">
        <v>45388</v>
      </c>
      <c r="C123" s="3">
        <v>350715704</v>
      </c>
      <c r="D123" s="4">
        <v>10809803</v>
      </c>
      <c r="E123" s="4">
        <v>60602</v>
      </c>
      <c r="F123">
        <f t="shared" si="10"/>
        <v>2024</v>
      </c>
      <c r="G123" t="str">
        <f t="shared" si="11"/>
        <v>April</v>
      </c>
      <c r="H123" t="str">
        <f t="shared" si="12"/>
        <v>Saturday</v>
      </c>
      <c r="I123">
        <f t="shared" si="13"/>
        <v>3.0994919463315505</v>
      </c>
      <c r="J123">
        <f t="shared" si="14"/>
        <v>30.822124235417757</v>
      </c>
      <c r="K123">
        <f t="shared" si="15"/>
        <v>0.17279522789775048</v>
      </c>
      <c r="L123">
        <f t="shared" si="16"/>
        <v>0.64688851317931551</v>
      </c>
      <c r="M123">
        <f t="shared" si="17"/>
        <v>0.3700015914441549</v>
      </c>
      <c r="N123">
        <f t="shared" si="18"/>
        <v>39</v>
      </c>
      <c r="O123" t="str">
        <f t="shared" si="19"/>
        <v>Money</v>
      </c>
    </row>
    <row r="124" spans="1:15" hidden="1" x14ac:dyDescent="0.3">
      <c r="A124" t="s">
        <v>67</v>
      </c>
      <c r="B124" s="2">
        <v>45989</v>
      </c>
      <c r="C124" s="3">
        <v>347377311</v>
      </c>
      <c r="D124" s="4">
        <v>6004315</v>
      </c>
      <c r="E124" s="4">
        <v>29830</v>
      </c>
      <c r="F124">
        <f t="shared" si="10"/>
        <v>2025</v>
      </c>
      <c r="G124" t="str">
        <f t="shared" si="11"/>
        <v>November</v>
      </c>
      <c r="H124" t="str">
        <f t="shared" si="12"/>
        <v>Friday</v>
      </c>
      <c r="I124">
        <f t="shared" si="13"/>
        <v>1.7370578932255021</v>
      </c>
      <c r="J124">
        <f t="shared" si="14"/>
        <v>17.284706887491566</v>
      </c>
      <c r="K124">
        <f t="shared" si="15"/>
        <v>8.5872044763453198E-2</v>
      </c>
      <c r="L124">
        <f t="shared" si="16"/>
        <v>0.64482481871292674</v>
      </c>
      <c r="M124">
        <f t="shared" si="17"/>
        <v>0.37197394938959322</v>
      </c>
      <c r="N124">
        <f t="shared" si="18"/>
        <v>40</v>
      </c>
      <c r="O124" t="str">
        <f t="shared" si="19"/>
        <v>Other</v>
      </c>
    </row>
    <row r="125" spans="1:15" hidden="1" x14ac:dyDescent="0.3">
      <c r="A125" t="s">
        <v>86</v>
      </c>
      <c r="B125" s="2">
        <v>45933</v>
      </c>
      <c r="C125" s="3">
        <v>345199596</v>
      </c>
      <c r="D125" s="4">
        <v>4248458</v>
      </c>
      <c r="E125" s="4">
        <v>15516</v>
      </c>
      <c r="F125">
        <f t="shared" si="10"/>
        <v>2025</v>
      </c>
      <c r="G125" t="str">
        <f t="shared" si="11"/>
        <v>October</v>
      </c>
      <c r="H125" t="str">
        <f t="shared" si="12"/>
        <v>Friday</v>
      </c>
      <c r="I125">
        <f t="shared" si="13"/>
        <v>1.2352198697242971</v>
      </c>
      <c r="J125">
        <f t="shared" si="14"/>
        <v>12.307250788323634</v>
      </c>
      <c r="K125">
        <f t="shared" si="15"/>
        <v>4.4947908919337205E-2</v>
      </c>
      <c r="L125">
        <f t="shared" si="16"/>
        <v>0.64425756085083308</v>
      </c>
      <c r="M125">
        <f t="shared" si="17"/>
        <v>0.37559094218371436</v>
      </c>
      <c r="N125">
        <f t="shared" si="18"/>
        <v>29</v>
      </c>
      <c r="O125" t="str">
        <f t="shared" si="19"/>
        <v>Other</v>
      </c>
    </row>
    <row r="126" spans="1:15" hidden="1" x14ac:dyDescent="0.3">
      <c r="A126" t="s">
        <v>335</v>
      </c>
      <c r="B126" s="2">
        <v>43981</v>
      </c>
      <c r="C126" s="3">
        <v>343662042</v>
      </c>
      <c r="D126" s="4">
        <v>5106214</v>
      </c>
      <c r="E126" s="4">
        <v>116709</v>
      </c>
      <c r="F126">
        <f t="shared" si="10"/>
        <v>2020</v>
      </c>
      <c r="G126" t="str">
        <f t="shared" si="11"/>
        <v>May</v>
      </c>
      <c r="H126" t="str">
        <f t="shared" si="12"/>
        <v>Saturday</v>
      </c>
      <c r="I126">
        <f t="shared" si="13"/>
        <v>1.519784661001345</v>
      </c>
      <c r="J126">
        <f t="shared" si="14"/>
        <v>14.858242621976855</v>
      </c>
      <c r="K126">
        <f t="shared" si="15"/>
        <v>0.33960398803659558</v>
      </c>
      <c r="L126">
        <f t="shared" si="16"/>
        <v>0.64502998826752622</v>
      </c>
      <c r="M126">
        <f t="shared" si="17"/>
        <v>0.38000562100564006</v>
      </c>
      <c r="N126">
        <f t="shared" si="18"/>
        <v>40</v>
      </c>
      <c r="O126" t="str">
        <f t="shared" si="19"/>
        <v>Other</v>
      </c>
    </row>
    <row r="127" spans="1:15" hidden="1" x14ac:dyDescent="0.3">
      <c r="A127" t="s">
        <v>270</v>
      </c>
      <c r="B127" s="2">
        <v>44898</v>
      </c>
      <c r="C127" s="3">
        <v>342989045</v>
      </c>
      <c r="D127" s="4">
        <v>4938037</v>
      </c>
      <c r="E127" s="4">
        <v>93054</v>
      </c>
      <c r="F127">
        <f t="shared" si="10"/>
        <v>2022</v>
      </c>
      <c r="G127" t="str">
        <f t="shared" si="11"/>
        <v>December</v>
      </c>
      <c r="H127" t="str">
        <f t="shared" si="12"/>
        <v>Saturday</v>
      </c>
      <c r="I127">
        <f t="shared" si="13"/>
        <v>1.4668372279936812</v>
      </c>
      <c r="J127">
        <f t="shared" si="14"/>
        <v>14.397069154205786</v>
      </c>
      <c r="K127">
        <f t="shared" si="15"/>
        <v>0.27130312573102733</v>
      </c>
      <c r="L127">
        <f t="shared" si="16"/>
        <v>0.64507690097301484</v>
      </c>
      <c r="M127">
        <f t="shared" si="17"/>
        <v>0.37938102781775646</v>
      </c>
      <c r="N127">
        <f t="shared" si="18"/>
        <v>35</v>
      </c>
      <c r="O127" t="str">
        <f t="shared" si="19"/>
        <v>Money</v>
      </c>
    </row>
    <row r="128" spans="1:15" hidden="1" x14ac:dyDescent="0.3">
      <c r="A128" t="s">
        <v>305</v>
      </c>
      <c r="B128" s="2">
        <v>44282</v>
      </c>
      <c r="C128" s="3">
        <v>342403337</v>
      </c>
      <c r="D128" s="4">
        <v>8348099</v>
      </c>
      <c r="E128" s="4">
        <v>242233</v>
      </c>
      <c r="F128">
        <f t="shared" si="10"/>
        <v>2021</v>
      </c>
      <c r="G128" t="str">
        <f t="shared" si="11"/>
        <v>March</v>
      </c>
      <c r="H128" t="str">
        <f t="shared" si="12"/>
        <v>Saturday</v>
      </c>
      <c r="I128">
        <f t="shared" si="13"/>
        <v>2.5088341939845056</v>
      </c>
      <c r="J128">
        <f t="shared" si="14"/>
        <v>24.380892642994304</v>
      </c>
      <c r="K128">
        <f t="shared" si="15"/>
        <v>0.70744929685074887</v>
      </c>
      <c r="L128">
        <f t="shared" si="16"/>
        <v>0.64524313081293738</v>
      </c>
      <c r="M128">
        <f t="shared" si="17"/>
        <v>0.37973894285929211</v>
      </c>
      <c r="N128">
        <f t="shared" si="18"/>
        <v>29</v>
      </c>
      <c r="O128" t="str">
        <f t="shared" si="19"/>
        <v>Other</v>
      </c>
    </row>
    <row r="129" spans="1:15" hidden="1" x14ac:dyDescent="0.3">
      <c r="A129" t="s">
        <v>343</v>
      </c>
      <c r="B129" s="2">
        <v>43897</v>
      </c>
      <c r="C129" s="3">
        <v>340008740</v>
      </c>
      <c r="D129" s="4">
        <v>5336646</v>
      </c>
      <c r="E129" s="4">
        <v>113237</v>
      </c>
      <c r="F129">
        <f t="shared" si="10"/>
        <v>2020</v>
      </c>
      <c r="G129" t="str">
        <f t="shared" si="11"/>
        <v>March</v>
      </c>
      <c r="H129" t="str">
        <f t="shared" si="12"/>
        <v>Saturday</v>
      </c>
      <c r="I129">
        <f t="shared" si="13"/>
        <v>1.6028655616323273</v>
      </c>
      <c r="J129">
        <f t="shared" si="14"/>
        <v>15.695614177447322</v>
      </c>
      <c r="K129">
        <f t="shared" si="15"/>
        <v>0.33304143887595361</v>
      </c>
      <c r="L129">
        <f t="shared" si="16"/>
        <v>0.64352418157776303</v>
      </c>
      <c r="M129">
        <f t="shared" si="17"/>
        <v>0.37527366077509561</v>
      </c>
      <c r="N129">
        <f t="shared" si="18"/>
        <v>49</v>
      </c>
      <c r="O129" t="str">
        <f t="shared" si="19"/>
        <v>Other</v>
      </c>
    </row>
    <row r="130" spans="1:15" hidden="1" x14ac:dyDescent="0.3">
      <c r="A130" t="s">
        <v>329</v>
      </c>
      <c r="B130" s="2">
        <v>44044</v>
      </c>
      <c r="C130" s="3">
        <v>337597152</v>
      </c>
      <c r="D130" s="4">
        <v>4969932</v>
      </c>
      <c r="E130" s="4">
        <v>138338</v>
      </c>
      <c r="F130">
        <f t="shared" ref="F130:F193" si="20">YEAR(B130)</f>
        <v>2020</v>
      </c>
      <c r="G130" t="str">
        <f t="shared" ref="G130:G193" si="21">TEXT(B130,"MMMM")</f>
        <v>August</v>
      </c>
      <c r="H130" t="str">
        <f t="shared" ref="H130:H193" si="22">TEXT(B130, "DDDD")</f>
        <v>Saturday</v>
      </c>
      <c r="I130">
        <f t="shared" ref="I130:I193" si="23">((D130+E130)/C130)*100</f>
        <v>1.5131259164176836</v>
      </c>
      <c r="J130">
        <f t="shared" ref="J130:J193" si="24">(D130/C130)*1000</f>
        <v>14.721486749983008</v>
      </c>
      <c r="K130">
        <f t="shared" ref="K130:K193" si="25">(E130/C130)*1000</f>
        <v>0.40977241419382593</v>
      </c>
      <c r="L130">
        <f t="shared" ref="L130:L193" si="26">CORREL(C130:C628, D130:D628)</f>
        <v>0.64334683967466222</v>
      </c>
      <c r="M130">
        <f t="shared" ref="M130:M193" si="27">CORREL(C130:C628,E130:E628)</f>
        <v>0.37469417769771768</v>
      </c>
      <c r="N130">
        <f t="shared" ref="N130:N193" si="28">LEN(A130)</f>
        <v>42</v>
      </c>
      <c r="O130" t="str">
        <f t="shared" ref="O130:O193" si="29">IF(ISNUMBER(SEARCH("$",A130)), "Money", IF(ISNUMBER(SEARCH("Win",A130)), "Challenge",IF(ISNUMBER(SEARCH("Challenge",A130)), "Challenge",IF(ISNUMBER(SEARCH("Last To Leave",A130)),"Challenge",IF(ISNUMBER(SEARCH("Giving Away", A130)),"Giveaway",IF(ISNUMBER(SEARCH("Stranded",A130)),"Survival", IF(ISNUMBER(SEARCH("Survive",A130)), "Survival", IF(ISNUMBER(SEARCH("Days",A130)),"Endurance","Other"))))))))</f>
        <v>Other</v>
      </c>
    </row>
    <row r="131" spans="1:15" hidden="1" x14ac:dyDescent="0.3">
      <c r="A131" t="s">
        <v>263</v>
      </c>
      <c r="B131" s="2">
        <v>45003</v>
      </c>
      <c r="C131" s="3">
        <v>337551519</v>
      </c>
      <c r="D131" s="4">
        <v>6493231</v>
      </c>
      <c r="E131" s="4">
        <v>104917</v>
      </c>
      <c r="F131">
        <f t="shared" si="20"/>
        <v>2023</v>
      </c>
      <c r="G131" t="str">
        <f t="shared" si="21"/>
        <v>March</v>
      </c>
      <c r="H131" t="str">
        <f t="shared" si="22"/>
        <v>Saturday</v>
      </c>
      <c r="I131">
        <f t="shared" si="23"/>
        <v>1.9547084307447598</v>
      </c>
      <c r="J131">
        <f t="shared" si="24"/>
        <v>19.23626656824495</v>
      </c>
      <c r="K131">
        <f t="shared" si="25"/>
        <v>0.31081773920264893</v>
      </c>
      <c r="L131">
        <f t="shared" si="26"/>
        <v>0.64343009161415099</v>
      </c>
      <c r="M131">
        <f t="shared" si="27"/>
        <v>0.37309835198947333</v>
      </c>
      <c r="N131">
        <f t="shared" si="28"/>
        <v>40</v>
      </c>
      <c r="O131" t="str">
        <f t="shared" si="29"/>
        <v>Other</v>
      </c>
    </row>
    <row r="132" spans="1:15" x14ac:dyDescent="0.3">
      <c r="A132" t="s">
        <v>26</v>
      </c>
      <c r="B132" s="2">
        <v>46130</v>
      </c>
      <c r="C132" s="3">
        <v>158846200</v>
      </c>
      <c r="D132" s="4">
        <v>3208380</v>
      </c>
      <c r="E132" s="4">
        <v>168813</v>
      </c>
      <c r="F132">
        <f t="shared" si="20"/>
        <v>2026</v>
      </c>
      <c r="G132" t="str">
        <f t="shared" si="21"/>
        <v>April</v>
      </c>
      <c r="H132" t="str">
        <f t="shared" si="22"/>
        <v>Saturday</v>
      </c>
      <c r="I132">
        <f t="shared" si="23"/>
        <v>2.1260772999291135</v>
      </c>
      <c r="J132">
        <f t="shared" si="24"/>
        <v>20.198028029628659</v>
      </c>
      <c r="K132">
        <f t="shared" si="25"/>
        <v>1.0627449696624787</v>
      </c>
      <c r="L132">
        <f t="shared" si="26"/>
        <v>0.64248344572851035</v>
      </c>
      <c r="M132">
        <f t="shared" si="27"/>
        <v>0.37283231827014884</v>
      </c>
      <c r="N132">
        <f t="shared" si="28"/>
        <v>42</v>
      </c>
      <c r="O132" t="str">
        <f t="shared" si="29"/>
        <v>Money</v>
      </c>
    </row>
    <row r="133" spans="1:15" hidden="1" x14ac:dyDescent="0.3">
      <c r="A133" t="s">
        <v>200</v>
      </c>
      <c r="B133" s="2">
        <v>45402</v>
      </c>
      <c r="C133" s="3">
        <v>326556913</v>
      </c>
      <c r="D133" s="4">
        <v>6326021</v>
      </c>
      <c r="E133" s="4">
        <v>218939</v>
      </c>
      <c r="F133">
        <f t="shared" si="20"/>
        <v>2024</v>
      </c>
      <c r="G133" t="str">
        <f t="shared" si="21"/>
        <v>April</v>
      </c>
      <c r="H133" t="str">
        <f t="shared" si="22"/>
        <v>Saturday</v>
      </c>
      <c r="I133">
        <f t="shared" si="23"/>
        <v>2.0042325669583971</v>
      </c>
      <c r="J133">
        <f t="shared" si="24"/>
        <v>19.371878983924617</v>
      </c>
      <c r="K133">
        <f t="shared" si="25"/>
        <v>0.67044668565935395</v>
      </c>
      <c r="L133">
        <f t="shared" si="26"/>
        <v>0.64298496924595749</v>
      </c>
      <c r="M133">
        <f t="shared" si="27"/>
        <v>0.37383299127148251</v>
      </c>
      <c r="N133">
        <f t="shared" si="28"/>
        <v>37</v>
      </c>
      <c r="O133" t="str">
        <f t="shared" si="29"/>
        <v>Money</v>
      </c>
    </row>
    <row r="134" spans="1:15" x14ac:dyDescent="0.3">
      <c r="A134" t="s">
        <v>39</v>
      </c>
      <c r="B134" s="2">
        <v>46091</v>
      </c>
      <c r="C134" s="3">
        <v>19230719</v>
      </c>
      <c r="D134" s="4">
        <v>940015</v>
      </c>
      <c r="E134" s="4">
        <v>20005</v>
      </c>
      <c r="F134">
        <f t="shared" si="20"/>
        <v>2026</v>
      </c>
      <c r="G134" t="str">
        <f t="shared" si="21"/>
        <v>March</v>
      </c>
      <c r="H134" t="str">
        <f t="shared" si="22"/>
        <v>Tuesday</v>
      </c>
      <c r="I134">
        <f t="shared" si="23"/>
        <v>4.992117039409707</v>
      </c>
      <c r="J134">
        <f t="shared" si="24"/>
        <v>48.880907676930853</v>
      </c>
      <c r="K134">
        <f t="shared" si="25"/>
        <v>1.0402627171662171</v>
      </c>
      <c r="L134">
        <f t="shared" si="26"/>
        <v>0.64214446793166624</v>
      </c>
      <c r="M134">
        <f t="shared" si="27"/>
        <v>0.37003350808873425</v>
      </c>
      <c r="N134">
        <f t="shared" si="28"/>
        <v>28</v>
      </c>
      <c r="O134" t="str">
        <f t="shared" si="29"/>
        <v>Other</v>
      </c>
    </row>
    <row r="135" spans="1:15" hidden="1" x14ac:dyDescent="0.3">
      <c r="A135" t="s">
        <v>189</v>
      </c>
      <c r="B135" s="2">
        <v>45442</v>
      </c>
      <c r="C135" s="3">
        <v>324443137</v>
      </c>
      <c r="D135" s="4">
        <v>11973986</v>
      </c>
      <c r="E135" s="4">
        <v>86805</v>
      </c>
      <c r="F135">
        <f t="shared" si="20"/>
        <v>2024</v>
      </c>
      <c r="G135" t="str">
        <f t="shared" si="21"/>
        <v>May</v>
      </c>
      <c r="H135" t="str">
        <f t="shared" si="22"/>
        <v>Thursday</v>
      </c>
      <c r="I135">
        <f t="shared" si="23"/>
        <v>3.7173820693269897</v>
      </c>
      <c r="J135">
        <f t="shared" si="24"/>
        <v>36.906269957561157</v>
      </c>
      <c r="K135">
        <f t="shared" si="25"/>
        <v>0.26755073570873528</v>
      </c>
      <c r="L135">
        <f t="shared" si="26"/>
        <v>0.64242831012119339</v>
      </c>
      <c r="M135">
        <f t="shared" si="27"/>
        <v>0.37048195812161533</v>
      </c>
      <c r="N135">
        <f t="shared" si="28"/>
        <v>34</v>
      </c>
      <c r="O135" t="str">
        <f t="shared" si="29"/>
        <v>Other</v>
      </c>
    </row>
    <row r="136" spans="1:15" hidden="1" x14ac:dyDescent="0.3">
      <c r="A136" t="s">
        <v>256</v>
      </c>
      <c r="B136" s="2">
        <v>45066</v>
      </c>
      <c r="C136" s="3">
        <v>324430397</v>
      </c>
      <c r="D136" s="4">
        <v>13397253</v>
      </c>
      <c r="E136" s="4">
        <v>24594</v>
      </c>
      <c r="F136">
        <f t="shared" si="20"/>
        <v>2023</v>
      </c>
      <c r="G136" t="str">
        <f t="shared" si="21"/>
        <v>May</v>
      </c>
      <c r="H136" t="str">
        <f t="shared" si="22"/>
        <v>Saturday</v>
      </c>
      <c r="I136">
        <f t="shared" si="23"/>
        <v>4.1370497721888864</v>
      </c>
      <c r="J136">
        <f t="shared" si="24"/>
        <v>41.294691015034573</v>
      </c>
      <c r="K136">
        <f t="shared" si="25"/>
        <v>7.5806706854290223E-2</v>
      </c>
      <c r="L136">
        <f t="shared" si="26"/>
        <v>0.64093872240628602</v>
      </c>
      <c r="M136">
        <f t="shared" si="27"/>
        <v>0.37094025267736197</v>
      </c>
      <c r="N136">
        <f t="shared" si="28"/>
        <v>31</v>
      </c>
      <c r="O136" t="str">
        <f t="shared" si="29"/>
        <v>Other</v>
      </c>
    </row>
    <row r="137" spans="1:15" x14ac:dyDescent="0.3">
      <c r="A137" t="s">
        <v>56</v>
      </c>
      <c r="B137" s="2">
        <v>46029</v>
      </c>
      <c r="C137" s="3">
        <v>128893992</v>
      </c>
      <c r="D137" s="4">
        <v>2660932</v>
      </c>
      <c r="E137" s="4">
        <v>119334</v>
      </c>
      <c r="F137">
        <f t="shared" si="20"/>
        <v>2026</v>
      </c>
      <c r="G137" t="str">
        <f t="shared" si="21"/>
        <v>January</v>
      </c>
      <c r="H137" t="str">
        <f t="shared" si="22"/>
        <v>Wednesday</v>
      </c>
      <c r="I137">
        <f t="shared" si="23"/>
        <v>2.1570175280163562</v>
      </c>
      <c r="J137">
        <f t="shared" si="24"/>
        <v>20.644344695290375</v>
      </c>
      <c r="K137">
        <f t="shared" si="25"/>
        <v>0.92583058487318781</v>
      </c>
      <c r="L137">
        <f t="shared" si="26"/>
        <v>0.6400376863085161</v>
      </c>
      <c r="M137">
        <f t="shared" si="27"/>
        <v>0.37445742604712801</v>
      </c>
      <c r="N137">
        <f t="shared" si="28"/>
        <v>36</v>
      </c>
      <c r="O137" t="str">
        <f t="shared" si="29"/>
        <v>Money</v>
      </c>
    </row>
    <row r="138" spans="1:15" hidden="1" x14ac:dyDescent="0.3">
      <c r="A138" t="s">
        <v>221</v>
      </c>
      <c r="B138" s="2">
        <v>45255</v>
      </c>
      <c r="C138" s="3">
        <v>319781391</v>
      </c>
      <c r="D138" s="4">
        <v>4929110</v>
      </c>
      <c r="E138" s="4">
        <v>63025</v>
      </c>
      <c r="F138">
        <f t="shared" si="20"/>
        <v>2023</v>
      </c>
      <c r="G138" t="str">
        <f t="shared" si="21"/>
        <v>November</v>
      </c>
      <c r="H138" t="str">
        <f t="shared" si="22"/>
        <v>Saturday</v>
      </c>
      <c r="I138">
        <f t="shared" si="23"/>
        <v>1.5611086637621137</v>
      </c>
      <c r="J138">
        <f t="shared" si="24"/>
        <v>15.41399887149781</v>
      </c>
      <c r="K138">
        <f t="shared" si="25"/>
        <v>0.19708776612332643</v>
      </c>
      <c r="L138">
        <f t="shared" si="26"/>
        <v>0.64057402881405689</v>
      </c>
      <c r="M138">
        <f t="shared" si="27"/>
        <v>0.37555788545309921</v>
      </c>
      <c r="N138">
        <f t="shared" si="28"/>
        <v>22</v>
      </c>
      <c r="O138" t="str">
        <f t="shared" si="29"/>
        <v>Money</v>
      </c>
    </row>
    <row r="139" spans="1:15" hidden="1" x14ac:dyDescent="0.3">
      <c r="A139" t="s">
        <v>367</v>
      </c>
      <c r="B139" s="2">
        <v>43743</v>
      </c>
      <c r="C139" s="3">
        <v>319505425</v>
      </c>
      <c r="D139" s="4">
        <v>5273775</v>
      </c>
      <c r="E139" s="4">
        <v>132625</v>
      </c>
      <c r="F139">
        <f t="shared" si="20"/>
        <v>2019</v>
      </c>
      <c r="G139" t="str">
        <f t="shared" si="21"/>
        <v>October</v>
      </c>
      <c r="H139" t="str">
        <f t="shared" si="22"/>
        <v>Saturday</v>
      </c>
      <c r="I139">
        <f t="shared" si="23"/>
        <v>1.692115243426618</v>
      </c>
      <c r="J139">
        <f t="shared" si="24"/>
        <v>16.506057760991069</v>
      </c>
      <c r="K139">
        <f t="shared" si="25"/>
        <v>0.41509467327510952</v>
      </c>
      <c r="L139">
        <f t="shared" si="26"/>
        <v>0.64050016574776292</v>
      </c>
      <c r="M139">
        <f t="shared" si="27"/>
        <v>0.3770180256710286</v>
      </c>
      <c r="N139">
        <f t="shared" si="28"/>
        <v>45</v>
      </c>
      <c r="O139" t="str">
        <f t="shared" si="29"/>
        <v>Other</v>
      </c>
    </row>
    <row r="140" spans="1:15" x14ac:dyDescent="0.3">
      <c r="A140" t="s">
        <v>22</v>
      </c>
      <c r="B140" s="2">
        <v>46140</v>
      </c>
      <c r="C140" s="3">
        <v>18371605</v>
      </c>
      <c r="D140" s="4">
        <v>566707</v>
      </c>
      <c r="E140" s="4">
        <v>16318</v>
      </c>
      <c r="F140">
        <f t="shared" si="20"/>
        <v>2026</v>
      </c>
      <c r="G140" t="str">
        <f t="shared" si="21"/>
        <v>April</v>
      </c>
      <c r="H140" t="str">
        <f t="shared" si="22"/>
        <v>Tuesday</v>
      </c>
      <c r="I140">
        <f t="shared" si="23"/>
        <v>3.1735115141001558</v>
      </c>
      <c r="J140">
        <f t="shared" si="24"/>
        <v>30.846896610285278</v>
      </c>
      <c r="K140">
        <f t="shared" si="25"/>
        <v>0.88821853071628742</v>
      </c>
      <c r="L140">
        <f t="shared" si="26"/>
        <v>0.64017847536623651</v>
      </c>
      <c r="M140">
        <f t="shared" si="27"/>
        <v>0.37558352904724052</v>
      </c>
      <c r="N140">
        <f t="shared" si="28"/>
        <v>45</v>
      </c>
      <c r="O140" t="str">
        <f t="shared" si="29"/>
        <v>Other</v>
      </c>
    </row>
    <row r="141" spans="1:15" hidden="1" x14ac:dyDescent="0.3">
      <c r="A141" t="s">
        <v>203</v>
      </c>
      <c r="B141" s="2">
        <v>45384</v>
      </c>
      <c r="C141" s="3">
        <v>316956354</v>
      </c>
      <c r="D141" s="4">
        <v>11048808</v>
      </c>
      <c r="E141" s="4">
        <v>17351</v>
      </c>
      <c r="F141">
        <f t="shared" si="20"/>
        <v>2024</v>
      </c>
      <c r="G141" t="str">
        <f t="shared" si="21"/>
        <v>April</v>
      </c>
      <c r="H141" t="str">
        <f t="shared" si="22"/>
        <v>Tuesday</v>
      </c>
      <c r="I141">
        <f t="shared" si="23"/>
        <v>3.4913826021610537</v>
      </c>
      <c r="J141">
        <f t="shared" si="24"/>
        <v>34.859083468634296</v>
      </c>
      <c r="K141">
        <f t="shared" si="25"/>
        <v>5.474255297623723E-2</v>
      </c>
      <c r="L141">
        <f t="shared" si="26"/>
        <v>0.64036780219416578</v>
      </c>
      <c r="M141">
        <f t="shared" si="27"/>
        <v>0.37593941861271857</v>
      </c>
      <c r="N141">
        <f t="shared" si="28"/>
        <v>29</v>
      </c>
      <c r="O141" t="str">
        <f t="shared" si="29"/>
        <v>Other</v>
      </c>
    </row>
    <row r="142" spans="1:15" hidden="1" x14ac:dyDescent="0.3">
      <c r="A142" t="s">
        <v>222</v>
      </c>
      <c r="B142" s="2">
        <v>45248</v>
      </c>
      <c r="C142" s="3">
        <v>316045759</v>
      </c>
      <c r="D142" s="4">
        <v>8307146</v>
      </c>
      <c r="E142" s="4">
        <v>126897</v>
      </c>
      <c r="F142">
        <f t="shared" si="20"/>
        <v>2023</v>
      </c>
      <c r="G142" t="str">
        <f t="shared" si="21"/>
        <v>November</v>
      </c>
      <c r="H142" t="str">
        <f t="shared" si="22"/>
        <v>Saturday</v>
      </c>
      <c r="I142">
        <f t="shared" si="23"/>
        <v>2.6686145154062957</v>
      </c>
      <c r="J142">
        <f t="shared" si="24"/>
        <v>26.284630511368452</v>
      </c>
      <c r="K142">
        <f t="shared" si="25"/>
        <v>0.40151464269450932</v>
      </c>
      <c r="L142">
        <f t="shared" si="26"/>
        <v>0.63877568243057337</v>
      </c>
      <c r="M142">
        <f t="shared" si="27"/>
        <v>0.37971668143127091</v>
      </c>
      <c r="N142">
        <f t="shared" si="28"/>
        <v>27</v>
      </c>
      <c r="O142" t="str">
        <f t="shared" si="29"/>
        <v>Endurance</v>
      </c>
    </row>
    <row r="143" spans="1:15" hidden="1" x14ac:dyDescent="0.3">
      <c r="A143" t="s">
        <v>228</v>
      </c>
      <c r="B143" s="2">
        <v>45227</v>
      </c>
      <c r="C143" s="3">
        <v>314301634</v>
      </c>
      <c r="D143" s="4">
        <v>4874061</v>
      </c>
      <c r="E143" s="4">
        <v>83636</v>
      </c>
      <c r="F143">
        <f t="shared" si="20"/>
        <v>2023</v>
      </c>
      <c r="G143" t="str">
        <f t="shared" si="21"/>
        <v>October</v>
      </c>
      <c r="H143" t="str">
        <f t="shared" si="22"/>
        <v>Saturday</v>
      </c>
      <c r="I143">
        <f t="shared" si="23"/>
        <v>1.5773691459714141</v>
      </c>
      <c r="J143">
        <f t="shared" si="24"/>
        <v>15.507590393246254</v>
      </c>
      <c r="K143">
        <f t="shared" si="25"/>
        <v>0.26610106646788861</v>
      </c>
      <c r="L143">
        <f t="shared" si="26"/>
        <v>0.63712483948798959</v>
      </c>
      <c r="M143">
        <f t="shared" si="27"/>
        <v>0.37852850292730067</v>
      </c>
      <c r="N143">
        <f t="shared" si="28"/>
        <v>54</v>
      </c>
      <c r="O143" t="str">
        <f t="shared" si="29"/>
        <v>Money</v>
      </c>
    </row>
    <row r="144" spans="1:15" hidden="1" x14ac:dyDescent="0.3">
      <c r="A144" t="s">
        <v>157</v>
      </c>
      <c r="B144" s="2">
        <v>45635</v>
      </c>
      <c r="C144" s="3">
        <v>313296891</v>
      </c>
      <c r="D144" s="4">
        <v>9250620</v>
      </c>
      <c r="E144" s="4">
        <v>19740</v>
      </c>
      <c r="F144">
        <f t="shared" si="20"/>
        <v>2024</v>
      </c>
      <c r="G144" t="str">
        <f t="shared" si="21"/>
        <v>December</v>
      </c>
      <c r="H144" t="str">
        <f t="shared" si="22"/>
        <v>Monday</v>
      </c>
      <c r="I144">
        <f t="shared" si="23"/>
        <v>2.9589696758273929</v>
      </c>
      <c r="J144">
        <f t="shared" si="24"/>
        <v>29.526689430186526</v>
      </c>
      <c r="K144">
        <f t="shared" si="25"/>
        <v>6.300732808740192E-2</v>
      </c>
      <c r="L144">
        <f t="shared" si="26"/>
        <v>0.63700337379516203</v>
      </c>
      <c r="M144">
        <f t="shared" si="27"/>
        <v>0.37902582034940929</v>
      </c>
      <c r="N144">
        <f t="shared" si="28"/>
        <v>33</v>
      </c>
      <c r="O144" t="str">
        <f t="shared" si="29"/>
        <v>Other</v>
      </c>
    </row>
    <row r="145" spans="1:15" hidden="1" x14ac:dyDescent="0.3">
      <c r="A145" t="s">
        <v>309</v>
      </c>
      <c r="B145" s="2">
        <v>44218</v>
      </c>
      <c r="C145" s="3">
        <v>308022049</v>
      </c>
      <c r="D145" s="4">
        <v>6181586</v>
      </c>
      <c r="E145" s="4">
        <v>173035</v>
      </c>
      <c r="F145">
        <f t="shared" si="20"/>
        <v>2021</v>
      </c>
      <c r="G145" t="str">
        <f t="shared" si="21"/>
        <v>January</v>
      </c>
      <c r="H145" t="str">
        <f t="shared" si="22"/>
        <v>Friday</v>
      </c>
      <c r="I145">
        <f t="shared" si="23"/>
        <v>2.0630409480848559</v>
      </c>
      <c r="J145">
        <f t="shared" si="24"/>
        <v>20.068647748005858</v>
      </c>
      <c r="K145">
        <f t="shared" si="25"/>
        <v>0.56176173284270314</v>
      </c>
      <c r="L145">
        <f t="shared" si="26"/>
        <v>0.63523659034683955</v>
      </c>
      <c r="M145">
        <f t="shared" si="27"/>
        <v>0.38261758873134022</v>
      </c>
      <c r="N145">
        <f t="shared" si="28"/>
        <v>31</v>
      </c>
      <c r="O145" t="str">
        <f t="shared" si="29"/>
        <v>Money</v>
      </c>
    </row>
    <row r="146" spans="1:15" hidden="1" x14ac:dyDescent="0.3">
      <c r="A146" t="s">
        <v>280</v>
      </c>
      <c r="B146" s="2">
        <v>44765</v>
      </c>
      <c r="C146" s="3">
        <v>306988519</v>
      </c>
      <c r="D146" s="4">
        <v>5047789</v>
      </c>
      <c r="E146" s="4">
        <v>136125</v>
      </c>
      <c r="F146">
        <f t="shared" si="20"/>
        <v>2022</v>
      </c>
      <c r="G146" t="str">
        <f t="shared" si="21"/>
        <v>July</v>
      </c>
      <c r="H146" t="str">
        <f t="shared" si="22"/>
        <v>Saturday</v>
      </c>
      <c r="I146">
        <f t="shared" si="23"/>
        <v>1.6886344860343132</v>
      </c>
      <c r="J146">
        <f t="shared" si="24"/>
        <v>16.442924368777454</v>
      </c>
      <c r="K146">
        <f t="shared" si="25"/>
        <v>0.4434204915656797</v>
      </c>
      <c r="L146">
        <f t="shared" si="26"/>
        <v>0.63430408431399443</v>
      </c>
      <c r="M146">
        <f t="shared" si="27"/>
        <v>0.38003884507788682</v>
      </c>
      <c r="N146">
        <f t="shared" si="28"/>
        <v>34</v>
      </c>
      <c r="O146" t="str">
        <f t="shared" si="29"/>
        <v>Money</v>
      </c>
    </row>
    <row r="147" spans="1:15" hidden="1" x14ac:dyDescent="0.3">
      <c r="A147" t="s">
        <v>304</v>
      </c>
      <c r="B147" s="2">
        <v>44289</v>
      </c>
      <c r="C147" s="3">
        <v>305117841</v>
      </c>
      <c r="D147" s="4">
        <v>5555971</v>
      </c>
      <c r="E147" s="4">
        <v>173998</v>
      </c>
      <c r="F147">
        <f t="shared" si="20"/>
        <v>2021</v>
      </c>
      <c r="G147" t="str">
        <f t="shared" si="21"/>
        <v>April</v>
      </c>
      <c r="H147" t="str">
        <f t="shared" si="22"/>
        <v>Saturday</v>
      </c>
      <c r="I147">
        <f t="shared" si="23"/>
        <v>1.8779527874281203</v>
      </c>
      <c r="J147">
        <f t="shared" si="24"/>
        <v>18.209262958176215</v>
      </c>
      <c r="K147">
        <f t="shared" si="25"/>
        <v>0.57026491610498775</v>
      </c>
      <c r="L147">
        <f t="shared" si="26"/>
        <v>0.63400312866796449</v>
      </c>
      <c r="M147">
        <f t="shared" si="27"/>
        <v>0.37853216740753104</v>
      </c>
      <c r="N147">
        <f t="shared" si="28"/>
        <v>52</v>
      </c>
      <c r="O147" t="str">
        <f t="shared" si="29"/>
        <v>Money</v>
      </c>
    </row>
    <row r="148" spans="1:15" hidden="1" x14ac:dyDescent="0.3">
      <c r="A148" t="s">
        <v>251</v>
      </c>
      <c r="B148" s="2">
        <v>45115</v>
      </c>
      <c r="C148" s="3">
        <v>303111032</v>
      </c>
      <c r="D148" s="4">
        <v>6650467</v>
      </c>
      <c r="E148" s="4">
        <v>129399</v>
      </c>
      <c r="F148">
        <f t="shared" si="20"/>
        <v>2023</v>
      </c>
      <c r="G148" t="str">
        <f t="shared" si="21"/>
        <v>July</v>
      </c>
      <c r="H148" t="str">
        <f t="shared" si="22"/>
        <v>Saturday</v>
      </c>
      <c r="I148">
        <f t="shared" si="23"/>
        <v>2.236759894638213</v>
      </c>
      <c r="J148">
        <f t="shared" si="24"/>
        <v>21.940695975724172</v>
      </c>
      <c r="K148">
        <f t="shared" si="25"/>
        <v>0.42690297065796012</v>
      </c>
      <c r="L148">
        <f t="shared" si="26"/>
        <v>0.63337683642032361</v>
      </c>
      <c r="M148">
        <f t="shared" si="27"/>
        <v>0.37589948835073222</v>
      </c>
      <c r="N148">
        <f t="shared" si="28"/>
        <v>18</v>
      </c>
      <c r="O148" t="str">
        <f t="shared" si="29"/>
        <v>Other</v>
      </c>
    </row>
    <row r="149" spans="1:15" hidden="1" x14ac:dyDescent="0.3">
      <c r="A149" t="s">
        <v>298</v>
      </c>
      <c r="B149" s="2">
        <v>44373</v>
      </c>
      <c r="C149" s="3">
        <v>301221038</v>
      </c>
      <c r="D149" s="4">
        <v>4486683</v>
      </c>
      <c r="E149" s="4">
        <v>99039</v>
      </c>
      <c r="F149">
        <f t="shared" si="20"/>
        <v>2021</v>
      </c>
      <c r="G149" t="str">
        <f t="shared" si="21"/>
        <v>June</v>
      </c>
      <c r="H149" t="str">
        <f t="shared" si="22"/>
        <v>Saturday</v>
      </c>
      <c r="I149">
        <f t="shared" si="23"/>
        <v>1.5223777298051804</v>
      </c>
      <c r="J149">
        <f t="shared" si="24"/>
        <v>14.894985522226373</v>
      </c>
      <c r="K149">
        <f t="shared" si="25"/>
        <v>0.32879177582543223</v>
      </c>
      <c r="L149">
        <f t="shared" si="26"/>
        <v>0.63221877812125327</v>
      </c>
      <c r="M149">
        <f t="shared" si="27"/>
        <v>0.37459203847979</v>
      </c>
      <c r="N149">
        <f t="shared" si="28"/>
        <v>48</v>
      </c>
      <c r="O149" t="str">
        <f t="shared" si="29"/>
        <v>Survival</v>
      </c>
    </row>
    <row r="150" spans="1:15" hidden="1" x14ac:dyDescent="0.3">
      <c r="A150" t="s">
        <v>326</v>
      </c>
      <c r="B150" s="2">
        <v>44058</v>
      </c>
      <c r="C150" s="3">
        <v>298054352</v>
      </c>
      <c r="D150" s="4">
        <v>5911114</v>
      </c>
      <c r="E150" s="4">
        <v>224082</v>
      </c>
      <c r="F150">
        <f t="shared" si="20"/>
        <v>2020</v>
      </c>
      <c r="G150" t="str">
        <f t="shared" si="21"/>
        <v>August</v>
      </c>
      <c r="H150" t="str">
        <f t="shared" si="22"/>
        <v>Saturday</v>
      </c>
      <c r="I150">
        <f t="shared" si="23"/>
        <v>2.0584151712034053</v>
      </c>
      <c r="J150">
        <f t="shared" si="24"/>
        <v>19.832335815046246</v>
      </c>
      <c r="K150">
        <f t="shared" si="25"/>
        <v>0.75181589698780849</v>
      </c>
      <c r="L150">
        <f t="shared" si="26"/>
        <v>0.63225446814788155</v>
      </c>
      <c r="M150">
        <f t="shared" si="27"/>
        <v>0.37433997876426012</v>
      </c>
      <c r="N150">
        <f t="shared" si="28"/>
        <v>38</v>
      </c>
      <c r="O150" t="str">
        <f t="shared" si="29"/>
        <v>Money</v>
      </c>
    </row>
    <row r="151" spans="1:15" hidden="1" x14ac:dyDescent="0.3">
      <c r="A151" t="s">
        <v>150</v>
      </c>
      <c r="B151" s="2">
        <v>45674</v>
      </c>
      <c r="C151" s="3">
        <v>296463263</v>
      </c>
      <c r="D151" s="4">
        <v>28146891</v>
      </c>
      <c r="E151" s="4">
        <v>237503</v>
      </c>
      <c r="F151">
        <f t="shared" si="20"/>
        <v>2025</v>
      </c>
      <c r="G151" t="str">
        <f t="shared" si="21"/>
        <v>January</v>
      </c>
      <c r="H151" t="str">
        <f t="shared" si="22"/>
        <v>Friday</v>
      </c>
      <c r="I151">
        <f t="shared" si="23"/>
        <v>9.5743377148216844</v>
      </c>
      <c r="J151">
        <f t="shared" si="24"/>
        <v>94.942255965117667</v>
      </c>
      <c r="K151">
        <f t="shared" si="25"/>
        <v>0.80112118309916869</v>
      </c>
      <c r="L151">
        <f t="shared" si="26"/>
        <v>0.63142040139147815</v>
      </c>
      <c r="M151">
        <f t="shared" si="27"/>
        <v>0.37072988931514617</v>
      </c>
      <c r="N151">
        <f t="shared" si="28"/>
        <v>23</v>
      </c>
      <c r="O151" t="str">
        <f t="shared" si="29"/>
        <v>Other</v>
      </c>
    </row>
    <row r="152" spans="1:15" hidden="1" x14ac:dyDescent="0.3">
      <c r="A152" t="s">
        <v>191</v>
      </c>
      <c r="B152" s="2">
        <v>45428</v>
      </c>
      <c r="C152" s="3">
        <v>295291401</v>
      </c>
      <c r="D152" s="4">
        <v>10835322</v>
      </c>
      <c r="E152" s="4">
        <v>35897</v>
      </c>
      <c r="F152">
        <f t="shared" si="20"/>
        <v>2024</v>
      </c>
      <c r="G152" t="str">
        <f t="shared" si="21"/>
        <v>May</v>
      </c>
      <c r="H152" t="str">
        <f t="shared" si="22"/>
        <v>Thursday</v>
      </c>
      <c r="I152">
        <f t="shared" si="23"/>
        <v>3.6815223752485768</v>
      </c>
      <c r="J152">
        <f t="shared" si="24"/>
        <v>36.693659088298347</v>
      </c>
      <c r="K152">
        <f t="shared" si="25"/>
        <v>0.12156466418742752</v>
      </c>
      <c r="L152">
        <f t="shared" si="26"/>
        <v>0.66300113523569726</v>
      </c>
      <c r="M152">
        <f t="shared" si="27"/>
        <v>0.36691071098841643</v>
      </c>
      <c r="N152">
        <f t="shared" si="28"/>
        <v>22</v>
      </c>
      <c r="O152" t="str">
        <f t="shared" si="29"/>
        <v>Other</v>
      </c>
    </row>
    <row r="153" spans="1:15" hidden="1" x14ac:dyDescent="0.3">
      <c r="A153" t="s">
        <v>215</v>
      </c>
      <c r="B153" s="2">
        <v>45290</v>
      </c>
      <c r="C153" s="3">
        <v>294054003</v>
      </c>
      <c r="D153" s="4">
        <v>5560199</v>
      </c>
      <c r="E153" s="4">
        <v>86214</v>
      </c>
      <c r="F153">
        <f t="shared" si="20"/>
        <v>2023</v>
      </c>
      <c r="G153" t="str">
        <f t="shared" si="21"/>
        <v>December</v>
      </c>
      <c r="H153" t="str">
        <f t="shared" si="22"/>
        <v>Saturday</v>
      </c>
      <c r="I153">
        <f t="shared" si="23"/>
        <v>1.9201959308134298</v>
      </c>
      <c r="J153">
        <f t="shared" si="24"/>
        <v>18.908768264583017</v>
      </c>
      <c r="K153">
        <f t="shared" si="25"/>
        <v>0.29319104355127584</v>
      </c>
      <c r="L153">
        <f t="shared" si="26"/>
        <v>0.66237503028755396</v>
      </c>
      <c r="M153">
        <f t="shared" si="27"/>
        <v>0.36932756709702536</v>
      </c>
      <c r="N153">
        <f t="shared" si="28"/>
        <v>38</v>
      </c>
      <c r="O153" t="str">
        <f t="shared" si="29"/>
        <v>Endurance</v>
      </c>
    </row>
    <row r="154" spans="1:15" hidden="1" x14ac:dyDescent="0.3">
      <c r="A154" t="s">
        <v>285</v>
      </c>
      <c r="B154" s="2">
        <v>44590</v>
      </c>
      <c r="C154" s="3">
        <v>291313835</v>
      </c>
      <c r="D154" s="4">
        <v>5566363</v>
      </c>
      <c r="E154" s="4">
        <v>129469</v>
      </c>
      <c r="F154">
        <f t="shared" si="20"/>
        <v>2022</v>
      </c>
      <c r="G154" t="str">
        <f t="shared" si="21"/>
        <v>January</v>
      </c>
      <c r="H154" t="str">
        <f t="shared" si="22"/>
        <v>Saturday</v>
      </c>
      <c r="I154">
        <f t="shared" si="23"/>
        <v>1.955221934447432</v>
      </c>
      <c r="J154">
        <f t="shared" si="24"/>
        <v>19.107787997779095</v>
      </c>
      <c r="K154">
        <f t="shared" si="25"/>
        <v>0.44443134669522305</v>
      </c>
      <c r="L154">
        <f t="shared" si="26"/>
        <v>0.6616052633669256</v>
      </c>
      <c r="M154">
        <f t="shared" si="27"/>
        <v>0.36948463330327797</v>
      </c>
      <c r="N154">
        <f t="shared" si="28"/>
        <v>37</v>
      </c>
      <c r="O154" t="str">
        <f t="shared" si="29"/>
        <v>Other</v>
      </c>
    </row>
    <row r="155" spans="1:15" hidden="1" x14ac:dyDescent="0.3">
      <c r="A155" t="s">
        <v>184</v>
      </c>
      <c r="B155" s="2">
        <v>45484</v>
      </c>
      <c r="C155" s="3">
        <v>290429368</v>
      </c>
      <c r="D155" s="4">
        <v>11491960</v>
      </c>
      <c r="E155" s="4">
        <v>52660</v>
      </c>
      <c r="F155">
        <f t="shared" si="20"/>
        <v>2024</v>
      </c>
      <c r="G155" t="str">
        <f t="shared" si="21"/>
        <v>July</v>
      </c>
      <c r="H155" t="str">
        <f t="shared" si="22"/>
        <v>Thursday</v>
      </c>
      <c r="I155">
        <f t="shared" si="23"/>
        <v>3.9750181186910822</v>
      </c>
      <c r="J155">
        <f t="shared" si="24"/>
        <v>39.568863435325866</v>
      </c>
      <c r="K155">
        <f t="shared" si="25"/>
        <v>0.1813177515849568</v>
      </c>
      <c r="L155">
        <f t="shared" si="26"/>
        <v>0.66082879158207408</v>
      </c>
      <c r="M155">
        <f t="shared" si="27"/>
        <v>0.36809380434078043</v>
      </c>
      <c r="N155">
        <f t="shared" si="28"/>
        <v>20</v>
      </c>
      <c r="O155" t="str">
        <f t="shared" si="29"/>
        <v>Other</v>
      </c>
    </row>
    <row r="156" spans="1:15" hidden="1" x14ac:dyDescent="0.3">
      <c r="A156" t="s">
        <v>333</v>
      </c>
      <c r="B156" s="2">
        <v>43995</v>
      </c>
      <c r="C156" s="3">
        <v>290206874</v>
      </c>
      <c r="D156" s="4">
        <v>4275256</v>
      </c>
      <c r="E156" s="4">
        <v>121258</v>
      </c>
      <c r="F156">
        <f t="shared" si="20"/>
        <v>2020</v>
      </c>
      <c r="G156" t="str">
        <f t="shared" si="21"/>
        <v>June</v>
      </c>
      <c r="H156" t="str">
        <f t="shared" si="22"/>
        <v>Saturday</v>
      </c>
      <c r="I156">
        <f t="shared" si="23"/>
        <v>1.5149586015664123</v>
      </c>
      <c r="J156">
        <f t="shared" si="24"/>
        <v>14.731753045932331</v>
      </c>
      <c r="K156">
        <f t="shared" si="25"/>
        <v>0.41783296973179207</v>
      </c>
      <c r="L156">
        <f t="shared" si="26"/>
        <v>0.66077545344663868</v>
      </c>
      <c r="M156">
        <f t="shared" si="27"/>
        <v>0.36965885602650927</v>
      </c>
      <c r="N156">
        <f t="shared" si="28"/>
        <v>51</v>
      </c>
      <c r="O156" t="str">
        <f t="shared" si="29"/>
        <v>Money</v>
      </c>
    </row>
    <row r="157" spans="1:15" hidden="1" x14ac:dyDescent="0.3">
      <c r="A157" t="s">
        <v>160</v>
      </c>
      <c r="B157" s="2">
        <v>45625</v>
      </c>
      <c r="C157" s="3">
        <v>290059348</v>
      </c>
      <c r="D157" s="4">
        <v>13590604</v>
      </c>
      <c r="E157" s="4">
        <v>35768</v>
      </c>
      <c r="F157">
        <f t="shared" si="20"/>
        <v>2024</v>
      </c>
      <c r="G157" t="str">
        <f t="shared" si="21"/>
        <v>November</v>
      </c>
      <c r="H157" t="str">
        <f t="shared" si="22"/>
        <v>Friday</v>
      </c>
      <c r="I157">
        <f t="shared" si="23"/>
        <v>4.69778757139039</v>
      </c>
      <c r="J157">
        <f t="shared" si="24"/>
        <v>46.854563018599904</v>
      </c>
      <c r="K157">
        <f t="shared" si="25"/>
        <v>0.1233126953039969</v>
      </c>
      <c r="L157">
        <f t="shared" si="26"/>
        <v>0.66072423874887176</v>
      </c>
      <c r="M157">
        <f t="shared" si="27"/>
        <v>0.36850569372457942</v>
      </c>
      <c r="N157">
        <f t="shared" si="28"/>
        <v>19</v>
      </c>
      <c r="O157" t="str">
        <f t="shared" si="29"/>
        <v>Other</v>
      </c>
    </row>
    <row r="158" spans="1:15" hidden="1" x14ac:dyDescent="0.3">
      <c r="A158" t="s">
        <v>344</v>
      </c>
      <c r="B158" s="2">
        <v>43890</v>
      </c>
      <c r="C158" s="3">
        <v>287098041</v>
      </c>
      <c r="D158" s="4">
        <v>4459326</v>
      </c>
      <c r="E158" s="4">
        <v>110351</v>
      </c>
      <c r="F158">
        <f t="shared" si="20"/>
        <v>2020</v>
      </c>
      <c r="G158" t="str">
        <f t="shared" si="21"/>
        <v>February</v>
      </c>
      <c r="H158" t="str">
        <f t="shared" si="22"/>
        <v>Saturday</v>
      </c>
      <c r="I158">
        <f t="shared" si="23"/>
        <v>1.591678223955558</v>
      </c>
      <c r="J158">
        <f t="shared" si="24"/>
        <v>15.532415283878583</v>
      </c>
      <c r="K158">
        <f t="shared" si="25"/>
        <v>0.38436695567699819</v>
      </c>
      <c r="L158">
        <f t="shared" si="26"/>
        <v>0.66280609836813775</v>
      </c>
      <c r="M158">
        <f t="shared" si="27"/>
        <v>0.37084579341800694</v>
      </c>
      <c r="N158">
        <f t="shared" si="28"/>
        <v>28</v>
      </c>
      <c r="O158" t="str">
        <f t="shared" si="29"/>
        <v>Money</v>
      </c>
    </row>
    <row r="159" spans="1:15" hidden="1" x14ac:dyDescent="0.3">
      <c r="A159" t="s">
        <v>194</v>
      </c>
      <c r="B159" s="2">
        <v>45421</v>
      </c>
      <c r="C159" s="3">
        <v>286845575</v>
      </c>
      <c r="D159" s="4">
        <v>10012699</v>
      </c>
      <c r="E159" s="4">
        <v>36075</v>
      </c>
      <c r="F159">
        <f t="shared" si="20"/>
        <v>2024</v>
      </c>
      <c r="G159" t="str">
        <f t="shared" si="21"/>
        <v>May</v>
      </c>
      <c r="H159" t="str">
        <f t="shared" si="22"/>
        <v>Thursday</v>
      </c>
      <c r="I159">
        <f t="shared" si="23"/>
        <v>3.5031999360631589</v>
      </c>
      <c r="J159">
        <f t="shared" si="24"/>
        <v>34.906234826875057</v>
      </c>
      <c r="K159">
        <f t="shared" si="25"/>
        <v>0.12576453375653432</v>
      </c>
      <c r="L159">
        <f t="shared" si="26"/>
        <v>0.66257012149824168</v>
      </c>
      <c r="M159">
        <f t="shared" si="27"/>
        <v>0.37006490484992866</v>
      </c>
      <c r="N159">
        <f t="shared" si="28"/>
        <v>27</v>
      </c>
      <c r="O159" t="str">
        <f t="shared" si="29"/>
        <v>Other</v>
      </c>
    </row>
    <row r="160" spans="1:15" hidden="1" x14ac:dyDescent="0.3">
      <c r="A160" t="s">
        <v>171</v>
      </c>
      <c r="B160" s="2">
        <v>45563</v>
      </c>
      <c r="C160" s="3">
        <v>286579964</v>
      </c>
      <c r="D160" s="4">
        <v>8534718</v>
      </c>
      <c r="E160" s="4">
        <v>7994</v>
      </c>
      <c r="F160">
        <f t="shared" si="20"/>
        <v>2024</v>
      </c>
      <c r="G160" t="str">
        <f t="shared" si="21"/>
        <v>September</v>
      </c>
      <c r="H160" t="str">
        <f t="shared" si="22"/>
        <v>Saturday</v>
      </c>
      <c r="I160">
        <f t="shared" si="23"/>
        <v>2.9809173958860571</v>
      </c>
      <c r="J160">
        <f t="shared" si="24"/>
        <v>29.781279475630054</v>
      </c>
      <c r="K160">
        <f t="shared" si="25"/>
        <v>2.789448323051642E-2</v>
      </c>
      <c r="L160">
        <f t="shared" si="26"/>
        <v>0.66182549656431577</v>
      </c>
      <c r="M160">
        <f t="shared" si="27"/>
        <v>0.37237067757499848</v>
      </c>
      <c r="N160">
        <f t="shared" si="28"/>
        <v>32</v>
      </c>
      <c r="O160" t="str">
        <f t="shared" si="29"/>
        <v>Money</v>
      </c>
    </row>
    <row r="161" spans="1:15" hidden="1" x14ac:dyDescent="0.3">
      <c r="A161" t="s">
        <v>229</v>
      </c>
      <c r="B161" s="2">
        <v>45218</v>
      </c>
      <c r="C161" s="3">
        <v>286275332</v>
      </c>
      <c r="D161" s="4">
        <v>11416973</v>
      </c>
      <c r="E161" s="4">
        <v>29003</v>
      </c>
      <c r="F161">
        <f t="shared" si="20"/>
        <v>2023</v>
      </c>
      <c r="G161" t="str">
        <f t="shared" si="21"/>
        <v>October</v>
      </c>
      <c r="H161" t="str">
        <f t="shared" si="22"/>
        <v>Thursday</v>
      </c>
      <c r="I161">
        <f t="shared" si="23"/>
        <v>3.9982404072454276</v>
      </c>
      <c r="J161">
        <f t="shared" si="24"/>
        <v>39.88109251411155</v>
      </c>
      <c r="K161">
        <f t="shared" si="25"/>
        <v>0.10131155834272162</v>
      </c>
      <c r="L161">
        <f t="shared" si="26"/>
        <v>0.66055745416587275</v>
      </c>
      <c r="M161">
        <f t="shared" si="27"/>
        <v>0.37611882651224959</v>
      </c>
      <c r="N161">
        <f t="shared" si="28"/>
        <v>31</v>
      </c>
      <c r="O161" t="str">
        <f t="shared" si="29"/>
        <v>Other</v>
      </c>
    </row>
    <row r="162" spans="1:15" hidden="1" x14ac:dyDescent="0.3">
      <c r="A162" t="s">
        <v>330</v>
      </c>
      <c r="B162" s="2">
        <v>44035</v>
      </c>
      <c r="C162" s="3">
        <v>283574603</v>
      </c>
      <c r="D162" s="4">
        <v>5008501</v>
      </c>
      <c r="E162" s="4">
        <v>206942</v>
      </c>
      <c r="F162">
        <f t="shared" si="20"/>
        <v>2020</v>
      </c>
      <c r="G162" t="str">
        <f t="shared" si="21"/>
        <v>July</v>
      </c>
      <c r="H162" t="str">
        <f t="shared" si="22"/>
        <v>Thursday</v>
      </c>
      <c r="I162">
        <f t="shared" si="23"/>
        <v>1.8391784542143925</v>
      </c>
      <c r="J162">
        <f t="shared" si="24"/>
        <v>17.662022434357425</v>
      </c>
      <c r="K162">
        <f t="shared" si="25"/>
        <v>0.72976210778650019</v>
      </c>
      <c r="L162">
        <f t="shared" si="26"/>
        <v>0.66081888261642641</v>
      </c>
      <c r="M162">
        <f t="shared" si="27"/>
        <v>0.37878203755362649</v>
      </c>
      <c r="N162">
        <f t="shared" si="28"/>
        <v>36</v>
      </c>
      <c r="O162" t="str">
        <f t="shared" si="29"/>
        <v>Other</v>
      </c>
    </row>
    <row r="163" spans="1:15" hidden="1" x14ac:dyDescent="0.3">
      <c r="A163" t="s">
        <v>165</v>
      </c>
      <c r="B163" s="2">
        <v>45598</v>
      </c>
      <c r="C163" s="3">
        <v>282132360</v>
      </c>
      <c r="D163" s="4">
        <v>5162709</v>
      </c>
      <c r="E163" s="4">
        <v>56701</v>
      </c>
      <c r="F163">
        <f t="shared" si="20"/>
        <v>2024</v>
      </c>
      <c r="G163" t="str">
        <f t="shared" si="21"/>
        <v>November</v>
      </c>
      <c r="H163" t="str">
        <f t="shared" si="22"/>
        <v>Saturday</v>
      </c>
      <c r="I163">
        <f t="shared" si="23"/>
        <v>1.8499862972117058</v>
      </c>
      <c r="J163">
        <f t="shared" si="24"/>
        <v>18.298889925281877</v>
      </c>
      <c r="K163">
        <f t="shared" si="25"/>
        <v>0.20097304683518047</v>
      </c>
      <c r="L163">
        <f t="shared" si="26"/>
        <v>0.66014372560241497</v>
      </c>
      <c r="M163">
        <f t="shared" si="27"/>
        <v>0.37549883593218425</v>
      </c>
      <c r="N163">
        <f t="shared" si="28"/>
        <v>27</v>
      </c>
      <c r="O163" t="str">
        <f t="shared" si="29"/>
        <v>Money</v>
      </c>
    </row>
    <row r="164" spans="1:15" hidden="1" x14ac:dyDescent="0.3">
      <c r="A164" t="s">
        <v>241</v>
      </c>
      <c r="B164" s="2">
        <v>45171</v>
      </c>
      <c r="C164" s="3">
        <v>280028059</v>
      </c>
      <c r="D164" s="4">
        <v>5838742</v>
      </c>
      <c r="E164" s="4">
        <v>144140</v>
      </c>
      <c r="F164">
        <f t="shared" si="20"/>
        <v>2023</v>
      </c>
      <c r="G164" t="str">
        <f t="shared" si="21"/>
        <v>September</v>
      </c>
      <c r="H164" t="str">
        <f t="shared" si="22"/>
        <v>Saturday</v>
      </c>
      <c r="I164">
        <f t="shared" si="23"/>
        <v>2.1365294682844622</v>
      </c>
      <c r="J164">
        <f t="shared" si="24"/>
        <v>20.850560550433983</v>
      </c>
      <c r="K164">
        <f t="shared" si="25"/>
        <v>0.51473413241063826</v>
      </c>
      <c r="L164">
        <f t="shared" si="26"/>
        <v>0.6593769799903616</v>
      </c>
      <c r="M164">
        <f t="shared" si="27"/>
        <v>0.3767856489963553</v>
      </c>
      <c r="N164">
        <f t="shared" si="28"/>
        <v>35</v>
      </c>
      <c r="O164" t="str">
        <f t="shared" si="29"/>
        <v>Other</v>
      </c>
    </row>
    <row r="165" spans="1:15" hidden="1" x14ac:dyDescent="0.3">
      <c r="A165" t="s">
        <v>268</v>
      </c>
      <c r="B165" s="2">
        <v>44905</v>
      </c>
      <c r="C165" s="3">
        <v>276128869</v>
      </c>
      <c r="D165" s="4">
        <v>5841586</v>
      </c>
      <c r="E165" s="4">
        <v>124432</v>
      </c>
      <c r="F165">
        <f t="shared" si="20"/>
        <v>2022</v>
      </c>
      <c r="G165" t="str">
        <f t="shared" si="21"/>
        <v>December</v>
      </c>
      <c r="H165" t="str">
        <f t="shared" si="22"/>
        <v>Saturday</v>
      </c>
      <c r="I165">
        <f t="shared" si="23"/>
        <v>2.1605919082658467</v>
      </c>
      <c r="J165">
        <f t="shared" si="24"/>
        <v>21.155288909686583</v>
      </c>
      <c r="K165">
        <f t="shared" si="25"/>
        <v>0.45063017297188152</v>
      </c>
      <c r="L165">
        <f t="shared" si="26"/>
        <v>0.65832009086890997</v>
      </c>
      <c r="M165">
        <f t="shared" si="27"/>
        <v>0.37490069934496145</v>
      </c>
      <c r="N165">
        <f t="shared" si="28"/>
        <v>34</v>
      </c>
      <c r="O165" t="str">
        <f t="shared" si="29"/>
        <v>Other</v>
      </c>
    </row>
    <row r="166" spans="1:15" hidden="1" x14ac:dyDescent="0.3">
      <c r="A166" t="s">
        <v>107</v>
      </c>
      <c r="B166" s="2">
        <v>45863</v>
      </c>
      <c r="C166" s="3">
        <v>275736632</v>
      </c>
      <c r="D166" s="4">
        <v>6524395</v>
      </c>
      <c r="E166" s="4">
        <v>20003</v>
      </c>
      <c r="F166">
        <f t="shared" si="20"/>
        <v>2025</v>
      </c>
      <c r="G166" t="str">
        <f t="shared" si="21"/>
        <v>July</v>
      </c>
      <c r="H166" t="str">
        <f t="shared" si="22"/>
        <v>Friday</v>
      </c>
      <c r="I166">
        <f t="shared" si="23"/>
        <v>2.3734234920226345</v>
      </c>
      <c r="J166">
        <f t="shared" si="24"/>
        <v>23.66169105887969</v>
      </c>
      <c r="K166">
        <f t="shared" si="25"/>
        <v>7.2543861346649072E-2</v>
      </c>
      <c r="L166">
        <f t="shared" si="26"/>
        <v>0.65728008033894714</v>
      </c>
      <c r="M166">
        <f t="shared" si="27"/>
        <v>0.3736160623885878</v>
      </c>
      <c r="N166">
        <f t="shared" si="28"/>
        <v>32</v>
      </c>
      <c r="O166" t="str">
        <f t="shared" si="29"/>
        <v>Money</v>
      </c>
    </row>
    <row r="167" spans="1:15" hidden="1" x14ac:dyDescent="0.3">
      <c r="A167" t="s">
        <v>362</v>
      </c>
      <c r="B167" s="2">
        <v>43778</v>
      </c>
      <c r="C167" s="3">
        <v>275554980</v>
      </c>
      <c r="D167" s="4">
        <v>4534588</v>
      </c>
      <c r="E167" s="4">
        <v>100685</v>
      </c>
      <c r="F167">
        <f t="shared" si="20"/>
        <v>2019</v>
      </c>
      <c r="G167" t="str">
        <f t="shared" si="21"/>
        <v>November</v>
      </c>
      <c r="H167" t="str">
        <f t="shared" si="22"/>
        <v>Saturday</v>
      </c>
      <c r="I167">
        <f t="shared" si="23"/>
        <v>1.6821590377354094</v>
      </c>
      <c r="J167">
        <f t="shared" si="24"/>
        <v>16.456200501257499</v>
      </c>
      <c r="K167">
        <f t="shared" si="25"/>
        <v>0.36538987609659601</v>
      </c>
      <c r="L167">
        <f t="shared" si="26"/>
        <v>0.65605541514655585</v>
      </c>
      <c r="M167">
        <f t="shared" si="27"/>
        <v>0.37654973496746491</v>
      </c>
      <c r="N167">
        <f t="shared" si="28"/>
        <v>51</v>
      </c>
      <c r="O167" t="str">
        <f t="shared" si="29"/>
        <v>Other</v>
      </c>
    </row>
    <row r="168" spans="1:15" hidden="1" x14ac:dyDescent="0.3">
      <c r="A168" t="s">
        <v>177</v>
      </c>
      <c r="B168" s="2">
        <v>45533</v>
      </c>
      <c r="C168" s="3">
        <v>274325711</v>
      </c>
      <c r="D168" s="4">
        <v>8270857</v>
      </c>
      <c r="E168" s="4">
        <v>23152</v>
      </c>
      <c r="F168">
        <f t="shared" si="20"/>
        <v>2024</v>
      </c>
      <c r="G168" t="str">
        <f t="shared" si="21"/>
        <v>August</v>
      </c>
      <c r="H168" t="str">
        <f t="shared" si="22"/>
        <v>Thursday</v>
      </c>
      <c r="I168">
        <f t="shared" si="23"/>
        <v>3.023416569218333</v>
      </c>
      <c r="J168">
        <f t="shared" si="24"/>
        <v>30.149769665592881</v>
      </c>
      <c r="K168">
        <f t="shared" si="25"/>
        <v>8.4396026590449633E-2</v>
      </c>
      <c r="L168">
        <f t="shared" si="26"/>
        <v>0.65559255644437575</v>
      </c>
      <c r="M168">
        <f t="shared" si="27"/>
        <v>0.3760275427931995</v>
      </c>
      <c r="N168">
        <f t="shared" si="28"/>
        <v>24</v>
      </c>
      <c r="O168" t="str">
        <f t="shared" si="29"/>
        <v>Money</v>
      </c>
    </row>
    <row r="169" spans="1:15" hidden="1" x14ac:dyDescent="0.3">
      <c r="A169" t="s">
        <v>302</v>
      </c>
      <c r="B169" s="2">
        <v>44303</v>
      </c>
      <c r="C169" s="3">
        <v>273350070</v>
      </c>
      <c r="D169" s="4">
        <v>4023555</v>
      </c>
      <c r="E169" s="4">
        <v>116406</v>
      </c>
      <c r="F169">
        <f t="shared" si="20"/>
        <v>2021</v>
      </c>
      <c r="G169" t="str">
        <f t="shared" si="21"/>
        <v>April</v>
      </c>
      <c r="H169" t="str">
        <f t="shared" si="22"/>
        <v>Saturday</v>
      </c>
      <c r="I169">
        <f t="shared" si="23"/>
        <v>1.5145271409661609</v>
      </c>
      <c r="J169">
        <f t="shared" si="24"/>
        <v>14.719421875399556</v>
      </c>
      <c r="K169">
        <f t="shared" si="25"/>
        <v>0.42584953426205452</v>
      </c>
      <c r="L169">
        <f t="shared" si="26"/>
        <v>0.6544070533411287</v>
      </c>
      <c r="M169">
        <f t="shared" si="27"/>
        <v>0.37879732984558634</v>
      </c>
      <c r="N169">
        <f t="shared" si="28"/>
        <v>29</v>
      </c>
      <c r="O169" t="str">
        <f t="shared" si="29"/>
        <v>Money</v>
      </c>
    </row>
    <row r="170" spans="1:15" hidden="1" x14ac:dyDescent="0.3">
      <c r="A170" t="s">
        <v>277</v>
      </c>
      <c r="B170" s="2">
        <v>44807</v>
      </c>
      <c r="C170" s="3">
        <v>272733404</v>
      </c>
      <c r="D170" s="4">
        <v>4047768</v>
      </c>
      <c r="E170" s="4">
        <v>65755</v>
      </c>
      <c r="F170">
        <f t="shared" si="20"/>
        <v>2022</v>
      </c>
      <c r="G170" t="str">
        <f t="shared" si="21"/>
        <v>September</v>
      </c>
      <c r="H170" t="str">
        <f t="shared" si="22"/>
        <v>Saturday</v>
      </c>
      <c r="I170">
        <f t="shared" si="23"/>
        <v>1.5082578590189855</v>
      </c>
      <c r="J170">
        <f t="shared" si="24"/>
        <v>14.84148234368827</v>
      </c>
      <c r="K170">
        <f t="shared" si="25"/>
        <v>0.24109624650158365</v>
      </c>
      <c r="L170">
        <f t="shared" si="26"/>
        <v>0.65425359792341031</v>
      </c>
      <c r="M170">
        <f t="shared" si="27"/>
        <v>0.37772317743415929</v>
      </c>
      <c r="N170">
        <f t="shared" si="28"/>
        <v>20</v>
      </c>
      <c r="O170" t="str">
        <f t="shared" si="29"/>
        <v>Other</v>
      </c>
    </row>
    <row r="171" spans="1:15" hidden="1" x14ac:dyDescent="0.3">
      <c r="A171" t="s">
        <v>300</v>
      </c>
      <c r="B171" s="2">
        <v>44348</v>
      </c>
      <c r="C171" s="3">
        <v>272233354</v>
      </c>
      <c r="D171" s="4">
        <v>3680608</v>
      </c>
      <c r="E171" s="4">
        <v>82325</v>
      </c>
      <c r="F171">
        <f t="shared" si="20"/>
        <v>2021</v>
      </c>
      <c r="G171" t="str">
        <f t="shared" si="21"/>
        <v>June</v>
      </c>
      <c r="H171" t="str">
        <f t="shared" si="22"/>
        <v>Tuesday</v>
      </c>
      <c r="I171">
        <f t="shared" si="23"/>
        <v>1.3822453952501352</v>
      </c>
      <c r="J171">
        <f t="shared" si="24"/>
        <v>13.520047951214677</v>
      </c>
      <c r="K171">
        <f t="shared" si="25"/>
        <v>0.30240600128667555</v>
      </c>
      <c r="L171">
        <f t="shared" si="26"/>
        <v>0.65407167754740758</v>
      </c>
      <c r="M171">
        <f t="shared" si="27"/>
        <v>0.37851056715237719</v>
      </c>
      <c r="N171">
        <f t="shared" si="28"/>
        <v>51</v>
      </c>
      <c r="O171" t="str">
        <f t="shared" si="29"/>
        <v>Other</v>
      </c>
    </row>
    <row r="172" spans="1:15" hidden="1" x14ac:dyDescent="0.3">
      <c r="A172" t="s">
        <v>245</v>
      </c>
      <c r="B172" s="2">
        <v>45157</v>
      </c>
      <c r="C172" s="3">
        <v>271012467</v>
      </c>
      <c r="D172" s="4">
        <v>6554255</v>
      </c>
      <c r="E172" s="4">
        <v>381323</v>
      </c>
      <c r="F172">
        <f t="shared" si="20"/>
        <v>2023</v>
      </c>
      <c r="G172" t="str">
        <f t="shared" si="21"/>
        <v>August</v>
      </c>
      <c r="H172" t="str">
        <f t="shared" si="22"/>
        <v>Saturday</v>
      </c>
      <c r="I172">
        <f t="shared" si="23"/>
        <v>2.5591361448327765</v>
      </c>
      <c r="J172">
        <f t="shared" si="24"/>
        <v>24.184330235996118</v>
      </c>
      <c r="K172">
        <f t="shared" si="25"/>
        <v>1.4070312123316453</v>
      </c>
      <c r="L172">
        <f t="shared" si="26"/>
        <v>0.65415961770841269</v>
      </c>
      <c r="M172">
        <f t="shared" si="27"/>
        <v>0.37862111973233564</v>
      </c>
      <c r="N172">
        <f t="shared" si="28"/>
        <v>43</v>
      </c>
      <c r="O172" t="str">
        <f t="shared" si="29"/>
        <v>Money</v>
      </c>
    </row>
    <row r="173" spans="1:15" hidden="1" x14ac:dyDescent="0.3">
      <c r="A173" t="s">
        <v>295</v>
      </c>
      <c r="B173" s="2">
        <v>44415</v>
      </c>
      <c r="C173" s="3">
        <v>271009576</v>
      </c>
      <c r="D173" s="4">
        <v>4907747</v>
      </c>
      <c r="E173" s="4">
        <v>97578</v>
      </c>
      <c r="F173">
        <f t="shared" si="20"/>
        <v>2021</v>
      </c>
      <c r="G173" t="str">
        <f t="shared" si="21"/>
        <v>August</v>
      </c>
      <c r="H173" t="str">
        <f t="shared" si="22"/>
        <v>Saturday</v>
      </c>
      <c r="I173">
        <f t="shared" si="23"/>
        <v>1.8469181325164687</v>
      </c>
      <c r="J173">
        <f t="shared" si="24"/>
        <v>18.109127627283549</v>
      </c>
      <c r="K173">
        <f t="shared" si="25"/>
        <v>0.36005369788114056</v>
      </c>
      <c r="L173">
        <f t="shared" si="26"/>
        <v>0.65287902348453442</v>
      </c>
      <c r="M173">
        <f t="shared" si="27"/>
        <v>0.37568547755988729</v>
      </c>
      <c r="N173">
        <f t="shared" si="28"/>
        <v>23</v>
      </c>
      <c r="O173" t="str">
        <f t="shared" si="29"/>
        <v>Other</v>
      </c>
    </row>
    <row r="174" spans="1:15" hidden="1" x14ac:dyDescent="0.3">
      <c r="A174" t="s">
        <v>206</v>
      </c>
      <c r="B174" s="2">
        <v>45367</v>
      </c>
      <c r="C174" s="3">
        <v>270549447</v>
      </c>
      <c r="D174" s="4">
        <v>5484703</v>
      </c>
      <c r="E174" s="4">
        <v>127028</v>
      </c>
      <c r="F174">
        <f t="shared" si="20"/>
        <v>2024</v>
      </c>
      <c r="G174" t="str">
        <f t="shared" si="21"/>
        <v>March</v>
      </c>
      <c r="H174" t="str">
        <f t="shared" si="22"/>
        <v>Saturday</v>
      </c>
      <c r="I174">
        <f t="shared" si="23"/>
        <v>2.0741979191700217</v>
      </c>
      <c r="J174">
        <f t="shared" si="24"/>
        <v>20.272460582778422</v>
      </c>
      <c r="K174">
        <f t="shared" si="25"/>
        <v>0.46951860892179165</v>
      </c>
      <c r="L174">
        <f t="shared" si="26"/>
        <v>0.6521252643935932</v>
      </c>
      <c r="M174">
        <f t="shared" si="27"/>
        <v>0.37514386653998583</v>
      </c>
      <c r="N174">
        <f t="shared" si="28"/>
        <v>34</v>
      </c>
      <c r="O174" t="str">
        <f t="shared" si="29"/>
        <v>Challenge</v>
      </c>
    </row>
    <row r="175" spans="1:15" hidden="1" x14ac:dyDescent="0.3">
      <c r="A175" t="s">
        <v>296</v>
      </c>
      <c r="B175" s="2">
        <v>44401</v>
      </c>
      <c r="C175" s="3">
        <v>270522146</v>
      </c>
      <c r="D175" s="4">
        <v>3942637</v>
      </c>
      <c r="E175" s="4">
        <v>78951</v>
      </c>
      <c r="F175">
        <f t="shared" si="20"/>
        <v>2021</v>
      </c>
      <c r="G175" t="str">
        <f t="shared" si="21"/>
        <v>July</v>
      </c>
      <c r="H175" t="str">
        <f t="shared" si="22"/>
        <v>Saturday</v>
      </c>
      <c r="I175">
        <f t="shared" si="23"/>
        <v>1.4866021357083277</v>
      </c>
      <c r="J175">
        <f t="shared" si="24"/>
        <v>14.574174640770446</v>
      </c>
      <c r="K175">
        <f t="shared" si="25"/>
        <v>0.2918467163128301</v>
      </c>
      <c r="L175">
        <f t="shared" si="26"/>
        <v>0.65109389884024094</v>
      </c>
      <c r="M175">
        <f t="shared" si="27"/>
        <v>0.37359523554548618</v>
      </c>
      <c r="N175">
        <f t="shared" si="28"/>
        <v>40</v>
      </c>
      <c r="O175" t="str">
        <f t="shared" si="29"/>
        <v>Money</v>
      </c>
    </row>
    <row r="176" spans="1:15" hidden="1" x14ac:dyDescent="0.3">
      <c r="A176" t="s">
        <v>120</v>
      </c>
      <c r="B176" s="2">
        <v>45772</v>
      </c>
      <c r="C176" s="3">
        <v>269762974</v>
      </c>
      <c r="D176" s="4">
        <v>2566517</v>
      </c>
      <c r="E176" s="4">
        <v>5607</v>
      </c>
      <c r="F176">
        <f t="shared" si="20"/>
        <v>2025</v>
      </c>
      <c r="G176" t="str">
        <f t="shared" si="21"/>
        <v>April</v>
      </c>
      <c r="H176" t="str">
        <f t="shared" si="22"/>
        <v>Friday</v>
      </c>
      <c r="I176">
        <f t="shared" si="23"/>
        <v>0.9534755499841131</v>
      </c>
      <c r="J176">
        <f t="shared" si="24"/>
        <v>9.5139705866380311</v>
      </c>
      <c r="K176">
        <f t="shared" si="25"/>
        <v>2.0784913203099546E-2</v>
      </c>
      <c r="L176">
        <f t="shared" si="26"/>
        <v>0.65092418304529553</v>
      </c>
      <c r="M176">
        <f t="shared" si="27"/>
        <v>0.37373011234168424</v>
      </c>
      <c r="N176">
        <f t="shared" si="28"/>
        <v>19</v>
      </c>
      <c r="O176" t="str">
        <f t="shared" si="29"/>
        <v>Other</v>
      </c>
    </row>
    <row r="177" spans="1:15" hidden="1" x14ac:dyDescent="0.3">
      <c r="A177" t="s">
        <v>391</v>
      </c>
      <c r="B177" s="2">
        <v>43600</v>
      </c>
      <c r="C177" s="3">
        <v>269523910</v>
      </c>
      <c r="D177" s="4">
        <v>3531958</v>
      </c>
      <c r="E177" s="4">
        <v>87524</v>
      </c>
      <c r="F177">
        <f t="shared" si="20"/>
        <v>2019</v>
      </c>
      <c r="G177" t="str">
        <f t="shared" si="21"/>
        <v>May</v>
      </c>
      <c r="H177" t="str">
        <f t="shared" si="22"/>
        <v>Wednesday</v>
      </c>
      <c r="I177">
        <f t="shared" si="23"/>
        <v>1.342916849195309</v>
      </c>
      <c r="J177">
        <f t="shared" si="24"/>
        <v>13.104432923965819</v>
      </c>
      <c r="K177">
        <f t="shared" si="25"/>
        <v>0.3247355679872706</v>
      </c>
      <c r="L177">
        <f t="shared" si="26"/>
        <v>0.65199021453576012</v>
      </c>
      <c r="M177">
        <f t="shared" si="27"/>
        <v>0.37735101585511177</v>
      </c>
      <c r="N177">
        <f t="shared" si="28"/>
        <v>57</v>
      </c>
      <c r="O177" t="str">
        <f t="shared" si="29"/>
        <v>Money</v>
      </c>
    </row>
    <row r="178" spans="1:15" hidden="1" x14ac:dyDescent="0.3">
      <c r="A178" t="s">
        <v>331</v>
      </c>
      <c r="B178" s="2">
        <v>44015</v>
      </c>
      <c r="C178" s="3">
        <v>268612574</v>
      </c>
      <c r="D178" s="4">
        <v>5564471</v>
      </c>
      <c r="E178" s="4">
        <v>182005</v>
      </c>
      <c r="F178">
        <f t="shared" si="20"/>
        <v>2020</v>
      </c>
      <c r="G178" t="str">
        <f t="shared" si="21"/>
        <v>July</v>
      </c>
      <c r="H178" t="str">
        <f t="shared" si="22"/>
        <v>Friday</v>
      </c>
      <c r="I178">
        <f t="shared" si="23"/>
        <v>2.1393175734208185</v>
      </c>
      <c r="J178">
        <f t="shared" si="24"/>
        <v>20.715601347835641</v>
      </c>
      <c r="K178">
        <f t="shared" si="25"/>
        <v>0.67757438637254563</v>
      </c>
      <c r="L178">
        <f t="shared" si="26"/>
        <v>0.65213541293071609</v>
      </c>
      <c r="M178">
        <f t="shared" si="27"/>
        <v>0.37714059510141873</v>
      </c>
      <c r="N178">
        <f t="shared" si="28"/>
        <v>24</v>
      </c>
      <c r="O178" t="str">
        <f t="shared" si="29"/>
        <v>Money</v>
      </c>
    </row>
    <row r="179" spans="1:15" hidden="1" x14ac:dyDescent="0.3">
      <c r="A179" t="s">
        <v>288</v>
      </c>
      <c r="B179" s="2">
        <v>44540</v>
      </c>
      <c r="C179" s="3">
        <v>267713914</v>
      </c>
      <c r="D179" s="4">
        <v>4871846</v>
      </c>
      <c r="E179" s="4">
        <v>93529</v>
      </c>
      <c r="F179">
        <f t="shared" si="20"/>
        <v>2021</v>
      </c>
      <c r="G179" t="str">
        <f t="shared" si="21"/>
        <v>December</v>
      </c>
      <c r="H179" t="str">
        <f t="shared" si="22"/>
        <v>Friday</v>
      </c>
      <c r="I179">
        <f t="shared" si="23"/>
        <v>1.8547317641473053</v>
      </c>
      <c r="J179">
        <f t="shared" si="24"/>
        <v>18.197955897055092</v>
      </c>
      <c r="K179">
        <f t="shared" si="25"/>
        <v>0.34936174441796103</v>
      </c>
      <c r="L179">
        <f t="shared" si="26"/>
        <v>0.65103430690487007</v>
      </c>
      <c r="M179">
        <f t="shared" si="27"/>
        <v>0.37413035465152955</v>
      </c>
      <c r="N179">
        <f t="shared" si="28"/>
        <v>28</v>
      </c>
      <c r="O179" t="str">
        <f t="shared" si="29"/>
        <v>Other</v>
      </c>
    </row>
    <row r="180" spans="1:15" hidden="1" x14ac:dyDescent="0.3">
      <c r="A180" t="s">
        <v>225</v>
      </c>
      <c r="B180" s="2">
        <v>45234</v>
      </c>
      <c r="C180" s="3">
        <v>267106963</v>
      </c>
      <c r="D180" s="4">
        <v>10438121</v>
      </c>
      <c r="E180" s="4">
        <v>214794</v>
      </c>
      <c r="F180">
        <f t="shared" si="20"/>
        <v>2023</v>
      </c>
      <c r="G180" t="str">
        <f t="shared" si="21"/>
        <v>November</v>
      </c>
      <c r="H180" t="str">
        <f t="shared" si="22"/>
        <v>Saturday</v>
      </c>
      <c r="I180">
        <f t="shared" si="23"/>
        <v>3.9882580672372812</v>
      </c>
      <c r="J180">
        <f t="shared" si="24"/>
        <v>39.078430913087054</v>
      </c>
      <c r="K180">
        <f t="shared" si="25"/>
        <v>0.80414975928575849</v>
      </c>
      <c r="L180">
        <f t="shared" si="26"/>
        <v>0.65023499992777789</v>
      </c>
      <c r="M180">
        <f t="shared" si="27"/>
        <v>0.37365516185854447</v>
      </c>
      <c r="N180">
        <f t="shared" si="28"/>
        <v>27</v>
      </c>
      <c r="O180" t="str">
        <f t="shared" si="29"/>
        <v>Other</v>
      </c>
    </row>
    <row r="181" spans="1:15" hidden="1" x14ac:dyDescent="0.3">
      <c r="A181" t="s">
        <v>319</v>
      </c>
      <c r="B181" s="2">
        <v>44114</v>
      </c>
      <c r="C181" s="3">
        <v>266217282</v>
      </c>
      <c r="D181" s="4">
        <v>4171641</v>
      </c>
      <c r="E181" s="4">
        <v>116782</v>
      </c>
      <c r="F181">
        <f t="shared" si="20"/>
        <v>2020</v>
      </c>
      <c r="G181" t="str">
        <f t="shared" si="21"/>
        <v>October</v>
      </c>
      <c r="H181" t="str">
        <f t="shared" si="22"/>
        <v>Saturday</v>
      </c>
      <c r="I181">
        <f t="shared" si="23"/>
        <v>1.6108732565303554</v>
      </c>
      <c r="J181">
        <f t="shared" si="24"/>
        <v>15.670060818966665</v>
      </c>
      <c r="K181">
        <f t="shared" si="25"/>
        <v>0.43867174633688882</v>
      </c>
      <c r="L181">
        <f t="shared" si="26"/>
        <v>0.6500673097000309</v>
      </c>
      <c r="M181">
        <f t="shared" si="27"/>
        <v>0.37002315534336233</v>
      </c>
      <c r="N181">
        <f t="shared" si="28"/>
        <v>63</v>
      </c>
      <c r="O181" t="str">
        <f t="shared" si="29"/>
        <v>Other</v>
      </c>
    </row>
    <row r="182" spans="1:15" hidden="1" x14ac:dyDescent="0.3">
      <c r="A182" t="s">
        <v>186</v>
      </c>
      <c r="B182" s="2">
        <v>45472</v>
      </c>
      <c r="C182" s="3">
        <v>265101789</v>
      </c>
      <c r="D182" s="4">
        <v>8002892</v>
      </c>
      <c r="E182" s="4">
        <v>293043</v>
      </c>
      <c r="F182">
        <f t="shared" si="20"/>
        <v>2024</v>
      </c>
      <c r="G182" t="str">
        <f t="shared" si="21"/>
        <v>June</v>
      </c>
      <c r="H182" t="str">
        <f t="shared" si="22"/>
        <v>Saturday</v>
      </c>
      <c r="I182">
        <f t="shared" si="23"/>
        <v>3.1293395006097078</v>
      </c>
      <c r="J182">
        <f t="shared" si="24"/>
        <v>30.187996958406039</v>
      </c>
      <c r="K182">
        <f t="shared" si="25"/>
        <v>1.1053980476910323</v>
      </c>
      <c r="L182">
        <f t="shared" si="26"/>
        <v>0.64964670111881229</v>
      </c>
      <c r="M182">
        <f t="shared" si="27"/>
        <v>0.3686562680037328</v>
      </c>
      <c r="N182">
        <f t="shared" si="28"/>
        <v>38</v>
      </c>
      <c r="O182" t="str">
        <f t="shared" si="29"/>
        <v>Other</v>
      </c>
    </row>
    <row r="183" spans="1:15" hidden="1" x14ac:dyDescent="0.3">
      <c r="A183" t="s">
        <v>279</v>
      </c>
      <c r="B183" s="2">
        <v>44777</v>
      </c>
      <c r="C183" s="3">
        <v>262186052</v>
      </c>
      <c r="D183" s="4">
        <v>7174090</v>
      </c>
      <c r="E183" s="4">
        <v>224596</v>
      </c>
      <c r="F183">
        <f t="shared" si="20"/>
        <v>2022</v>
      </c>
      <c r="G183" t="str">
        <f t="shared" si="21"/>
        <v>August</v>
      </c>
      <c r="H183" t="str">
        <f t="shared" si="22"/>
        <v>Thursday</v>
      </c>
      <c r="I183">
        <f t="shared" si="23"/>
        <v>2.8219220448843707</v>
      </c>
      <c r="J183">
        <f t="shared" si="24"/>
        <v>27.362592118363338</v>
      </c>
      <c r="K183">
        <f t="shared" si="25"/>
        <v>0.85662833048037201</v>
      </c>
      <c r="L183">
        <f t="shared" si="26"/>
        <v>0.64832207035328393</v>
      </c>
      <c r="M183">
        <f t="shared" si="27"/>
        <v>0.36449594422345599</v>
      </c>
      <c r="N183">
        <f t="shared" si="28"/>
        <v>37</v>
      </c>
      <c r="O183" t="str">
        <f t="shared" si="29"/>
        <v>Other</v>
      </c>
    </row>
    <row r="184" spans="1:15" hidden="1" x14ac:dyDescent="0.3">
      <c r="A184" t="s">
        <v>267</v>
      </c>
      <c r="B184" s="2">
        <v>44919</v>
      </c>
      <c r="C184" s="3">
        <v>259791034</v>
      </c>
      <c r="D184" s="4">
        <v>5869273</v>
      </c>
      <c r="E184" s="4">
        <v>143026</v>
      </c>
      <c r="F184">
        <f t="shared" si="20"/>
        <v>2022</v>
      </c>
      <c r="G184" t="str">
        <f t="shared" si="21"/>
        <v>December</v>
      </c>
      <c r="H184" t="str">
        <f t="shared" si="22"/>
        <v>Saturday</v>
      </c>
      <c r="I184">
        <f t="shared" si="23"/>
        <v>2.3142827169316398</v>
      </c>
      <c r="J184">
        <f t="shared" si="24"/>
        <v>22.59228468985577</v>
      </c>
      <c r="K184">
        <f t="shared" si="25"/>
        <v>0.55054247946062684</v>
      </c>
      <c r="L184">
        <f t="shared" si="26"/>
        <v>0.64693418448565787</v>
      </c>
      <c r="M184">
        <f t="shared" si="27"/>
        <v>0.36068536008838803</v>
      </c>
      <c r="N184">
        <f t="shared" si="28"/>
        <v>33</v>
      </c>
      <c r="O184" t="str">
        <f t="shared" si="29"/>
        <v>Survival</v>
      </c>
    </row>
    <row r="185" spans="1:15" hidden="1" x14ac:dyDescent="0.3">
      <c r="A185" t="s">
        <v>122</v>
      </c>
      <c r="B185" s="2">
        <v>45798</v>
      </c>
      <c r="C185" s="3">
        <v>259323347</v>
      </c>
      <c r="D185" s="4">
        <v>3564972</v>
      </c>
      <c r="E185" s="4">
        <v>10859</v>
      </c>
      <c r="F185">
        <f t="shared" si="20"/>
        <v>2025</v>
      </c>
      <c r="G185" t="str">
        <f t="shared" si="21"/>
        <v>May</v>
      </c>
      <c r="H185" t="str">
        <f t="shared" si="22"/>
        <v>Wednesday</v>
      </c>
      <c r="I185">
        <f t="shared" si="23"/>
        <v>1.3789082399896682</v>
      </c>
      <c r="J185">
        <f t="shared" si="24"/>
        <v>13.74720803676809</v>
      </c>
      <c r="K185">
        <f t="shared" si="25"/>
        <v>4.1874363128592509E-2</v>
      </c>
      <c r="L185">
        <f t="shared" si="26"/>
        <v>0.64569266603394659</v>
      </c>
      <c r="M185">
        <f t="shared" si="27"/>
        <v>0.35844675076159038</v>
      </c>
      <c r="N185">
        <f t="shared" si="28"/>
        <v>24</v>
      </c>
      <c r="O185" t="str">
        <f t="shared" si="29"/>
        <v>Other</v>
      </c>
    </row>
    <row r="186" spans="1:15" hidden="1" x14ac:dyDescent="0.3">
      <c r="A186" t="s">
        <v>115</v>
      </c>
      <c r="B186" s="2">
        <v>45829</v>
      </c>
      <c r="C186" s="3">
        <v>257737612</v>
      </c>
      <c r="D186" s="4">
        <v>6969414</v>
      </c>
      <c r="E186" s="4">
        <v>119798</v>
      </c>
      <c r="F186">
        <f t="shared" si="20"/>
        <v>2025</v>
      </c>
      <c r="G186" t="str">
        <f t="shared" si="21"/>
        <v>June</v>
      </c>
      <c r="H186" t="str">
        <f t="shared" si="22"/>
        <v>Saturday</v>
      </c>
      <c r="I186">
        <f t="shared" si="23"/>
        <v>2.750553923809925</v>
      </c>
      <c r="J186">
        <f t="shared" si="24"/>
        <v>27.040733193415328</v>
      </c>
      <c r="K186">
        <f t="shared" si="25"/>
        <v>0.46480604468392456</v>
      </c>
      <c r="L186">
        <f t="shared" si="26"/>
        <v>0.64564207337276125</v>
      </c>
      <c r="M186">
        <f t="shared" si="27"/>
        <v>0.36158366054068442</v>
      </c>
      <c r="N186">
        <f t="shared" si="28"/>
        <v>27</v>
      </c>
      <c r="O186" t="str">
        <f t="shared" si="29"/>
        <v>Money</v>
      </c>
    </row>
    <row r="187" spans="1:15" hidden="1" x14ac:dyDescent="0.3">
      <c r="A187" t="s">
        <v>428</v>
      </c>
      <c r="B187" s="2">
        <v>43426</v>
      </c>
      <c r="C187" s="3">
        <v>256791139</v>
      </c>
      <c r="D187" s="4">
        <v>5512714</v>
      </c>
      <c r="E187" s="4">
        <v>144450</v>
      </c>
      <c r="F187">
        <f t="shared" si="20"/>
        <v>2018</v>
      </c>
      <c r="G187" t="str">
        <f t="shared" si="21"/>
        <v>November</v>
      </c>
      <c r="H187" t="str">
        <f t="shared" si="22"/>
        <v>Thursday</v>
      </c>
      <c r="I187">
        <f t="shared" si="23"/>
        <v>2.2030214991180053</v>
      </c>
      <c r="J187">
        <f t="shared" si="24"/>
        <v>21.467695581193709</v>
      </c>
      <c r="K187">
        <f t="shared" si="25"/>
        <v>0.56251940998633909</v>
      </c>
      <c r="L187">
        <f t="shared" si="26"/>
        <v>0.64427077228524687</v>
      </c>
      <c r="M187">
        <f t="shared" si="27"/>
        <v>0.36002034829466101</v>
      </c>
      <c r="N187">
        <f t="shared" si="28"/>
        <v>48</v>
      </c>
      <c r="O187" t="str">
        <f t="shared" si="29"/>
        <v>Other</v>
      </c>
    </row>
    <row r="188" spans="1:15" hidden="1" x14ac:dyDescent="0.3">
      <c r="A188" t="s">
        <v>75</v>
      </c>
      <c r="B188" s="2">
        <v>45968</v>
      </c>
      <c r="C188" s="3">
        <v>254494203</v>
      </c>
      <c r="D188" s="4">
        <v>2252116</v>
      </c>
      <c r="E188" s="4">
        <v>14367</v>
      </c>
      <c r="F188">
        <f t="shared" si="20"/>
        <v>2025</v>
      </c>
      <c r="G188" t="str">
        <f t="shared" si="21"/>
        <v>November</v>
      </c>
      <c r="H188" t="str">
        <f t="shared" si="22"/>
        <v>Friday</v>
      </c>
      <c r="I188">
        <f t="shared" si="23"/>
        <v>0.89058335053706505</v>
      </c>
      <c r="J188">
        <f t="shared" si="24"/>
        <v>8.8493803530762545</v>
      </c>
      <c r="K188">
        <f t="shared" si="25"/>
        <v>5.6453152294396271E-2</v>
      </c>
      <c r="L188">
        <f t="shared" si="26"/>
        <v>0.64310447607533638</v>
      </c>
      <c r="M188">
        <f t="shared" si="27"/>
        <v>0.35769679243647667</v>
      </c>
      <c r="N188">
        <f t="shared" si="28"/>
        <v>50</v>
      </c>
      <c r="O188" t="str">
        <f t="shared" si="29"/>
        <v>Other</v>
      </c>
    </row>
    <row r="189" spans="1:15" hidden="1" x14ac:dyDescent="0.3">
      <c r="A189" t="s">
        <v>208</v>
      </c>
      <c r="B189" s="2">
        <v>45351</v>
      </c>
      <c r="C189" s="3">
        <v>253878389</v>
      </c>
      <c r="D189" s="4">
        <v>14694240</v>
      </c>
      <c r="E189" s="4">
        <v>56088</v>
      </c>
      <c r="F189">
        <f t="shared" si="20"/>
        <v>2024</v>
      </c>
      <c r="G189" t="str">
        <f t="shared" si="21"/>
        <v>February</v>
      </c>
      <c r="H189" t="str">
        <f t="shared" si="22"/>
        <v>Thursday</v>
      </c>
      <c r="I189">
        <f t="shared" si="23"/>
        <v>5.8099974787534991</v>
      </c>
      <c r="J189">
        <f t="shared" si="24"/>
        <v>57.879050114816984</v>
      </c>
      <c r="K189">
        <f t="shared" si="25"/>
        <v>0.22092467271800753</v>
      </c>
      <c r="L189">
        <f t="shared" si="26"/>
        <v>0.64423161289728237</v>
      </c>
      <c r="M189">
        <f t="shared" si="27"/>
        <v>0.36057307417856987</v>
      </c>
      <c r="N189">
        <f t="shared" si="28"/>
        <v>39</v>
      </c>
      <c r="O189" t="str">
        <f t="shared" si="29"/>
        <v>Other</v>
      </c>
    </row>
    <row r="190" spans="1:15" hidden="1" x14ac:dyDescent="0.3">
      <c r="A190" t="s">
        <v>272</v>
      </c>
      <c r="B190" s="2">
        <v>44877</v>
      </c>
      <c r="C190" s="3">
        <v>249317506</v>
      </c>
      <c r="D190" s="4">
        <v>4963758</v>
      </c>
      <c r="E190" s="4">
        <v>99710</v>
      </c>
      <c r="F190">
        <f t="shared" si="20"/>
        <v>2022</v>
      </c>
      <c r="G190" t="str">
        <f t="shared" si="21"/>
        <v>November</v>
      </c>
      <c r="H190" t="str">
        <f t="shared" si="22"/>
        <v>Saturday</v>
      </c>
      <c r="I190">
        <f t="shared" si="23"/>
        <v>2.0309315945106556</v>
      </c>
      <c r="J190">
        <f t="shared" si="24"/>
        <v>19.909384140879379</v>
      </c>
      <c r="K190">
        <f t="shared" si="25"/>
        <v>0.39993180422717689</v>
      </c>
      <c r="L190">
        <f t="shared" si="26"/>
        <v>0.65098627388640229</v>
      </c>
      <c r="M190">
        <f t="shared" si="27"/>
        <v>0.36140454466364896</v>
      </c>
      <c r="N190">
        <f t="shared" si="28"/>
        <v>36</v>
      </c>
      <c r="O190" t="str">
        <f t="shared" si="29"/>
        <v>Other</v>
      </c>
    </row>
    <row r="191" spans="1:15" hidden="1" x14ac:dyDescent="0.3">
      <c r="A191" t="s">
        <v>152</v>
      </c>
      <c r="B191" s="2">
        <v>45667</v>
      </c>
      <c r="C191" s="3">
        <v>248244770</v>
      </c>
      <c r="D191" s="4">
        <v>4153406</v>
      </c>
      <c r="E191" s="4">
        <v>5866</v>
      </c>
      <c r="F191">
        <f t="shared" si="20"/>
        <v>2025</v>
      </c>
      <c r="G191" t="str">
        <f t="shared" si="21"/>
        <v>January</v>
      </c>
      <c r="H191" t="str">
        <f t="shared" si="22"/>
        <v>Friday</v>
      </c>
      <c r="I191">
        <f t="shared" si="23"/>
        <v>1.675472155969288</v>
      </c>
      <c r="J191">
        <f t="shared" si="24"/>
        <v>16.731091656029651</v>
      </c>
      <c r="K191">
        <f t="shared" si="25"/>
        <v>2.3629903663227224E-2</v>
      </c>
      <c r="L191">
        <f t="shared" si="26"/>
        <v>0.65002764468733343</v>
      </c>
      <c r="M191">
        <f t="shared" si="27"/>
        <v>0.36050789694685309</v>
      </c>
      <c r="N191">
        <f t="shared" si="28"/>
        <v>28</v>
      </c>
      <c r="O191" t="str">
        <f t="shared" si="29"/>
        <v>Other</v>
      </c>
    </row>
    <row r="192" spans="1:15" hidden="1" x14ac:dyDescent="0.3">
      <c r="A192" t="s">
        <v>283</v>
      </c>
      <c r="B192" s="2">
        <v>44660</v>
      </c>
      <c r="C192" s="3">
        <v>248180619</v>
      </c>
      <c r="D192" s="4">
        <v>5641303</v>
      </c>
      <c r="E192" s="4">
        <v>127489</v>
      </c>
      <c r="F192">
        <f t="shared" si="20"/>
        <v>2022</v>
      </c>
      <c r="G192" t="str">
        <f t="shared" si="21"/>
        <v>April</v>
      </c>
      <c r="H192" t="str">
        <f t="shared" si="22"/>
        <v>Saturday</v>
      </c>
      <c r="I192">
        <f t="shared" si="23"/>
        <v>2.3244329163350184</v>
      </c>
      <c r="J192">
        <f t="shared" si="24"/>
        <v>22.730634739854523</v>
      </c>
      <c r="K192">
        <f t="shared" si="25"/>
        <v>0.51369442349565586</v>
      </c>
      <c r="L192">
        <f t="shared" si="26"/>
        <v>0.64945379094183842</v>
      </c>
      <c r="M192">
        <f t="shared" si="27"/>
        <v>0.36373217174674499</v>
      </c>
      <c r="N192">
        <f t="shared" si="28"/>
        <v>36</v>
      </c>
      <c r="O192" t="str">
        <f t="shared" si="29"/>
        <v>Money</v>
      </c>
    </row>
    <row r="193" spans="1:15" hidden="1" x14ac:dyDescent="0.3">
      <c r="A193" t="s">
        <v>61</v>
      </c>
      <c r="B193" s="2">
        <v>46010</v>
      </c>
      <c r="C193" s="3">
        <v>245032170</v>
      </c>
      <c r="D193" s="4">
        <v>4495285</v>
      </c>
      <c r="E193" s="4">
        <v>15625</v>
      </c>
      <c r="F193">
        <f t="shared" si="20"/>
        <v>2025</v>
      </c>
      <c r="G193" t="str">
        <f t="shared" si="21"/>
        <v>December</v>
      </c>
      <c r="H193" t="str">
        <f t="shared" si="22"/>
        <v>Friday</v>
      </c>
      <c r="I193">
        <f t="shared" si="23"/>
        <v>1.8409460276175165</v>
      </c>
      <c r="J193">
        <f t="shared" si="24"/>
        <v>18.345693138986608</v>
      </c>
      <c r="K193">
        <f t="shared" si="25"/>
        <v>6.3767137188557727E-2</v>
      </c>
      <c r="L193">
        <f t="shared" si="26"/>
        <v>0.64827364104612029</v>
      </c>
      <c r="M193">
        <f t="shared" si="27"/>
        <v>0.36195113321753664</v>
      </c>
      <c r="N193">
        <f t="shared" si="28"/>
        <v>36</v>
      </c>
      <c r="O193" t="str">
        <f t="shared" si="29"/>
        <v>Money</v>
      </c>
    </row>
    <row r="194" spans="1:15" hidden="1" x14ac:dyDescent="0.3">
      <c r="A194" t="s">
        <v>314</v>
      </c>
      <c r="B194" s="2">
        <v>44180</v>
      </c>
      <c r="C194" s="3">
        <v>244933762</v>
      </c>
      <c r="D194" s="4">
        <v>7098745</v>
      </c>
      <c r="E194" s="4">
        <v>185445</v>
      </c>
      <c r="F194">
        <f t="shared" ref="F194:F257" si="30">YEAR(B194)</f>
        <v>2020</v>
      </c>
      <c r="G194" t="str">
        <f t="shared" ref="G194:G257" si="31">TEXT(B194,"MMMM")</f>
        <v>December</v>
      </c>
      <c r="H194" t="str">
        <f t="shared" ref="H194:H257" si="32">TEXT(B194, "DDDD")</f>
        <v>Tuesday</v>
      </c>
      <c r="I194">
        <f t="shared" ref="I194:I257" si="33">((D194+E194)/C194)*100</f>
        <v>2.9739428082601367</v>
      </c>
      <c r="J194">
        <f t="shared" ref="J194:J257" si="34">(D194/C194)*1000</f>
        <v>28.982305020081309</v>
      </c>
      <c r="K194">
        <f t="shared" ref="K194:K257" si="35">(E194/C194)*1000</f>
        <v>0.75712306252006212</v>
      </c>
      <c r="L194">
        <f t="shared" ref="L194:L257" si="36">CORREL(C194:C692, D194:D692)</f>
        <v>0.64749900104492009</v>
      </c>
      <c r="M194">
        <f t="shared" ref="M194:M257" si="37">CORREL(C194:C692,E194:E692)</f>
        <v>0.36460892628797237</v>
      </c>
      <c r="N194">
        <f t="shared" ref="N194:N257" si="38">LEN(A194)</f>
        <v>55</v>
      </c>
      <c r="O194" t="str">
        <f t="shared" ref="O194:O257" si="39">IF(ISNUMBER(SEARCH("$",A194)), "Money", IF(ISNUMBER(SEARCH("Win",A194)), "Challenge",IF(ISNUMBER(SEARCH("Challenge",A194)), "Challenge",IF(ISNUMBER(SEARCH("Last To Leave",A194)),"Challenge",IF(ISNUMBER(SEARCH("Giving Away", A194)),"Giveaway",IF(ISNUMBER(SEARCH("Stranded",A194)),"Survival", IF(ISNUMBER(SEARCH("Survive",A194)), "Survival", IF(ISNUMBER(SEARCH("Days",A194)),"Endurance","Other"))))))))</f>
        <v>Money</v>
      </c>
    </row>
    <row r="195" spans="1:15" hidden="1" x14ac:dyDescent="0.3">
      <c r="A195" t="s">
        <v>182</v>
      </c>
      <c r="B195" s="2">
        <v>45490</v>
      </c>
      <c r="C195" s="3">
        <v>240640112</v>
      </c>
      <c r="D195" s="4">
        <v>6262666</v>
      </c>
      <c r="E195" s="4">
        <v>11170</v>
      </c>
      <c r="F195">
        <f t="shared" si="30"/>
        <v>2024</v>
      </c>
      <c r="G195" t="str">
        <f t="shared" si="31"/>
        <v>July</v>
      </c>
      <c r="H195" t="str">
        <f t="shared" si="32"/>
        <v>Wednesday</v>
      </c>
      <c r="I195">
        <f t="shared" si="33"/>
        <v>2.6071447307172133</v>
      </c>
      <c r="J195">
        <f t="shared" si="34"/>
        <v>26.025029443137893</v>
      </c>
      <c r="K195">
        <f t="shared" si="35"/>
        <v>4.6417864034238816E-2</v>
      </c>
      <c r="L195">
        <f t="shared" si="36"/>
        <v>0.64633693473690279</v>
      </c>
      <c r="M195">
        <f t="shared" si="37"/>
        <v>0.36155863907418301</v>
      </c>
      <c r="N195">
        <f t="shared" si="38"/>
        <v>17</v>
      </c>
      <c r="O195" t="str">
        <f t="shared" si="39"/>
        <v>Other</v>
      </c>
    </row>
    <row r="196" spans="1:15" hidden="1" x14ac:dyDescent="0.3">
      <c r="A196" t="s">
        <v>301</v>
      </c>
      <c r="B196" s="2">
        <v>44310</v>
      </c>
      <c r="C196" s="3">
        <v>240172906</v>
      </c>
      <c r="D196" s="4">
        <v>4378440</v>
      </c>
      <c r="E196" s="4">
        <v>119834</v>
      </c>
      <c r="F196">
        <f t="shared" si="30"/>
        <v>2021</v>
      </c>
      <c r="G196" t="str">
        <f t="shared" si="31"/>
        <v>April</v>
      </c>
      <c r="H196" t="str">
        <f t="shared" si="32"/>
        <v>Saturday</v>
      </c>
      <c r="I196">
        <f t="shared" si="33"/>
        <v>1.8729314954452021</v>
      </c>
      <c r="J196">
        <f t="shared" si="34"/>
        <v>18.230366084674017</v>
      </c>
      <c r="K196">
        <f t="shared" si="35"/>
        <v>0.49894886977800901</v>
      </c>
      <c r="L196">
        <f t="shared" si="36"/>
        <v>0.64516271071167897</v>
      </c>
      <c r="M196">
        <f t="shared" si="37"/>
        <v>0.36437782277103042</v>
      </c>
      <c r="N196">
        <f t="shared" si="38"/>
        <v>36</v>
      </c>
      <c r="O196" t="str">
        <f t="shared" si="39"/>
        <v>Other</v>
      </c>
    </row>
    <row r="197" spans="1:15" hidden="1" x14ac:dyDescent="0.3">
      <c r="A197" t="s">
        <v>409</v>
      </c>
      <c r="B197" s="2">
        <v>43496</v>
      </c>
      <c r="C197" s="3">
        <v>239776679</v>
      </c>
      <c r="D197" s="4">
        <v>3573459</v>
      </c>
      <c r="E197" s="4">
        <v>142825</v>
      </c>
      <c r="F197">
        <f t="shared" si="30"/>
        <v>2019</v>
      </c>
      <c r="G197" t="str">
        <f t="shared" si="31"/>
        <v>January</v>
      </c>
      <c r="H197" t="str">
        <f t="shared" si="32"/>
        <v>Thursday</v>
      </c>
      <c r="I197">
        <f t="shared" si="33"/>
        <v>1.5498938493513792</v>
      </c>
      <c r="J197">
        <f t="shared" si="34"/>
        <v>14.903280064196736</v>
      </c>
      <c r="K197">
        <f t="shared" si="35"/>
        <v>0.59565842931705626</v>
      </c>
      <c r="L197">
        <f t="shared" si="36"/>
        <v>0.6444154072857684</v>
      </c>
      <c r="M197">
        <f t="shared" si="37"/>
        <v>0.36283408103810982</v>
      </c>
      <c r="N197">
        <f t="shared" si="38"/>
        <v>31</v>
      </c>
      <c r="O197" t="str">
        <f t="shared" si="39"/>
        <v>Money</v>
      </c>
    </row>
    <row r="198" spans="1:15" hidden="1" x14ac:dyDescent="0.3">
      <c r="A198" t="s">
        <v>147</v>
      </c>
      <c r="B198" s="2">
        <v>45696</v>
      </c>
      <c r="C198" s="3">
        <v>239704746</v>
      </c>
      <c r="D198" s="4">
        <v>5401960</v>
      </c>
      <c r="E198" s="4">
        <v>101127</v>
      </c>
      <c r="F198">
        <f t="shared" si="30"/>
        <v>2025</v>
      </c>
      <c r="G198" t="str">
        <f t="shared" si="31"/>
        <v>February</v>
      </c>
      <c r="H198" t="str">
        <f t="shared" si="32"/>
        <v>Saturday</v>
      </c>
      <c r="I198">
        <f t="shared" si="33"/>
        <v>2.2957772392207874</v>
      </c>
      <c r="J198">
        <f t="shared" si="34"/>
        <v>22.535890883028241</v>
      </c>
      <c r="K198">
        <f t="shared" si="35"/>
        <v>0.42188150917963052</v>
      </c>
      <c r="L198">
        <f t="shared" si="36"/>
        <v>0.64413260578354326</v>
      </c>
      <c r="M198">
        <f t="shared" si="37"/>
        <v>0.36065505580986068</v>
      </c>
      <c r="N198">
        <f t="shared" si="38"/>
        <v>38</v>
      </c>
      <c r="O198" t="str">
        <f t="shared" si="39"/>
        <v>Other</v>
      </c>
    </row>
    <row r="199" spans="1:15" hidden="1" x14ac:dyDescent="0.3">
      <c r="A199" t="s">
        <v>92</v>
      </c>
      <c r="B199" s="2">
        <v>45913</v>
      </c>
      <c r="C199" s="3">
        <v>239048736</v>
      </c>
      <c r="D199" s="4">
        <v>4201535</v>
      </c>
      <c r="E199" s="4">
        <v>70156</v>
      </c>
      <c r="F199">
        <f t="shared" si="30"/>
        <v>2025</v>
      </c>
      <c r="G199" t="str">
        <f t="shared" si="31"/>
        <v>September</v>
      </c>
      <c r="H199" t="str">
        <f t="shared" si="32"/>
        <v>Saturday</v>
      </c>
      <c r="I199">
        <f t="shared" si="33"/>
        <v>1.786954020957467</v>
      </c>
      <c r="J199">
        <f t="shared" si="34"/>
        <v>17.576060305962045</v>
      </c>
      <c r="K199">
        <f t="shared" si="35"/>
        <v>0.29347990361262566</v>
      </c>
      <c r="L199">
        <f t="shared" si="36"/>
        <v>0.6430021741204629</v>
      </c>
      <c r="M199">
        <f t="shared" si="37"/>
        <v>0.35964333407502497</v>
      </c>
      <c r="N199">
        <f t="shared" si="38"/>
        <v>48</v>
      </c>
      <c r="O199" t="str">
        <f t="shared" si="39"/>
        <v>Money</v>
      </c>
    </row>
    <row r="200" spans="1:15" hidden="1" x14ac:dyDescent="0.3">
      <c r="A200" t="s">
        <v>112</v>
      </c>
      <c r="B200" s="2">
        <v>45843</v>
      </c>
      <c r="C200" s="3">
        <v>238172070</v>
      </c>
      <c r="D200" s="4">
        <v>3546669</v>
      </c>
      <c r="E200" s="4">
        <v>48023</v>
      </c>
      <c r="F200">
        <f t="shared" si="30"/>
        <v>2025</v>
      </c>
      <c r="G200" t="str">
        <f t="shared" si="31"/>
        <v>July</v>
      </c>
      <c r="H200" t="str">
        <f t="shared" si="32"/>
        <v>Saturday</v>
      </c>
      <c r="I200">
        <f t="shared" si="33"/>
        <v>1.5092836032369372</v>
      </c>
      <c r="J200">
        <f t="shared" si="34"/>
        <v>14.891204497655833</v>
      </c>
      <c r="K200">
        <f t="shared" si="35"/>
        <v>0.20163153471353715</v>
      </c>
      <c r="L200">
        <f t="shared" si="36"/>
        <v>0.64230740332431235</v>
      </c>
      <c r="M200">
        <f t="shared" si="37"/>
        <v>0.35973229867124157</v>
      </c>
      <c r="N200">
        <f t="shared" si="38"/>
        <v>31</v>
      </c>
      <c r="O200" t="str">
        <f t="shared" si="39"/>
        <v>Other</v>
      </c>
    </row>
    <row r="201" spans="1:15" hidden="1" x14ac:dyDescent="0.3">
      <c r="A201" t="s">
        <v>366</v>
      </c>
      <c r="B201" s="2">
        <v>43750</v>
      </c>
      <c r="C201" s="3">
        <v>237604154</v>
      </c>
      <c r="D201" s="4">
        <v>3224390</v>
      </c>
      <c r="E201" s="4">
        <v>57319</v>
      </c>
      <c r="F201">
        <f t="shared" si="30"/>
        <v>2019</v>
      </c>
      <c r="G201" t="str">
        <f t="shared" si="31"/>
        <v>October</v>
      </c>
      <c r="H201" t="str">
        <f t="shared" si="32"/>
        <v>Saturday</v>
      </c>
      <c r="I201">
        <f t="shared" si="33"/>
        <v>1.3811665094037033</v>
      </c>
      <c r="J201">
        <f t="shared" si="34"/>
        <v>13.570427729138101</v>
      </c>
      <c r="K201">
        <f t="shared" si="35"/>
        <v>0.24123736489893186</v>
      </c>
      <c r="L201">
        <f t="shared" si="36"/>
        <v>0.64200812859826795</v>
      </c>
      <c r="M201">
        <f t="shared" si="37"/>
        <v>0.36073118306576868</v>
      </c>
      <c r="N201">
        <f t="shared" si="38"/>
        <v>45</v>
      </c>
      <c r="O201" t="str">
        <f t="shared" si="39"/>
        <v>Other</v>
      </c>
    </row>
    <row r="202" spans="1:15" hidden="1" x14ac:dyDescent="0.3">
      <c r="A202" t="s">
        <v>175</v>
      </c>
      <c r="B202" s="2">
        <v>45542</v>
      </c>
      <c r="C202" s="3">
        <v>237566185</v>
      </c>
      <c r="D202" s="4">
        <v>4466437</v>
      </c>
      <c r="E202" s="4">
        <v>54987</v>
      </c>
      <c r="F202">
        <f t="shared" si="30"/>
        <v>2024</v>
      </c>
      <c r="G202" t="str">
        <f t="shared" si="31"/>
        <v>September</v>
      </c>
      <c r="H202" t="str">
        <f t="shared" si="32"/>
        <v>Saturday</v>
      </c>
      <c r="I202">
        <f t="shared" si="33"/>
        <v>1.9032270943779308</v>
      </c>
      <c r="J202">
        <f t="shared" si="34"/>
        <v>18.800811234982792</v>
      </c>
      <c r="K202">
        <f t="shared" si="35"/>
        <v>0.23145970879651917</v>
      </c>
      <c r="L202">
        <f t="shared" si="36"/>
        <v>0.64194085429866476</v>
      </c>
      <c r="M202">
        <f t="shared" si="37"/>
        <v>0.36132492954467443</v>
      </c>
      <c r="N202">
        <f t="shared" si="38"/>
        <v>51</v>
      </c>
      <c r="O202" t="str">
        <f t="shared" si="39"/>
        <v>Money</v>
      </c>
    </row>
    <row r="203" spans="1:15" hidden="1" x14ac:dyDescent="0.3">
      <c r="A203" t="s">
        <v>293</v>
      </c>
      <c r="B203" s="2">
        <v>44443</v>
      </c>
      <c r="C203" s="3">
        <v>235239446</v>
      </c>
      <c r="D203" s="4">
        <v>4802133</v>
      </c>
      <c r="E203" s="4">
        <v>97216</v>
      </c>
      <c r="F203">
        <f t="shared" si="30"/>
        <v>2021</v>
      </c>
      <c r="G203" t="str">
        <f t="shared" si="31"/>
        <v>September</v>
      </c>
      <c r="H203" t="str">
        <f t="shared" si="32"/>
        <v>Saturday</v>
      </c>
      <c r="I203">
        <f t="shared" si="33"/>
        <v>2.0827072514020459</v>
      </c>
      <c r="J203">
        <f t="shared" si="34"/>
        <v>20.413808490264852</v>
      </c>
      <c r="K203">
        <f t="shared" si="35"/>
        <v>0.41326402375560772</v>
      </c>
      <c r="L203">
        <f t="shared" si="36"/>
        <v>0.64108673140612227</v>
      </c>
      <c r="M203">
        <f t="shared" si="37"/>
        <v>0.36201387845100635</v>
      </c>
      <c r="N203">
        <f t="shared" si="38"/>
        <v>29</v>
      </c>
      <c r="O203" t="str">
        <f t="shared" si="39"/>
        <v>Money</v>
      </c>
    </row>
    <row r="204" spans="1:15" hidden="1" x14ac:dyDescent="0.3">
      <c r="A204" t="s">
        <v>325</v>
      </c>
      <c r="B204" s="2">
        <v>44065</v>
      </c>
      <c r="C204" s="3">
        <v>235015335</v>
      </c>
      <c r="D204" s="4">
        <v>4181922</v>
      </c>
      <c r="E204" s="4">
        <v>150692</v>
      </c>
      <c r="F204">
        <f t="shared" si="30"/>
        <v>2020</v>
      </c>
      <c r="G204" t="str">
        <f t="shared" si="31"/>
        <v>August</v>
      </c>
      <c r="H204" t="str">
        <f t="shared" si="32"/>
        <v>Saturday</v>
      </c>
      <c r="I204">
        <f t="shared" si="33"/>
        <v>1.8435452307824933</v>
      </c>
      <c r="J204">
        <f t="shared" si="34"/>
        <v>17.794251596390506</v>
      </c>
      <c r="K204">
        <f t="shared" si="35"/>
        <v>0.64120071143442625</v>
      </c>
      <c r="L204">
        <f t="shared" si="36"/>
        <v>0.64009878236641526</v>
      </c>
      <c r="M204">
        <f t="shared" si="37"/>
        <v>0.36107991282149154</v>
      </c>
      <c r="N204">
        <f t="shared" si="38"/>
        <v>50</v>
      </c>
      <c r="O204" t="str">
        <f t="shared" si="39"/>
        <v>Other</v>
      </c>
    </row>
    <row r="205" spans="1:15" hidden="1" x14ac:dyDescent="0.3">
      <c r="A205" t="s">
        <v>385</v>
      </c>
      <c r="B205" s="2">
        <v>43629</v>
      </c>
      <c r="C205" s="3">
        <v>234932962</v>
      </c>
      <c r="D205" s="4">
        <v>4108930</v>
      </c>
      <c r="E205" s="4">
        <v>116554</v>
      </c>
      <c r="F205">
        <f t="shared" si="30"/>
        <v>2019</v>
      </c>
      <c r="G205" t="str">
        <f t="shared" si="31"/>
        <v>June</v>
      </c>
      <c r="H205" t="str">
        <f t="shared" si="32"/>
        <v>Thursday</v>
      </c>
      <c r="I205">
        <f t="shared" si="33"/>
        <v>1.7985913785907996</v>
      </c>
      <c r="J205">
        <f t="shared" si="34"/>
        <v>17.489797791763255</v>
      </c>
      <c r="K205">
        <f t="shared" si="35"/>
        <v>0.49611599414474666</v>
      </c>
      <c r="L205">
        <f t="shared" si="36"/>
        <v>0.63937046984301427</v>
      </c>
      <c r="M205">
        <f t="shared" si="37"/>
        <v>0.35865948989956686</v>
      </c>
      <c r="N205">
        <f t="shared" si="38"/>
        <v>38</v>
      </c>
      <c r="O205" t="str">
        <f t="shared" si="39"/>
        <v>Other</v>
      </c>
    </row>
    <row r="206" spans="1:15" hidden="1" x14ac:dyDescent="0.3">
      <c r="A206" t="s">
        <v>196</v>
      </c>
      <c r="B206" s="2">
        <v>45415</v>
      </c>
      <c r="C206" s="3">
        <v>234775722</v>
      </c>
      <c r="D206" s="4">
        <v>11902518</v>
      </c>
      <c r="E206" s="4">
        <v>30640</v>
      </c>
      <c r="F206">
        <f t="shared" si="30"/>
        <v>2024</v>
      </c>
      <c r="G206" t="str">
        <f t="shared" si="31"/>
        <v>May</v>
      </c>
      <c r="H206" t="str">
        <f t="shared" si="32"/>
        <v>Friday</v>
      </c>
      <c r="I206">
        <f t="shared" si="33"/>
        <v>5.0827904599096492</v>
      </c>
      <c r="J206">
        <f t="shared" si="34"/>
        <v>50.697397067316864</v>
      </c>
      <c r="K206">
        <f t="shared" si="35"/>
        <v>0.13050753177962751</v>
      </c>
      <c r="L206">
        <f t="shared" si="36"/>
        <v>0.63866753403066456</v>
      </c>
      <c r="M206">
        <f t="shared" si="37"/>
        <v>0.35707916759747771</v>
      </c>
      <c r="N206">
        <f t="shared" si="38"/>
        <v>34</v>
      </c>
      <c r="O206" t="str">
        <f t="shared" si="39"/>
        <v>Money</v>
      </c>
    </row>
    <row r="207" spans="1:15" hidden="1" x14ac:dyDescent="0.3">
      <c r="A207" t="s">
        <v>278</v>
      </c>
      <c r="B207" s="2">
        <v>44793</v>
      </c>
      <c r="C207" s="3">
        <v>233909250</v>
      </c>
      <c r="D207" s="4">
        <v>4281465</v>
      </c>
      <c r="E207" s="4">
        <v>74037</v>
      </c>
      <c r="F207">
        <f t="shared" si="30"/>
        <v>2022</v>
      </c>
      <c r="G207" t="str">
        <f t="shared" si="31"/>
        <v>August</v>
      </c>
      <c r="H207" t="str">
        <f t="shared" si="32"/>
        <v>Saturday</v>
      </c>
      <c r="I207">
        <f t="shared" si="33"/>
        <v>1.8620477813511009</v>
      </c>
      <c r="J207">
        <f t="shared" si="34"/>
        <v>18.30395762459159</v>
      </c>
      <c r="K207">
        <f t="shared" si="35"/>
        <v>0.31652018891942069</v>
      </c>
      <c r="L207">
        <f t="shared" si="36"/>
        <v>0.64201334956206002</v>
      </c>
      <c r="M207">
        <f t="shared" si="37"/>
        <v>0.35880591645310089</v>
      </c>
      <c r="N207">
        <f t="shared" si="38"/>
        <v>28</v>
      </c>
      <c r="O207" t="str">
        <f t="shared" si="39"/>
        <v>Survival</v>
      </c>
    </row>
    <row r="208" spans="1:15" hidden="1" x14ac:dyDescent="0.3">
      <c r="A208" t="s">
        <v>315</v>
      </c>
      <c r="B208" s="2">
        <v>44163</v>
      </c>
      <c r="C208" s="3">
        <v>232578487</v>
      </c>
      <c r="D208" s="4">
        <v>3695173</v>
      </c>
      <c r="E208" s="4">
        <v>92221</v>
      </c>
      <c r="F208">
        <f t="shared" si="30"/>
        <v>2020</v>
      </c>
      <c r="G208" t="str">
        <f t="shared" si="31"/>
        <v>November</v>
      </c>
      <c r="H208" t="str">
        <f t="shared" si="32"/>
        <v>Saturday</v>
      </c>
      <c r="I208">
        <f t="shared" si="33"/>
        <v>1.6284369413754076</v>
      </c>
      <c r="J208">
        <f t="shared" si="34"/>
        <v>15.887853806530266</v>
      </c>
      <c r="K208">
        <f t="shared" si="35"/>
        <v>0.39651560722380996</v>
      </c>
      <c r="L208">
        <f t="shared" si="36"/>
        <v>0.64117476673744922</v>
      </c>
      <c r="M208">
        <f t="shared" si="37"/>
        <v>0.35864266607482143</v>
      </c>
      <c r="N208">
        <f t="shared" si="38"/>
        <v>40</v>
      </c>
      <c r="O208" t="str">
        <f t="shared" si="39"/>
        <v>Money</v>
      </c>
    </row>
    <row r="209" spans="1:15" hidden="1" x14ac:dyDescent="0.3">
      <c r="A209" t="s">
        <v>336</v>
      </c>
      <c r="B209" s="2">
        <v>43974</v>
      </c>
      <c r="C209" s="3">
        <v>230119996</v>
      </c>
      <c r="D209" s="4">
        <v>7557690</v>
      </c>
      <c r="E209" s="4">
        <v>169747</v>
      </c>
      <c r="F209">
        <f t="shared" si="30"/>
        <v>2020</v>
      </c>
      <c r="G209" t="str">
        <f t="shared" si="31"/>
        <v>May</v>
      </c>
      <c r="H209" t="str">
        <f t="shared" si="32"/>
        <v>Saturday</v>
      </c>
      <c r="I209">
        <f t="shared" si="33"/>
        <v>3.3580032740831443</v>
      </c>
      <c r="J209">
        <f t="shared" si="34"/>
        <v>32.842387151788408</v>
      </c>
      <c r="K209">
        <f t="shared" si="35"/>
        <v>0.73764558904303124</v>
      </c>
      <c r="L209">
        <f t="shared" si="36"/>
        <v>0.64066016805726334</v>
      </c>
      <c r="M209">
        <f t="shared" si="37"/>
        <v>0.35782061585337016</v>
      </c>
      <c r="N209">
        <f t="shared" si="38"/>
        <v>49</v>
      </c>
      <c r="O209" t="str">
        <f t="shared" si="39"/>
        <v>Money</v>
      </c>
    </row>
    <row r="210" spans="1:15" hidden="1" x14ac:dyDescent="0.3">
      <c r="A210" t="s">
        <v>339</v>
      </c>
      <c r="B210" s="2">
        <v>43932</v>
      </c>
      <c r="C210" s="3">
        <v>230048313</v>
      </c>
      <c r="D210" s="4">
        <v>3427791</v>
      </c>
      <c r="E210" s="4">
        <v>79111</v>
      </c>
      <c r="F210">
        <f t="shared" si="30"/>
        <v>2020</v>
      </c>
      <c r="G210" t="str">
        <f t="shared" si="31"/>
        <v>April</v>
      </c>
      <c r="H210" t="str">
        <f t="shared" si="32"/>
        <v>Saturday</v>
      </c>
      <c r="I210">
        <f t="shared" si="33"/>
        <v>1.5244197856821493</v>
      </c>
      <c r="J210">
        <f t="shared" si="34"/>
        <v>14.900309223306497</v>
      </c>
      <c r="K210">
        <f t="shared" si="35"/>
        <v>0.3438886335149956</v>
      </c>
      <c r="L210">
        <f t="shared" si="36"/>
        <v>0.6398219825203133</v>
      </c>
      <c r="M210">
        <f t="shared" si="37"/>
        <v>0.35498970341585018</v>
      </c>
      <c r="N210">
        <f t="shared" si="38"/>
        <v>37</v>
      </c>
      <c r="O210" t="str">
        <f t="shared" si="39"/>
        <v>Other</v>
      </c>
    </row>
    <row r="211" spans="1:15" x14ac:dyDescent="0.3">
      <c r="A211" t="s">
        <v>35</v>
      </c>
      <c r="B211" s="2">
        <v>46102</v>
      </c>
      <c r="C211" s="3">
        <v>140045451</v>
      </c>
      <c r="D211" s="4">
        <v>2900664</v>
      </c>
      <c r="E211" s="4">
        <v>118253</v>
      </c>
      <c r="F211">
        <f t="shared" si="30"/>
        <v>2026</v>
      </c>
      <c r="G211" t="str">
        <f t="shared" si="31"/>
        <v>March</v>
      </c>
      <c r="H211" t="str">
        <f t="shared" si="32"/>
        <v>Saturday</v>
      </c>
      <c r="I211">
        <f t="shared" si="33"/>
        <v>2.1556694476281133</v>
      </c>
      <c r="J211">
        <f t="shared" si="34"/>
        <v>20.712304321830491</v>
      </c>
      <c r="K211">
        <f t="shared" si="35"/>
        <v>0.84439015445064336</v>
      </c>
      <c r="L211">
        <f t="shared" si="36"/>
        <v>0.63945648007496825</v>
      </c>
      <c r="M211">
        <f t="shared" si="37"/>
        <v>0.35460001243695755</v>
      </c>
      <c r="N211">
        <f t="shared" si="38"/>
        <v>41</v>
      </c>
      <c r="O211" t="str">
        <f t="shared" si="39"/>
        <v>Other</v>
      </c>
    </row>
    <row r="212" spans="1:15" hidden="1" x14ac:dyDescent="0.3">
      <c r="A212" t="s">
        <v>299</v>
      </c>
      <c r="B212" s="2">
        <v>44359</v>
      </c>
      <c r="C212" s="3">
        <v>224856339</v>
      </c>
      <c r="D212" s="4">
        <v>3775716</v>
      </c>
      <c r="E212" s="4">
        <v>80058</v>
      </c>
      <c r="F212">
        <f t="shared" si="30"/>
        <v>2021</v>
      </c>
      <c r="G212" t="str">
        <f t="shared" si="31"/>
        <v>June</v>
      </c>
      <c r="H212" t="str">
        <f t="shared" si="32"/>
        <v>Saturday</v>
      </c>
      <c r="I212">
        <f t="shared" si="33"/>
        <v>1.714772203953743</v>
      </c>
      <c r="J212">
        <f t="shared" si="34"/>
        <v>16.791681376614427</v>
      </c>
      <c r="K212">
        <f t="shared" si="35"/>
        <v>0.35604066292300524</v>
      </c>
      <c r="L212">
        <f t="shared" si="36"/>
        <v>0.63955451043065459</v>
      </c>
      <c r="M212">
        <f t="shared" si="37"/>
        <v>0.35446060301251597</v>
      </c>
      <c r="N212">
        <f t="shared" si="38"/>
        <v>28</v>
      </c>
      <c r="O212" t="str">
        <f t="shared" si="39"/>
        <v>Money</v>
      </c>
    </row>
    <row r="213" spans="1:15" hidden="1" x14ac:dyDescent="0.3">
      <c r="A213" t="s">
        <v>334</v>
      </c>
      <c r="B213" s="2">
        <v>43988</v>
      </c>
      <c r="C213" s="3">
        <v>222444880</v>
      </c>
      <c r="D213" s="4">
        <v>3660176</v>
      </c>
      <c r="E213" s="4">
        <v>77062</v>
      </c>
      <c r="F213">
        <f t="shared" si="30"/>
        <v>2020</v>
      </c>
      <c r="G213" t="str">
        <f t="shared" si="31"/>
        <v>June</v>
      </c>
      <c r="H213" t="str">
        <f t="shared" si="32"/>
        <v>Saturday</v>
      </c>
      <c r="I213">
        <f t="shared" si="33"/>
        <v>1.6800737333221607</v>
      </c>
      <c r="J213">
        <f t="shared" si="34"/>
        <v>16.45430544411721</v>
      </c>
      <c r="K213">
        <f t="shared" si="35"/>
        <v>0.34643188910439293</v>
      </c>
      <c r="L213">
        <f t="shared" si="36"/>
        <v>0.63896294542231147</v>
      </c>
      <c r="M213">
        <f t="shared" si="37"/>
        <v>0.35401541547179766</v>
      </c>
      <c r="N213">
        <f t="shared" si="38"/>
        <v>38</v>
      </c>
      <c r="O213" t="str">
        <f t="shared" si="39"/>
        <v>Other</v>
      </c>
    </row>
    <row r="214" spans="1:15" hidden="1" x14ac:dyDescent="0.3">
      <c r="A214" t="s">
        <v>257</v>
      </c>
      <c r="B214" s="2">
        <v>45052</v>
      </c>
      <c r="C214" s="3">
        <v>220057069</v>
      </c>
      <c r="D214" s="4">
        <v>5541847</v>
      </c>
      <c r="E214" s="4">
        <v>153718</v>
      </c>
      <c r="F214">
        <f t="shared" si="30"/>
        <v>2023</v>
      </c>
      <c r="G214" t="str">
        <f t="shared" si="31"/>
        <v>May</v>
      </c>
      <c r="H214" t="str">
        <f t="shared" si="32"/>
        <v>Saturday</v>
      </c>
      <c r="I214">
        <f t="shared" si="33"/>
        <v>2.5882217853224248</v>
      </c>
      <c r="J214">
        <f t="shared" si="34"/>
        <v>25.183680875073364</v>
      </c>
      <c r="K214">
        <f t="shared" si="35"/>
        <v>0.69853697815088145</v>
      </c>
      <c r="L214">
        <f t="shared" si="36"/>
        <v>0.63843498443499003</v>
      </c>
      <c r="M214">
        <f t="shared" si="37"/>
        <v>0.3536742148813295</v>
      </c>
      <c r="N214">
        <f t="shared" si="38"/>
        <v>41</v>
      </c>
      <c r="O214" t="str">
        <f t="shared" si="39"/>
        <v>Other</v>
      </c>
    </row>
    <row r="215" spans="1:15" hidden="1" x14ac:dyDescent="0.3">
      <c r="A215" t="s">
        <v>266</v>
      </c>
      <c r="B215" s="2">
        <v>44954</v>
      </c>
      <c r="C215" s="3">
        <v>217481323</v>
      </c>
      <c r="D215" s="4">
        <v>10381263</v>
      </c>
      <c r="E215" s="4">
        <v>378164</v>
      </c>
      <c r="F215">
        <f t="shared" si="30"/>
        <v>2023</v>
      </c>
      <c r="G215" t="str">
        <f t="shared" si="31"/>
        <v>January</v>
      </c>
      <c r="H215" t="str">
        <f t="shared" si="32"/>
        <v>Saturday</v>
      </c>
      <c r="I215">
        <f t="shared" si="33"/>
        <v>4.9472878183659015</v>
      </c>
      <c r="J215">
        <f t="shared" si="34"/>
        <v>47.734043810281584</v>
      </c>
      <c r="K215">
        <f t="shared" si="35"/>
        <v>1.7388343733774325</v>
      </c>
      <c r="L215">
        <f t="shared" si="36"/>
        <v>0.63733745109121098</v>
      </c>
      <c r="M215">
        <f t="shared" si="37"/>
        <v>0.35126508969147979</v>
      </c>
      <c r="N215">
        <f t="shared" si="38"/>
        <v>41</v>
      </c>
      <c r="O215" t="str">
        <f t="shared" si="39"/>
        <v>Other</v>
      </c>
    </row>
    <row r="216" spans="1:15" hidden="1" x14ac:dyDescent="0.3">
      <c r="A216" t="s">
        <v>375</v>
      </c>
      <c r="B216" s="2">
        <v>43699</v>
      </c>
      <c r="C216" s="3">
        <v>217437479</v>
      </c>
      <c r="D216" s="4">
        <v>3690221</v>
      </c>
      <c r="E216" s="4">
        <v>80607</v>
      </c>
      <c r="F216">
        <f t="shared" si="30"/>
        <v>2019</v>
      </c>
      <c r="G216" t="str">
        <f t="shared" si="31"/>
        <v>August</v>
      </c>
      <c r="H216" t="str">
        <f t="shared" si="32"/>
        <v>Thursday</v>
      </c>
      <c r="I216">
        <f t="shared" si="33"/>
        <v>1.7342125273628655</v>
      </c>
      <c r="J216">
        <f t="shared" si="34"/>
        <v>16.971411814427814</v>
      </c>
      <c r="K216">
        <f t="shared" si="35"/>
        <v>0.37071345920083998</v>
      </c>
      <c r="L216">
        <f t="shared" si="36"/>
        <v>0.63969439456179245</v>
      </c>
      <c r="M216">
        <f t="shared" si="37"/>
        <v>0.35021277116870753</v>
      </c>
      <c r="N216">
        <f t="shared" si="38"/>
        <v>39</v>
      </c>
      <c r="O216" t="str">
        <f t="shared" si="39"/>
        <v>Other</v>
      </c>
    </row>
    <row r="217" spans="1:15" hidden="1" x14ac:dyDescent="0.3">
      <c r="A217" t="s">
        <v>310</v>
      </c>
      <c r="B217" s="2">
        <v>44205</v>
      </c>
      <c r="C217" s="3">
        <v>216892002</v>
      </c>
      <c r="D217" s="4">
        <v>5786833</v>
      </c>
      <c r="E217" s="4">
        <v>192002</v>
      </c>
      <c r="F217">
        <f t="shared" si="30"/>
        <v>2021</v>
      </c>
      <c r="G217" t="str">
        <f t="shared" si="31"/>
        <v>January</v>
      </c>
      <c r="H217" t="str">
        <f t="shared" si="32"/>
        <v>Saturday</v>
      </c>
      <c r="I217">
        <f t="shared" si="33"/>
        <v>2.7565954230068841</v>
      </c>
      <c r="J217">
        <f t="shared" si="34"/>
        <v>26.680711813430538</v>
      </c>
      <c r="K217">
        <f t="shared" si="35"/>
        <v>0.88524241663830461</v>
      </c>
      <c r="L217">
        <f t="shared" si="36"/>
        <v>0.63910993876747302</v>
      </c>
      <c r="M217">
        <f t="shared" si="37"/>
        <v>0.34966605819959284</v>
      </c>
      <c r="N217">
        <f t="shared" si="38"/>
        <v>31</v>
      </c>
      <c r="O217" t="str">
        <f t="shared" si="39"/>
        <v>Other</v>
      </c>
    </row>
    <row r="218" spans="1:15" hidden="1" x14ac:dyDescent="0.3">
      <c r="A218" t="s">
        <v>292</v>
      </c>
      <c r="B218" s="2">
        <v>44465</v>
      </c>
      <c r="C218" s="3">
        <v>216443681</v>
      </c>
      <c r="D218" s="4">
        <v>4577967</v>
      </c>
      <c r="E218" s="4">
        <v>117365</v>
      </c>
      <c r="F218">
        <f t="shared" si="30"/>
        <v>2021</v>
      </c>
      <c r="G218" t="str">
        <f t="shared" si="31"/>
        <v>September</v>
      </c>
      <c r="H218" t="str">
        <f t="shared" si="32"/>
        <v>Sunday</v>
      </c>
      <c r="I218">
        <f t="shared" si="33"/>
        <v>2.1693088836351846</v>
      </c>
      <c r="J218">
        <f t="shared" si="34"/>
        <v>21.15084616399589</v>
      </c>
      <c r="K218">
        <f t="shared" si="35"/>
        <v>0.54224267235595569</v>
      </c>
      <c r="L218">
        <f t="shared" si="36"/>
        <v>0.63804715661667777</v>
      </c>
      <c r="M218">
        <f t="shared" si="37"/>
        <v>0.34662564723195705</v>
      </c>
      <c r="N218">
        <f t="shared" si="38"/>
        <v>31</v>
      </c>
      <c r="O218" t="str">
        <f t="shared" si="39"/>
        <v>Money</v>
      </c>
    </row>
    <row r="219" spans="1:15" hidden="1" x14ac:dyDescent="0.3">
      <c r="A219" t="s">
        <v>322</v>
      </c>
      <c r="B219" s="2">
        <v>44093</v>
      </c>
      <c r="C219" s="3">
        <v>215454832</v>
      </c>
      <c r="D219" s="4">
        <v>4905072</v>
      </c>
      <c r="E219" s="4">
        <v>184999</v>
      </c>
      <c r="F219">
        <f t="shared" si="30"/>
        <v>2020</v>
      </c>
      <c r="G219" t="str">
        <f t="shared" si="31"/>
        <v>September</v>
      </c>
      <c r="H219" t="str">
        <f t="shared" si="32"/>
        <v>Saturday</v>
      </c>
      <c r="I219">
        <f t="shared" si="33"/>
        <v>2.3624770689756449</v>
      </c>
      <c r="J219">
        <f t="shared" si="34"/>
        <v>22.76612668403742</v>
      </c>
      <c r="K219">
        <f t="shared" si="35"/>
        <v>0.85864400571902699</v>
      </c>
      <c r="L219">
        <f t="shared" si="36"/>
        <v>0.6370803438344621</v>
      </c>
      <c r="M219">
        <f t="shared" si="37"/>
        <v>0.34489188402319282</v>
      </c>
      <c r="N219">
        <f t="shared" si="38"/>
        <v>41</v>
      </c>
      <c r="O219" t="str">
        <f t="shared" si="39"/>
        <v>Other</v>
      </c>
    </row>
    <row r="220" spans="1:15" hidden="1" x14ac:dyDescent="0.3">
      <c r="A220" t="s">
        <v>129</v>
      </c>
      <c r="B220" s="2">
        <v>45773</v>
      </c>
      <c r="C220" s="3">
        <v>212879003</v>
      </c>
      <c r="D220" s="4">
        <v>3278766</v>
      </c>
      <c r="E220" s="4">
        <v>43698</v>
      </c>
      <c r="F220">
        <f t="shared" si="30"/>
        <v>2025</v>
      </c>
      <c r="G220" t="str">
        <f t="shared" si="31"/>
        <v>April</v>
      </c>
      <c r="H220" t="str">
        <f t="shared" si="32"/>
        <v>Saturday</v>
      </c>
      <c r="I220">
        <f t="shared" si="33"/>
        <v>1.5607288427595651</v>
      </c>
      <c r="J220">
        <f t="shared" si="34"/>
        <v>15.402016891257237</v>
      </c>
      <c r="K220">
        <f t="shared" si="35"/>
        <v>0.20527153633841475</v>
      </c>
      <c r="L220">
        <f t="shared" si="36"/>
        <v>0.63603902010875524</v>
      </c>
      <c r="M220">
        <f t="shared" si="37"/>
        <v>0.34186676432751995</v>
      </c>
      <c r="N220">
        <f t="shared" si="38"/>
        <v>37</v>
      </c>
      <c r="O220" t="str">
        <f t="shared" si="39"/>
        <v>Money</v>
      </c>
    </row>
    <row r="221" spans="1:15" hidden="1" x14ac:dyDescent="0.3">
      <c r="A221" t="s">
        <v>332</v>
      </c>
      <c r="B221" s="2">
        <v>44007</v>
      </c>
      <c r="C221" s="3">
        <v>212171978</v>
      </c>
      <c r="D221" s="4">
        <v>3977044</v>
      </c>
      <c r="E221" s="4">
        <v>197616</v>
      </c>
      <c r="F221">
        <f t="shared" si="30"/>
        <v>2020</v>
      </c>
      <c r="G221" t="str">
        <f t="shared" si="31"/>
        <v>June</v>
      </c>
      <c r="H221" t="str">
        <f t="shared" si="32"/>
        <v>Thursday</v>
      </c>
      <c r="I221">
        <f t="shared" si="33"/>
        <v>1.9675831084536526</v>
      </c>
      <c r="J221">
        <f t="shared" si="34"/>
        <v>18.744435704888417</v>
      </c>
      <c r="K221">
        <f t="shared" si="35"/>
        <v>0.93139537964810792</v>
      </c>
      <c r="L221">
        <f t="shared" si="36"/>
        <v>0.63565331644320933</v>
      </c>
      <c r="M221">
        <f t="shared" si="37"/>
        <v>0.34266098954406804</v>
      </c>
      <c r="N221">
        <f t="shared" si="38"/>
        <v>20</v>
      </c>
      <c r="O221" t="str">
        <f t="shared" si="39"/>
        <v>Other</v>
      </c>
    </row>
    <row r="222" spans="1:15" hidden="1" x14ac:dyDescent="0.3">
      <c r="A222" t="s">
        <v>352</v>
      </c>
      <c r="B222" s="2">
        <v>43820</v>
      </c>
      <c r="C222" s="3">
        <v>210997555</v>
      </c>
      <c r="D222" s="4">
        <v>4893643</v>
      </c>
      <c r="E222" s="4">
        <v>127577</v>
      </c>
      <c r="F222">
        <f t="shared" si="30"/>
        <v>2019</v>
      </c>
      <c r="G222" t="str">
        <f t="shared" si="31"/>
        <v>December</v>
      </c>
      <c r="H222" t="str">
        <f t="shared" si="32"/>
        <v>Saturday</v>
      </c>
      <c r="I222">
        <f t="shared" si="33"/>
        <v>2.379752694290699</v>
      </c>
      <c r="J222">
        <f t="shared" si="34"/>
        <v>23.192889604810823</v>
      </c>
      <c r="K222">
        <f t="shared" si="35"/>
        <v>0.60463733809616893</v>
      </c>
      <c r="L222">
        <f t="shared" si="36"/>
        <v>0.63489201307681431</v>
      </c>
      <c r="M222">
        <f t="shared" si="37"/>
        <v>0.3395575960792554</v>
      </c>
      <c r="N222">
        <f t="shared" si="38"/>
        <v>31</v>
      </c>
      <c r="O222" t="str">
        <f t="shared" si="39"/>
        <v>Money</v>
      </c>
    </row>
    <row r="223" spans="1:15" hidden="1" x14ac:dyDescent="0.3">
      <c r="A223" t="s">
        <v>321</v>
      </c>
      <c r="B223" s="2">
        <v>44100</v>
      </c>
      <c r="C223" s="3">
        <v>209202510</v>
      </c>
      <c r="D223" s="4">
        <v>3087983</v>
      </c>
      <c r="E223" s="4">
        <v>71548</v>
      </c>
      <c r="F223">
        <f t="shared" si="30"/>
        <v>2020</v>
      </c>
      <c r="G223" t="str">
        <f t="shared" si="31"/>
        <v>September</v>
      </c>
      <c r="H223" t="str">
        <f t="shared" si="32"/>
        <v>Saturday</v>
      </c>
      <c r="I223">
        <f t="shared" si="33"/>
        <v>1.510273944609938</v>
      </c>
      <c r="J223">
        <f t="shared" si="34"/>
        <v>14.760735901304434</v>
      </c>
      <c r="K223">
        <f t="shared" si="35"/>
        <v>0.34200354479494532</v>
      </c>
      <c r="L223">
        <f t="shared" si="36"/>
        <v>0.63387323536332763</v>
      </c>
      <c r="M223">
        <f t="shared" si="37"/>
        <v>0.33753860040325662</v>
      </c>
      <c r="N223">
        <f t="shared" si="38"/>
        <v>50</v>
      </c>
      <c r="O223" t="str">
        <f t="shared" si="39"/>
        <v>Money</v>
      </c>
    </row>
    <row r="224" spans="1:15" hidden="1" x14ac:dyDescent="0.3">
      <c r="A224" t="s">
        <v>142</v>
      </c>
      <c r="B224" s="2">
        <v>45717</v>
      </c>
      <c r="C224" s="3">
        <v>207750259</v>
      </c>
      <c r="D224" s="4">
        <v>3205495</v>
      </c>
      <c r="E224" s="4">
        <v>86306</v>
      </c>
      <c r="F224">
        <f t="shared" si="30"/>
        <v>2025</v>
      </c>
      <c r="G224" t="str">
        <f t="shared" si="31"/>
        <v>March</v>
      </c>
      <c r="H224" t="str">
        <f t="shared" si="32"/>
        <v>Saturday</v>
      </c>
      <c r="I224">
        <f t="shared" si="33"/>
        <v>1.5844991076521355</v>
      </c>
      <c r="J224">
        <f t="shared" si="34"/>
        <v>15.42955958480899</v>
      </c>
      <c r="K224">
        <f t="shared" si="35"/>
        <v>0.41543149171236415</v>
      </c>
      <c r="L224">
        <f t="shared" si="36"/>
        <v>0.63358283640490909</v>
      </c>
      <c r="M224">
        <f t="shared" si="37"/>
        <v>0.33717167516049518</v>
      </c>
      <c r="N224">
        <f t="shared" si="38"/>
        <v>40</v>
      </c>
      <c r="O224" t="str">
        <f t="shared" si="39"/>
        <v>Money</v>
      </c>
    </row>
    <row r="225" spans="1:15" hidden="1" x14ac:dyDescent="0.3">
      <c r="A225" t="s">
        <v>284</v>
      </c>
      <c r="B225" s="2">
        <v>44639</v>
      </c>
      <c r="C225" s="3">
        <v>207180299</v>
      </c>
      <c r="D225" s="4">
        <v>4173324</v>
      </c>
      <c r="E225" s="4">
        <v>86056</v>
      </c>
      <c r="F225">
        <f t="shared" si="30"/>
        <v>2022</v>
      </c>
      <c r="G225" t="str">
        <f t="shared" si="31"/>
        <v>March</v>
      </c>
      <c r="H225" t="str">
        <f t="shared" si="32"/>
        <v>Saturday</v>
      </c>
      <c r="I225">
        <f t="shared" si="33"/>
        <v>2.0558808055393336</v>
      </c>
      <c r="J225">
        <f t="shared" si="34"/>
        <v>20.143440376056219</v>
      </c>
      <c r="K225">
        <f t="shared" si="35"/>
        <v>0.41536767933711688</v>
      </c>
      <c r="L225">
        <f t="shared" si="36"/>
        <v>0.63320942674842717</v>
      </c>
      <c r="M225">
        <f t="shared" si="37"/>
        <v>0.33630722397263241</v>
      </c>
      <c r="N225">
        <f t="shared" si="38"/>
        <v>40</v>
      </c>
      <c r="O225" t="str">
        <f t="shared" si="39"/>
        <v>Money</v>
      </c>
    </row>
    <row r="226" spans="1:15" hidden="1" x14ac:dyDescent="0.3">
      <c r="A226" t="s">
        <v>313</v>
      </c>
      <c r="B226" s="2">
        <v>44184</v>
      </c>
      <c r="C226" s="3">
        <v>207174741</v>
      </c>
      <c r="D226" s="4">
        <v>5197085</v>
      </c>
      <c r="E226" s="4">
        <v>723459</v>
      </c>
      <c r="F226">
        <f t="shared" si="30"/>
        <v>2020</v>
      </c>
      <c r="G226" t="str">
        <f t="shared" si="31"/>
        <v>December</v>
      </c>
      <c r="H226" t="str">
        <f t="shared" si="32"/>
        <v>Saturday</v>
      </c>
      <c r="I226">
        <f t="shared" si="33"/>
        <v>2.8577537837974178</v>
      </c>
      <c r="J226">
        <f t="shared" si="34"/>
        <v>25.085514647753321</v>
      </c>
      <c r="K226">
        <f t="shared" si="35"/>
        <v>3.4920231902208583</v>
      </c>
      <c r="L226">
        <f t="shared" si="36"/>
        <v>0.63236676835381722</v>
      </c>
      <c r="M226">
        <f t="shared" si="37"/>
        <v>0.3354327672295348</v>
      </c>
      <c r="N226">
        <f t="shared" si="38"/>
        <v>48</v>
      </c>
      <c r="O226" t="str">
        <f t="shared" si="39"/>
        <v>Other</v>
      </c>
    </row>
    <row r="227" spans="1:15" hidden="1" x14ac:dyDescent="0.3">
      <c r="A227" t="s">
        <v>195</v>
      </c>
      <c r="B227" s="2">
        <v>45420</v>
      </c>
      <c r="C227" s="3">
        <v>206596077</v>
      </c>
      <c r="D227" s="4">
        <v>6473102</v>
      </c>
      <c r="E227" s="4">
        <v>12518</v>
      </c>
      <c r="F227">
        <f t="shared" si="30"/>
        <v>2024</v>
      </c>
      <c r="G227" t="str">
        <f t="shared" si="31"/>
        <v>May</v>
      </c>
      <c r="H227" t="str">
        <f t="shared" si="32"/>
        <v>Wednesday</v>
      </c>
      <c r="I227">
        <f t="shared" si="33"/>
        <v>3.1392754858554257</v>
      </c>
      <c r="J227">
        <f t="shared" si="34"/>
        <v>31.332163194947789</v>
      </c>
      <c r="K227">
        <f t="shared" si="35"/>
        <v>6.0591663606468185E-2</v>
      </c>
      <c r="L227">
        <f t="shared" si="36"/>
        <v>0.63132628819968029</v>
      </c>
      <c r="M227">
        <f t="shared" si="37"/>
        <v>0.37107608663980213</v>
      </c>
      <c r="N227">
        <f t="shared" si="38"/>
        <v>34</v>
      </c>
      <c r="O227" t="str">
        <f t="shared" si="39"/>
        <v>Money</v>
      </c>
    </row>
    <row r="228" spans="1:15" hidden="1" x14ac:dyDescent="0.3">
      <c r="A228" t="s">
        <v>396</v>
      </c>
      <c r="B228" s="2">
        <v>43573</v>
      </c>
      <c r="C228" s="3">
        <v>206559058</v>
      </c>
      <c r="D228" s="4">
        <v>4395170</v>
      </c>
      <c r="E228" s="4">
        <v>81195</v>
      </c>
      <c r="F228">
        <f t="shared" si="30"/>
        <v>2019</v>
      </c>
      <c r="G228" t="str">
        <f t="shared" si="31"/>
        <v>April</v>
      </c>
      <c r="H228" t="str">
        <f t="shared" si="32"/>
        <v>Thursday</v>
      </c>
      <c r="I228">
        <f t="shared" si="33"/>
        <v>2.1671114514861896</v>
      </c>
      <c r="J228">
        <f t="shared" si="34"/>
        <v>21.278030808990231</v>
      </c>
      <c r="K228">
        <f t="shared" si="35"/>
        <v>0.39308370587166408</v>
      </c>
      <c r="L228">
        <f t="shared" si="36"/>
        <v>0.63050631255462375</v>
      </c>
      <c r="M228">
        <f t="shared" si="37"/>
        <v>0.37346008858942598</v>
      </c>
      <c r="N228">
        <f t="shared" si="38"/>
        <v>31</v>
      </c>
      <c r="O228" t="str">
        <f t="shared" si="39"/>
        <v>Other</v>
      </c>
    </row>
    <row r="229" spans="1:15" hidden="1" x14ac:dyDescent="0.3">
      <c r="A229" t="s">
        <v>120</v>
      </c>
      <c r="B229" s="2">
        <v>45805</v>
      </c>
      <c r="C229" s="3">
        <v>206175881</v>
      </c>
      <c r="D229" s="4">
        <v>3746813</v>
      </c>
      <c r="E229" s="4">
        <v>8154</v>
      </c>
      <c r="F229">
        <f t="shared" si="30"/>
        <v>2025</v>
      </c>
      <c r="G229" t="str">
        <f t="shared" si="31"/>
        <v>May</v>
      </c>
      <c r="H229" t="str">
        <f t="shared" si="32"/>
        <v>Wednesday</v>
      </c>
      <c r="I229">
        <f t="shared" si="33"/>
        <v>1.8212445518785001</v>
      </c>
      <c r="J229">
        <f t="shared" si="34"/>
        <v>18.172896760897071</v>
      </c>
      <c r="K229">
        <f t="shared" si="35"/>
        <v>3.9548757887931614E-2</v>
      </c>
      <c r="L229">
        <f t="shared" si="36"/>
        <v>0.62955249228135401</v>
      </c>
      <c r="M229">
        <f t="shared" si="37"/>
        <v>0.37249843833086999</v>
      </c>
      <c r="N229">
        <f t="shared" si="38"/>
        <v>19</v>
      </c>
      <c r="O229" t="str">
        <f t="shared" si="39"/>
        <v>Other</v>
      </c>
    </row>
    <row r="230" spans="1:15" hidden="1" x14ac:dyDescent="0.3">
      <c r="A230" t="s">
        <v>78</v>
      </c>
      <c r="B230" s="2">
        <v>45955</v>
      </c>
      <c r="C230" s="3">
        <v>206102085</v>
      </c>
      <c r="D230" s="4">
        <v>3464916</v>
      </c>
      <c r="E230" s="4">
        <v>61637</v>
      </c>
      <c r="F230">
        <f t="shared" si="30"/>
        <v>2025</v>
      </c>
      <c r="G230" t="str">
        <f t="shared" si="31"/>
        <v>October</v>
      </c>
      <c r="H230" t="str">
        <f t="shared" si="32"/>
        <v>Saturday</v>
      </c>
      <c r="I230">
        <f t="shared" si="33"/>
        <v>1.7110709966859385</v>
      </c>
      <c r="J230">
        <f t="shared" si="34"/>
        <v>16.811649430911871</v>
      </c>
      <c r="K230">
        <f t="shared" si="35"/>
        <v>0.29906053594751358</v>
      </c>
      <c r="L230">
        <f t="shared" si="36"/>
        <v>0.62882158364518337</v>
      </c>
      <c r="M230">
        <f t="shared" si="37"/>
        <v>0.37514918636632993</v>
      </c>
      <c r="N230">
        <f t="shared" si="38"/>
        <v>32</v>
      </c>
      <c r="O230" t="str">
        <f t="shared" si="39"/>
        <v>Other</v>
      </c>
    </row>
    <row r="231" spans="1:15" hidden="1" x14ac:dyDescent="0.3">
      <c r="A231" t="s">
        <v>172</v>
      </c>
      <c r="B231" s="2">
        <v>45563</v>
      </c>
      <c r="C231" s="3">
        <v>203770574</v>
      </c>
      <c r="D231" s="4">
        <v>3449182</v>
      </c>
      <c r="E231" s="4">
        <v>29883</v>
      </c>
      <c r="F231">
        <f t="shared" si="30"/>
        <v>2024</v>
      </c>
      <c r="G231" t="str">
        <f t="shared" si="31"/>
        <v>September</v>
      </c>
      <c r="H231" t="str">
        <f t="shared" si="32"/>
        <v>Saturday</v>
      </c>
      <c r="I231">
        <f t="shared" si="33"/>
        <v>1.7073441624598851</v>
      </c>
      <c r="J231">
        <f t="shared" si="34"/>
        <v>16.926791402177628</v>
      </c>
      <c r="K231">
        <f t="shared" si="35"/>
        <v>0.14665022242122161</v>
      </c>
      <c r="L231">
        <f t="shared" si="36"/>
        <v>0.62822089795241376</v>
      </c>
      <c r="M231">
        <f t="shared" si="37"/>
        <v>0.37494671198811608</v>
      </c>
      <c r="N231">
        <f t="shared" si="38"/>
        <v>38</v>
      </c>
      <c r="O231" t="str">
        <f t="shared" si="39"/>
        <v>Money</v>
      </c>
    </row>
    <row r="232" spans="1:15" hidden="1" x14ac:dyDescent="0.3">
      <c r="A232" t="s">
        <v>346</v>
      </c>
      <c r="B232" s="2">
        <v>43862</v>
      </c>
      <c r="C232" s="3">
        <v>203332081</v>
      </c>
      <c r="D232" s="4">
        <v>4139349</v>
      </c>
      <c r="E232" s="4">
        <v>97481</v>
      </c>
      <c r="F232">
        <f t="shared" si="30"/>
        <v>2020</v>
      </c>
      <c r="G232" t="str">
        <f t="shared" si="31"/>
        <v>February</v>
      </c>
      <c r="H232" t="str">
        <f t="shared" si="32"/>
        <v>Saturday</v>
      </c>
      <c r="I232">
        <f t="shared" si="33"/>
        <v>2.0836997187866286</v>
      </c>
      <c r="J232">
        <f t="shared" si="34"/>
        <v>20.357579481026409</v>
      </c>
      <c r="K232">
        <f t="shared" si="35"/>
        <v>0.47941770683987639</v>
      </c>
      <c r="L232">
        <f t="shared" si="36"/>
        <v>0.62762922415386146</v>
      </c>
      <c r="M232">
        <f t="shared" si="37"/>
        <v>0.37628363255173275</v>
      </c>
      <c r="N232">
        <f t="shared" si="38"/>
        <v>38</v>
      </c>
      <c r="O232" t="str">
        <f t="shared" si="39"/>
        <v>Other</v>
      </c>
    </row>
    <row r="233" spans="1:15" hidden="1" x14ac:dyDescent="0.3">
      <c r="A233" t="s">
        <v>291</v>
      </c>
      <c r="B233" s="2">
        <v>44492</v>
      </c>
      <c r="C233" s="3">
        <v>202095557</v>
      </c>
      <c r="D233" s="4">
        <v>4819480</v>
      </c>
      <c r="E233" s="4">
        <v>126427</v>
      </c>
      <c r="F233">
        <f t="shared" si="30"/>
        <v>2021</v>
      </c>
      <c r="G233" t="str">
        <f t="shared" si="31"/>
        <v>October</v>
      </c>
      <c r="H233" t="str">
        <f t="shared" si="32"/>
        <v>Saturday</v>
      </c>
      <c r="I233">
        <f t="shared" si="33"/>
        <v>2.4473111004612536</v>
      </c>
      <c r="J233">
        <f t="shared" si="34"/>
        <v>23.847530700538854</v>
      </c>
      <c r="K233">
        <f t="shared" si="35"/>
        <v>0.62558030407368126</v>
      </c>
      <c r="L233">
        <f t="shared" si="36"/>
        <v>0.62673162408702154</v>
      </c>
      <c r="M233">
        <f t="shared" si="37"/>
        <v>0.37477928112822423</v>
      </c>
      <c r="N233">
        <f t="shared" si="38"/>
        <v>43</v>
      </c>
      <c r="O233" t="str">
        <f t="shared" si="39"/>
        <v>Other</v>
      </c>
    </row>
    <row r="234" spans="1:15" hidden="1" x14ac:dyDescent="0.3">
      <c r="A234" t="s">
        <v>155</v>
      </c>
      <c r="B234" s="2">
        <v>45645</v>
      </c>
      <c r="C234" s="3">
        <v>202042205</v>
      </c>
      <c r="D234" s="4">
        <v>4660535</v>
      </c>
      <c r="E234" s="4">
        <v>51724</v>
      </c>
      <c r="F234">
        <f t="shared" si="30"/>
        <v>2024</v>
      </c>
      <c r="G234" t="str">
        <f t="shared" si="31"/>
        <v>December</v>
      </c>
      <c r="H234" t="str">
        <f t="shared" si="32"/>
        <v>Thursday</v>
      </c>
      <c r="I234">
        <f t="shared" si="33"/>
        <v>2.3323141815839912</v>
      </c>
      <c r="J234">
        <f t="shared" si="34"/>
        <v>23.067135898660382</v>
      </c>
      <c r="K234">
        <f t="shared" si="35"/>
        <v>0.25600591717953186</v>
      </c>
      <c r="L234">
        <f t="shared" si="36"/>
        <v>0.62568876159938813</v>
      </c>
      <c r="M234">
        <f t="shared" si="37"/>
        <v>0.3725767218679753</v>
      </c>
      <c r="N234">
        <f t="shared" si="38"/>
        <v>33</v>
      </c>
      <c r="O234" t="str">
        <f t="shared" si="39"/>
        <v>Money</v>
      </c>
    </row>
    <row r="235" spans="1:15" hidden="1" x14ac:dyDescent="0.3">
      <c r="A235" t="s">
        <v>90</v>
      </c>
      <c r="B235" s="2">
        <v>45919</v>
      </c>
      <c r="C235" s="3">
        <v>199258935</v>
      </c>
      <c r="D235" s="4">
        <v>3703043</v>
      </c>
      <c r="E235" s="4">
        <v>11170</v>
      </c>
      <c r="F235">
        <f t="shared" si="30"/>
        <v>2025</v>
      </c>
      <c r="G235" t="str">
        <f t="shared" si="31"/>
        <v>September</v>
      </c>
      <c r="H235" t="str">
        <f t="shared" si="32"/>
        <v>Friday</v>
      </c>
      <c r="I235">
        <f t="shared" si="33"/>
        <v>1.8640132749881455</v>
      </c>
      <c r="J235">
        <f t="shared" si="34"/>
        <v>18.584075037839582</v>
      </c>
      <c r="K235">
        <f t="shared" si="35"/>
        <v>5.6057712041871544E-2</v>
      </c>
      <c r="L235">
        <f t="shared" si="36"/>
        <v>0.6246501693086699</v>
      </c>
      <c r="M235">
        <f t="shared" si="37"/>
        <v>0.37276989101960956</v>
      </c>
      <c r="N235">
        <f t="shared" si="38"/>
        <v>36</v>
      </c>
      <c r="O235" t="str">
        <f t="shared" si="39"/>
        <v>Other</v>
      </c>
    </row>
    <row r="236" spans="1:15" hidden="1" x14ac:dyDescent="0.3">
      <c r="A236" t="s">
        <v>379</v>
      </c>
      <c r="B236" s="2">
        <v>43679</v>
      </c>
      <c r="C236" s="3">
        <v>199179185</v>
      </c>
      <c r="D236" s="4">
        <v>4037852</v>
      </c>
      <c r="E236" s="4">
        <v>100250</v>
      </c>
      <c r="F236">
        <f t="shared" si="30"/>
        <v>2019</v>
      </c>
      <c r="G236" t="str">
        <f t="shared" si="31"/>
        <v>August</v>
      </c>
      <c r="H236" t="str">
        <f t="shared" si="32"/>
        <v>Friday</v>
      </c>
      <c r="I236">
        <f t="shared" si="33"/>
        <v>2.0775775340179248</v>
      </c>
      <c r="J236">
        <f t="shared" si="34"/>
        <v>20.272459695022853</v>
      </c>
      <c r="K236">
        <f t="shared" si="35"/>
        <v>0.50331564515639526</v>
      </c>
      <c r="L236">
        <f t="shared" si="36"/>
        <v>0.6239088702388611</v>
      </c>
      <c r="M236">
        <f t="shared" si="37"/>
        <v>0.37509971553697413</v>
      </c>
      <c r="N236">
        <f t="shared" si="38"/>
        <v>36</v>
      </c>
      <c r="O236" t="str">
        <f t="shared" si="39"/>
        <v>Other</v>
      </c>
    </row>
    <row r="237" spans="1:15" hidden="1" x14ac:dyDescent="0.3">
      <c r="A237" t="s">
        <v>214</v>
      </c>
      <c r="B237" s="2">
        <v>45304</v>
      </c>
      <c r="C237" s="3">
        <v>196948826</v>
      </c>
      <c r="D237" s="4">
        <v>4830286</v>
      </c>
      <c r="E237" s="4">
        <v>70584</v>
      </c>
      <c r="F237">
        <f t="shared" si="30"/>
        <v>2024</v>
      </c>
      <c r="G237" t="str">
        <f t="shared" si="31"/>
        <v>January</v>
      </c>
      <c r="H237" t="str">
        <f t="shared" si="32"/>
        <v>Saturday</v>
      </c>
      <c r="I237">
        <f t="shared" si="33"/>
        <v>2.4883976713829208</v>
      </c>
      <c r="J237">
        <f t="shared" si="34"/>
        <v>24.525589200516482</v>
      </c>
      <c r="K237">
        <f t="shared" si="35"/>
        <v>0.35838751331272217</v>
      </c>
      <c r="L237">
        <f t="shared" si="36"/>
        <v>0.62302838756668877</v>
      </c>
      <c r="M237">
        <f t="shared" si="37"/>
        <v>0.37350875722751486</v>
      </c>
      <c r="N237">
        <f t="shared" si="38"/>
        <v>25</v>
      </c>
      <c r="O237" t="str">
        <f t="shared" si="39"/>
        <v>Money</v>
      </c>
    </row>
    <row r="238" spans="1:15" hidden="1" x14ac:dyDescent="0.3">
      <c r="A238" t="s">
        <v>60</v>
      </c>
      <c r="B238" s="2">
        <v>46011</v>
      </c>
      <c r="C238" s="3">
        <v>196769691</v>
      </c>
      <c r="D238" s="4">
        <v>3041806</v>
      </c>
      <c r="E238" s="4">
        <v>112972</v>
      </c>
      <c r="F238">
        <f t="shared" si="30"/>
        <v>2025</v>
      </c>
      <c r="G238" t="str">
        <f t="shared" si="31"/>
        <v>December</v>
      </c>
      <c r="H238" t="str">
        <f t="shared" si="32"/>
        <v>Saturday</v>
      </c>
      <c r="I238">
        <f t="shared" si="33"/>
        <v>1.6032845221066083</v>
      </c>
      <c r="J238">
        <f t="shared" si="34"/>
        <v>15.458712083864583</v>
      </c>
      <c r="K238">
        <f t="shared" si="35"/>
        <v>0.57413313720150128</v>
      </c>
      <c r="L238">
        <f t="shared" si="36"/>
        <v>0.62200844155085999</v>
      </c>
      <c r="M238">
        <f t="shared" si="37"/>
        <v>0.37288849779194694</v>
      </c>
      <c r="N238">
        <f t="shared" si="38"/>
        <v>48</v>
      </c>
      <c r="O238" t="str">
        <f t="shared" si="39"/>
        <v>Money</v>
      </c>
    </row>
    <row r="239" spans="1:15" hidden="1" x14ac:dyDescent="0.3">
      <c r="A239" t="s">
        <v>392</v>
      </c>
      <c r="B239" s="2">
        <v>43592</v>
      </c>
      <c r="C239" s="3">
        <v>192874173</v>
      </c>
      <c r="D239" s="4">
        <v>3040800</v>
      </c>
      <c r="E239" s="4">
        <v>67408</v>
      </c>
      <c r="F239">
        <f t="shared" si="30"/>
        <v>2019</v>
      </c>
      <c r="G239" t="str">
        <f t="shared" si="31"/>
        <v>May</v>
      </c>
      <c r="H239" t="str">
        <f t="shared" si="32"/>
        <v>Tuesday</v>
      </c>
      <c r="I239">
        <f t="shared" si="33"/>
        <v>1.6115211029317025</v>
      </c>
      <c r="J239">
        <f t="shared" si="34"/>
        <v>15.765718928059901</v>
      </c>
      <c r="K239">
        <f t="shared" si="35"/>
        <v>0.34949210125712377</v>
      </c>
      <c r="L239">
        <f t="shared" si="36"/>
        <v>0.6215885927320407</v>
      </c>
      <c r="M239">
        <f t="shared" si="37"/>
        <v>0.37097040829498507</v>
      </c>
      <c r="N239">
        <f t="shared" si="38"/>
        <v>40</v>
      </c>
      <c r="O239" t="str">
        <f t="shared" si="39"/>
        <v>Other</v>
      </c>
    </row>
    <row r="240" spans="1:15" hidden="1" x14ac:dyDescent="0.3">
      <c r="A240" t="s">
        <v>401</v>
      </c>
      <c r="B240" s="2">
        <v>43540</v>
      </c>
      <c r="C240" s="3">
        <v>191435982</v>
      </c>
      <c r="D240" s="4">
        <v>3449341</v>
      </c>
      <c r="E240" s="4">
        <v>96705</v>
      </c>
      <c r="F240">
        <f t="shared" si="30"/>
        <v>2019</v>
      </c>
      <c r="G240" t="str">
        <f t="shared" si="31"/>
        <v>March</v>
      </c>
      <c r="H240" t="str">
        <f t="shared" si="32"/>
        <v>Saturday</v>
      </c>
      <c r="I240">
        <f t="shared" si="33"/>
        <v>1.8523403818619637</v>
      </c>
      <c r="J240">
        <f t="shared" si="34"/>
        <v>18.018248001047159</v>
      </c>
      <c r="K240">
        <f t="shared" si="35"/>
        <v>0.50515581757247707</v>
      </c>
      <c r="L240">
        <f t="shared" si="36"/>
        <v>0.62117188353666319</v>
      </c>
      <c r="M240">
        <f t="shared" si="37"/>
        <v>0.37046561114428289</v>
      </c>
      <c r="N240">
        <f t="shared" si="38"/>
        <v>39</v>
      </c>
      <c r="O240" t="str">
        <f t="shared" si="39"/>
        <v>Other</v>
      </c>
    </row>
    <row r="241" spans="1:15" hidden="1" x14ac:dyDescent="0.3">
      <c r="A241" t="s">
        <v>297</v>
      </c>
      <c r="B241" s="2">
        <v>44387</v>
      </c>
      <c r="C241" s="3">
        <v>190915303</v>
      </c>
      <c r="D241" s="4">
        <v>3710444</v>
      </c>
      <c r="E241" s="4">
        <v>83024</v>
      </c>
      <c r="F241">
        <f t="shared" si="30"/>
        <v>2021</v>
      </c>
      <c r="G241" t="str">
        <f t="shared" si="31"/>
        <v>July</v>
      </c>
      <c r="H241" t="str">
        <f t="shared" si="32"/>
        <v>Saturday</v>
      </c>
      <c r="I241">
        <f t="shared" si="33"/>
        <v>1.986990010957896</v>
      </c>
      <c r="J241">
        <f t="shared" si="34"/>
        <v>19.435026641106923</v>
      </c>
      <c r="K241">
        <f t="shared" si="35"/>
        <v>0.43487346847203762</v>
      </c>
      <c r="L241">
        <f t="shared" si="36"/>
        <v>0.62053843372014239</v>
      </c>
      <c r="M241">
        <f t="shared" si="37"/>
        <v>0.36900990982870291</v>
      </c>
      <c r="N241">
        <f t="shared" si="38"/>
        <v>35</v>
      </c>
      <c r="O241" t="str">
        <f t="shared" si="39"/>
        <v>Money</v>
      </c>
    </row>
    <row r="242" spans="1:15" hidden="1" x14ac:dyDescent="0.3">
      <c r="A242" t="s">
        <v>422</v>
      </c>
      <c r="B242" s="2">
        <v>43442</v>
      </c>
      <c r="C242" s="3">
        <v>190677455</v>
      </c>
      <c r="D242" s="4">
        <v>2854575</v>
      </c>
      <c r="E242" s="4">
        <v>64214</v>
      </c>
      <c r="F242">
        <f t="shared" si="30"/>
        <v>2018</v>
      </c>
      <c r="G242" t="str">
        <f t="shared" si="31"/>
        <v>December</v>
      </c>
      <c r="H242" t="str">
        <f t="shared" si="32"/>
        <v>Saturday</v>
      </c>
      <c r="I242">
        <f t="shared" si="33"/>
        <v>1.5307467786372542</v>
      </c>
      <c r="J242">
        <f t="shared" si="34"/>
        <v>14.970700128129987</v>
      </c>
      <c r="K242">
        <f t="shared" si="35"/>
        <v>0.33676765824255417</v>
      </c>
      <c r="L242">
        <f t="shared" si="36"/>
        <v>0.61979074582128357</v>
      </c>
      <c r="M242">
        <f t="shared" si="37"/>
        <v>0.36794409397275979</v>
      </c>
      <c r="N242">
        <f t="shared" si="38"/>
        <v>48</v>
      </c>
      <c r="O242" t="str">
        <f t="shared" si="39"/>
        <v>Other</v>
      </c>
    </row>
    <row r="243" spans="1:15" hidden="1" x14ac:dyDescent="0.3">
      <c r="A243" t="s">
        <v>134</v>
      </c>
      <c r="B243" s="2">
        <v>45752</v>
      </c>
      <c r="C243" s="3">
        <v>190125569</v>
      </c>
      <c r="D243" s="4">
        <v>2919224</v>
      </c>
      <c r="E243" s="4">
        <v>9588</v>
      </c>
      <c r="F243">
        <f t="shared" si="30"/>
        <v>2025</v>
      </c>
      <c r="G243" t="str">
        <f t="shared" si="31"/>
        <v>April</v>
      </c>
      <c r="H243" t="str">
        <f t="shared" si="32"/>
        <v>Saturday</v>
      </c>
      <c r="I243">
        <f t="shared" si="33"/>
        <v>1.5404619249292029</v>
      </c>
      <c r="J243">
        <f t="shared" si="34"/>
        <v>15.354189419940672</v>
      </c>
      <c r="K243">
        <f t="shared" si="35"/>
        <v>5.042982935135884E-2</v>
      </c>
      <c r="L243">
        <f t="shared" si="36"/>
        <v>0.61946529723732735</v>
      </c>
      <c r="M243">
        <f t="shared" si="37"/>
        <v>0.36752585493131229</v>
      </c>
      <c r="N243">
        <f t="shared" si="38"/>
        <v>18</v>
      </c>
      <c r="O243" t="str">
        <f t="shared" si="39"/>
        <v>Other</v>
      </c>
    </row>
    <row r="244" spans="1:15" hidden="1" x14ac:dyDescent="0.3">
      <c r="A244" t="s">
        <v>307</v>
      </c>
      <c r="B244" s="2">
        <v>44261</v>
      </c>
      <c r="C244" s="3">
        <v>189959380</v>
      </c>
      <c r="D244" s="4">
        <v>4096397</v>
      </c>
      <c r="E244" s="4">
        <v>116904</v>
      </c>
      <c r="F244">
        <f t="shared" si="30"/>
        <v>2021</v>
      </c>
      <c r="G244" t="str">
        <f t="shared" si="31"/>
        <v>March</v>
      </c>
      <c r="H244" t="str">
        <f t="shared" si="32"/>
        <v>Saturday</v>
      </c>
      <c r="I244">
        <f t="shared" si="33"/>
        <v>2.2180010273775372</v>
      </c>
      <c r="J244">
        <f t="shared" si="34"/>
        <v>21.564594493833365</v>
      </c>
      <c r="K244">
        <f t="shared" si="35"/>
        <v>0.61541577994200647</v>
      </c>
      <c r="L244">
        <f t="shared" si="36"/>
        <v>0.61909244688698273</v>
      </c>
      <c r="M244">
        <f t="shared" si="37"/>
        <v>0.36976599267384919</v>
      </c>
      <c r="N244">
        <f t="shared" si="38"/>
        <v>22</v>
      </c>
      <c r="O244" t="str">
        <f t="shared" si="39"/>
        <v>Money</v>
      </c>
    </row>
    <row r="245" spans="1:15" hidden="1" x14ac:dyDescent="0.3">
      <c r="A245" t="s">
        <v>377</v>
      </c>
      <c r="B245" s="2">
        <v>43692</v>
      </c>
      <c r="C245" s="3">
        <v>189791887</v>
      </c>
      <c r="D245" s="4">
        <v>3032302</v>
      </c>
      <c r="E245" s="4">
        <v>67674</v>
      </c>
      <c r="F245">
        <f t="shared" si="30"/>
        <v>2019</v>
      </c>
      <c r="G245" t="str">
        <f t="shared" si="31"/>
        <v>August</v>
      </c>
      <c r="H245" t="str">
        <f t="shared" si="32"/>
        <v>Thursday</v>
      </c>
      <c r="I245">
        <f t="shared" si="33"/>
        <v>1.6333553815184945</v>
      </c>
      <c r="J245">
        <f t="shared" si="34"/>
        <v>15.976984305972993</v>
      </c>
      <c r="K245">
        <f t="shared" si="35"/>
        <v>0.35656950921195063</v>
      </c>
      <c r="L245">
        <f t="shared" si="36"/>
        <v>0.61820015838489384</v>
      </c>
      <c r="M245">
        <f t="shared" si="37"/>
        <v>0.36779669046026608</v>
      </c>
      <c r="N245">
        <f t="shared" si="38"/>
        <v>33</v>
      </c>
      <c r="O245" t="str">
        <f t="shared" si="39"/>
        <v>Other</v>
      </c>
    </row>
    <row r="246" spans="1:15" hidden="1" x14ac:dyDescent="0.3">
      <c r="A246" t="s">
        <v>341</v>
      </c>
      <c r="B246" s="2">
        <v>43911</v>
      </c>
      <c r="C246" s="3">
        <v>189158865</v>
      </c>
      <c r="D246" s="4">
        <v>3538885</v>
      </c>
      <c r="E246" s="4">
        <v>70263</v>
      </c>
      <c r="F246">
        <f t="shared" si="30"/>
        <v>2020</v>
      </c>
      <c r="G246" t="str">
        <f t="shared" si="31"/>
        <v>March</v>
      </c>
      <c r="H246" t="str">
        <f t="shared" si="32"/>
        <v>Saturday</v>
      </c>
      <c r="I246">
        <f t="shared" si="33"/>
        <v>1.9079983377992886</v>
      </c>
      <c r="J246">
        <f t="shared" si="34"/>
        <v>18.708533697323674</v>
      </c>
      <c r="K246">
        <f t="shared" si="35"/>
        <v>0.37144968066920891</v>
      </c>
      <c r="L246">
        <f t="shared" si="36"/>
        <v>0.61774032595513384</v>
      </c>
      <c r="M246">
        <f t="shared" si="37"/>
        <v>0.36721094951729299</v>
      </c>
      <c r="N246">
        <f t="shared" si="38"/>
        <v>45</v>
      </c>
      <c r="O246" t="str">
        <f t="shared" si="39"/>
        <v>Other</v>
      </c>
    </row>
    <row r="247" spans="1:15" hidden="1" x14ac:dyDescent="0.3">
      <c r="A247" t="s">
        <v>374</v>
      </c>
      <c r="B247" s="2">
        <v>43701</v>
      </c>
      <c r="C247" s="3">
        <v>188398376</v>
      </c>
      <c r="D247" s="4">
        <v>3361888</v>
      </c>
      <c r="E247" s="4">
        <v>81573</v>
      </c>
      <c r="F247">
        <f t="shared" si="30"/>
        <v>2019</v>
      </c>
      <c r="G247" t="str">
        <f t="shared" si="31"/>
        <v>August</v>
      </c>
      <c r="H247" t="str">
        <f t="shared" si="32"/>
        <v>Saturday</v>
      </c>
      <c r="I247">
        <f t="shared" si="33"/>
        <v>1.8277551394604377</v>
      </c>
      <c r="J247">
        <f t="shared" si="34"/>
        <v>17.844569955316388</v>
      </c>
      <c r="K247">
        <f t="shared" si="35"/>
        <v>0.43298143928799043</v>
      </c>
      <c r="L247">
        <f t="shared" si="36"/>
        <v>0.61701928567908004</v>
      </c>
      <c r="M247">
        <f t="shared" si="37"/>
        <v>0.36651795968390932</v>
      </c>
      <c r="N247">
        <f t="shared" si="38"/>
        <v>38</v>
      </c>
      <c r="O247" t="str">
        <f t="shared" si="39"/>
        <v>Money</v>
      </c>
    </row>
    <row r="248" spans="1:15" hidden="1" x14ac:dyDescent="0.3">
      <c r="A248" t="s">
        <v>118</v>
      </c>
      <c r="B248" s="2">
        <v>45815</v>
      </c>
      <c r="C248" s="3">
        <v>187000357</v>
      </c>
      <c r="D248" s="4">
        <v>3613738</v>
      </c>
      <c r="E248" s="4">
        <v>63335</v>
      </c>
      <c r="F248">
        <f t="shared" si="30"/>
        <v>2025</v>
      </c>
      <c r="G248" t="str">
        <f t="shared" si="31"/>
        <v>June</v>
      </c>
      <c r="H248" t="str">
        <f t="shared" si="32"/>
        <v>Saturday</v>
      </c>
      <c r="I248">
        <f t="shared" si="33"/>
        <v>1.9663454439287513</v>
      </c>
      <c r="J248">
        <f t="shared" si="34"/>
        <v>19.32476524630378</v>
      </c>
      <c r="K248">
        <f t="shared" si="35"/>
        <v>0.33868919298373318</v>
      </c>
      <c r="L248">
        <f t="shared" si="36"/>
        <v>0.61637149049262818</v>
      </c>
      <c r="M248">
        <f t="shared" si="37"/>
        <v>0.36541725914140011</v>
      </c>
      <c r="N248">
        <f t="shared" si="38"/>
        <v>19</v>
      </c>
      <c r="O248" t="str">
        <f t="shared" si="39"/>
        <v>Money</v>
      </c>
    </row>
    <row r="249" spans="1:15" hidden="1" x14ac:dyDescent="0.3">
      <c r="A249" t="s">
        <v>327</v>
      </c>
      <c r="B249" s="2">
        <v>44056</v>
      </c>
      <c r="C249" s="3">
        <v>186585400</v>
      </c>
      <c r="D249" s="4">
        <v>4011016</v>
      </c>
      <c r="E249" s="4">
        <v>126824</v>
      </c>
      <c r="F249">
        <f t="shared" si="30"/>
        <v>2020</v>
      </c>
      <c r="G249" t="str">
        <f t="shared" si="31"/>
        <v>August</v>
      </c>
      <c r="H249" t="str">
        <f t="shared" si="32"/>
        <v>Thursday</v>
      </c>
      <c r="I249">
        <f t="shared" si="33"/>
        <v>2.2176654765056645</v>
      </c>
      <c r="J249">
        <f t="shared" si="34"/>
        <v>21.496944562650668</v>
      </c>
      <c r="K249">
        <f t="shared" si="35"/>
        <v>0.67971020240597602</v>
      </c>
      <c r="L249">
        <f t="shared" si="36"/>
        <v>0.61561520638395395</v>
      </c>
      <c r="M249">
        <f t="shared" si="37"/>
        <v>0.36497102174829704</v>
      </c>
      <c r="N249">
        <f t="shared" si="38"/>
        <v>25</v>
      </c>
      <c r="O249" t="str">
        <f t="shared" si="39"/>
        <v>Other</v>
      </c>
    </row>
    <row r="250" spans="1:15" hidden="1" x14ac:dyDescent="0.3">
      <c r="A250" t="s">
        <v>138</v>
      </c>
      <c r="B250" s="2">
        <v>45738</v>
      </c>
      <c r="C250" s="3">
        <v>186541093</v>
      </c>
      <c r="D250" s="4">
        <v>3333829</v>
      </c>
      <c r="E250" s="4">
        <v>55550</v>
      </c>
      <c r="F250">
        <f t="shared" si="30"/>
        <v>2025</v>
      </c>
      <c r="G250" t="str">
        <f t="shared" si="31"/>
        <v>March</v>
      </c>
      <c r="H250" t="str">
        <f t="shared" si="32"/>
        <v>Saturday</v>
      </c>
      <c r="I250">
        <f t="shared" si="33"/>
        <v>1.816961048898754</v>
      </c>
      <c r="J250">
        <f t="shared" si="34"/>
        <v>17.871820875414297</v>
      </c>
      <c r="K250">
        <f t="shared" si="35"/>
        <v>0.29778961357324096</v>
      </c>
      <c r="L250">
        <f t="shared" si="36"/>
        <v>0.61472170489530009</v>
      </c>
      <c r="M250">
        <f t="shared" si="37"/>
        <v>0.3627876320593949</v>
      </c>
      <c r="N250">
        <f t="shared" si="38"/>
        <v>42</v>
      </c>
      <c r="O250" t="str">
        <f t="shared" si="39"/>
        <v>Survival</v>
      </c>
    </row>
    <row r="251" spans="1:15" hidden="1" x14ac:dyDescent="0.3">
      <c r="A251" t="s">
        <v>178</v>
      </c>
      <c r="B251" s="2">
        <v>45521</v>
      </c>
      <c r="C251" s="3">
        <v>185104411</v>
      </c>
      <c r="D251" s="4">
        <v>4692253</v>
      </c>
      <c r="E251" s="4">
        <v>94504</v>
      </c>
      <c r="F251">
        <f t="shared" si="30"/>
        <v>2024</v>
      </c>
      <c r="G251" t="str">
        <f t="shared" si="31"/>
        <v>August</v>
      </c>
      <c r="H251" t="str">
        <f t="shared" si="32"/>
        <v>Saturday</v>
      </c>
      <c r="I251">
        <f t="shared" si="33"/>
        <v>2.5859767328829348</v>
      </c>
      <c r="J251">
        <f t="shared" si="34"/>
        <v>25.349223039314822</v>
      </c>
      <c r="K251">
        <f t="shared" si="35"/>
        <v>0.51054428951452702</v>
      </c>
      <c r="L251">
        <f t="shared" si="36"/>
        <v>0.614064294073845</v>
      </c>
      <c r="M251">
        <f t="shared" si="37"/>
        <v>0.3626124751278067</v>
      </c>
      <c r="N251">
        <f t="shared" si="38"/>
        <v>25</v>
      </c>
      <c r="O251" t="str">
        <f t="shared" si="39"/>
        <v>Survival</v>
      </c>
    </row>
    <row r="252" spans="1:15" hidden="1" x14ac:dyDescent="0.3">
      <c r="A252" t="s">
        <v>205</v>
      </c>
      <c r="B252" s="2">
        <v>45370</v>
      </c>
      <c r="C252" s="3">
        <v>184935258</v>
      </c>
      <c r="D252" s="4">
        <v>7981157</v>
      </c>
      <c r="E252" s="4">
        <v>95609</v>
      </c>
      <c r="F252">
        <f t="shared" si="30"/>
        <v>2024</v>
      </c>
      <c r="G252" t="str">
        <f t="shared" si="31"/>
        <v>March</v>
      </c>
      <c r="H252" t="str">
        <f t="shared" si="32"/>
        <v>Tuesday</v>
      </c>
      <c r="I252">
        <f t="shared" si="33"/>
        <v>4.3673478423459953</v>
      </c>
      <c r="J252">
        <f t="shared" si="34"/>
        <v>43.156492095195823</v>
      </c>
      <c r="K252">
        <f t="shared" si="35"/>
        <v>0.51698632826413238</v>
      </c>
      <c r="L252">
        <f t="shared" si="36"/>
        <v>0.6130642398713374</v>
      </c>
      <c r="M252">
        <f t="shared" si="37"/>
        <v>0.36110408677284511</v>
      </c>
      <c r="N252">
        <f t="shared" si="38"/>
        <v>30</v>
      </c>
      <c r="O252" t="str">
        <f t="shared" si="39"/>
        <v>Money</v>
      </c>
    </row>
    <row r="253" spans="1:15" hidden="1" x14ac:dyDescent="0.3">
      <c r="A253" t="s">
        <v>317</v>
      </c>
      <c r="B253" s="2">
        <v>44133</v>
      </c>
      <c r="C253" s="3">
        <v>184488770</v>
      </c>
      <c r="D253" s="4">
        <v>4270804</v>
      </c>
      <c r="E253" s="4">
        <v>192695</v>
      </c>
      <c r="F253">
        <f t="shared" si="30"/>
        <v>2020</v>
      </c>
      <c r="G253" t="str">
        <f t="shared" si="31"/>
        <v>October</v>
      </c>
      <c r="H253" t="str">
        <f t="shared" si="32"/>
        <v>Thursday</v>
      </c>
      <c r="I253">
        <f t="shared" si="33"/>
        <v>2.4193879117953903</v>
      </c>
      <c r="J253">
        <f t="shared" si="34"/>
        <v>23.149398199142418</v>
      </c>
      <c r="K253">
        <f t="shared" si="35"/>
        <v>1.044480918811481</v>
      </c>
      <c r="L253">
        <f t="shared" si="36"/>
        <v>0.61367737713286807</v>
      </c>
      <c r="M253">
        <f t="shared" si="37"/>
        <v>0.3595429770229473</v>
      </c>
      <c r="N253">
        <f t="shared" si="38"/>
        <v>35</v>
      </c>
      <c r="O253" t="str">
        <f t="shared" si="39"/>
        <v>Survival</v>
      </c>
    </row>
    <row r="254" spans="1:15" hidden="1" x14ac:dyDescent="0.3">
      <c r="A254" t="s">
        <v>168</v>
      </c>
      <c r="B254" s="2">
        <v>45577</v>
      </c>
      <c r="C254" s="3">
        <v>182385748</v>
      </c>
      <c r="D254" s="4">
        <v>3789208</v>
      </c>
      <c r="E254" s="4">
        <v>35386</v>
      </c>
      <c r="F254">
        <f t="shared" si="30"/>
        <v>2024</v>
      </c>
      <c r="G254" t="str">
        <f t="shared" si="31"/>
        <v>October</v>
      </c>
      <c r="H254" t="str">
        <f t="shared" si="32"/>
        <v>Saturday</v>
      </c>
      <c r="I254">
        <f t="shared" si="33"/>
        <v>2.096980735578089</v>
      </c>
      <c r="J254">
        <f t="shared" si="34"/>
        <v>20.775790003065371</v>
      </c>
      <c r="K254">
        <f t="shared" si="35"/>
        <v>0.19401735271552031</v>
      </c>
      <c r="L254">
        <f t="shared" si="36"/>
        <v>0.61269908668634487</v>
      </c>
      <c r="M254">
        <f t="shared" si="37"/>
        <v>0.35711320556221537</v>
      </c>
      <c r="N254">
        <f t="shared" si="38"/>
        <v>36</v>
      </c>
      <c r="O254" t="str">
        <f t="shared" si="39"/>
        <v>Endurance</v>
      </c>
    </row>
    <row r="255" spans="1:15" hidden="1" x14ac:dyDescent="0.3">
      <c r="A255" t="s">
        <v>82</v>
      </c>
      <c r="B255" s="2">
        <v>45941</v>
      </c>
      <c r="C255" s="3">
        <v>181215573</v>
      </c>
      <c r="D255" s="4">
        <v>2908608</v>
      </c>
      <c r="E255" s="4">
        <v>52877</v>
      </c>
      <c r="F255">
        <f t="shared" si="30"/>
        <v>2025</v>
      </c>
      <c r="G255" t="str">
        <f t="shared" si="31"/>
        <v>October</v>
      </c>
      <c r="H255" t="str">
        <f t="shared" si="32"/>
        <v>Saturday</v>
      </c>
      <c r="I255">
        <f t="shared" si="33"/>
        <v>1.6342331682498392</v>
      </c>
      <c r="J255">
        <f t="shared" si="34"/>
        <v>16.050541086775141</v>
      </c>
      <c r="K255">
        <f t="shared" si="35"/>
        <v>0.2917905957232495</v>
      </c>
      <c r="L255">
        <f t="shared" si="36"/>
        <v>0.61184214797633008</v>
      </c>
      <c r="M255">
        <f t="shared" si="37"/>
        <v>0.35778715266427541</v>
      </c>
      <c r="N255">
        <f t="shared" si="38"/>
        <v>34</v>
      </c>
      <c r="O255" t="str">
        <f t="shared" si="39"/>
        <v>Other</v>
      </c>
    </row>
    <row r="256" spans="1:15" x14ac:dyDescent="0.3">
      <c r="A256" t="s">
        <v>19</v>
      </c>
      <c r="B256" s="2">
        <v>46145</v>
      </c>
      <c r="C256" s="3">
        <v>15670322</v>
      </c>
      <c r="D256" s="4">
        <v>421128</v>
      </c>
      <c r="E256" s="4">
        <v>12014</v>
      </c>
      <c r="F256">
        <f t="shared" si="30"/>
        <v>2026</v>
      </c>
      <c r="G256" t="str">
        <f t="shared" si="31"/>
        <v>May</v>
      </c>
      <c r="H256" t="str">
        <f t="shared" si="32"/>
        <v>Sunday</v>
      </c>
      <c r="I256">
        <f t="shared" si="33"/>
        <v>2.7640912547936156</v>
      </c>
      <c r="J256">
        <f t="shared" si="34"/>
        <v>26.874240363407974</v>
      </c>
      <c r="K256">
        <f t="shared" si="35"/>
        <v>0.76667218452818009</v>
      </c>
      <c r="L256">
        <f t="shared" si="36"/>
        <v>0.61136231213375425</v>
      </c>
      <c r="M256">
        <f t="shared" si="37"/>
        <v>0.35766022049772384</v>
      </c>
      <c r="N256">
        <f t="shared" si="38"/>
        <v>28</v>
      </c>
      <c r="O256" t="str">
        <f t="shared" si="39"/>
        <v>Other</v>
      </c>
    </row>
    <row r="257" spans="1:15" hidden="1" x14ac:dyDescent="0.3">
      <c r="A257" t="s">
        <v>348</v>
      </c>
      <c r="B257" s="2">
        <v>43847</v>
      </c>
      <c r="C257" s="3">
        <v>180415422</v>
      </c>
      <c r="D257" s="4">
        <v>2995934</v>
      </c>
      <c r="E257" s="4">
        <v>50755</v>
      </c>
      <c r="F257">
        <f t="shared" si="30"/>
        <v>2020</v>
      </c>
      <c r="G257" t="str">
        <f t="shared" si="31"/>
        <v>January</v>
      </c>
      <c r="H257" t="str">
        <f t="shared" si="32"/>
        <v>Friday</v>
      </c>
      <c r="I257">
        <f t="shared" si="33"/>
        <v>1.688707631656899</v>
      </c>
      <c r="J257">
        <f t="shared" si="34"/>
        <v>16.605753359599159</v>
      </c>
      <c r="K257">
        <f t="shared" si="35"/>
        <v>0.28132295696983151</v>
      </c>
      <c r="L257">
        <f t="shared" si="36"/>
        <v>0.61148750700654386</v>
      </c>
      <c r="M257">
        <f t="shared" si="37"/>
        <v>0.35790532824443061</v>
      </c>
      <c r="N257">
        <f t="shared" si="38"/>
        <v>41</v>
      </c>
      <c r="O257" t="str">
        <f t="shared" si="39"/>
        <v>Money</v>
      </c>
    </row>
    <row r="258" spans="1:15" hidden="1" x14ac:dyDescent="0.3">
      <c r="A258" t="s">
        <v>103</v>
      </c>
      <c r="B258" s="2">
        <v>45871</v>
      </c>
      <c r="C258" s="3">
        <v>178862990</v>
      </c>
      <c r="D258" s="4">
        <v>4742799</v>
      </c>
      <c r="E258" s="4">
        <v>20410</v>
      </c>
      <c r="F258">
        <f t="shared" ref="F258:F321" si="40">YEAR(B258)</f>
        <v>2025</v>
      </c>
      <c r="G258" t="str">
        <f t="shared" ref="G258:G321" si="41">TEXT(B258,"MMMM")</f>
        <v>August</v>
      </c>
      <c r="H258" t="str">
        <f t="shared" ref="H258:H321" si="42">TEXT(B258, "DDDD")</f>
        <v>Saturday</v>
      </c>
      <c r="I258">
        <f t="shared" ref="I258:I321" si="43">((D258+E258)/C258)*100</f>
        <v>2.6630489627843077</v>
      </c>
      <c r="J258">
        <f t="shared" ref="J258:J321" si="44">(D258/C258)*1000</f>
        <v>26.516379939751651</v>
      </c>
      <c r="K258">
        <f t="shared" ref="K258:K321" si="45">(E258/C258)*1000</f>
        <v>0.11410968809142685</v>
      </c>
      <c r="L258">
        <f t="shared" ref="L258:L321" si="46">CORREL(C258:C756, D258:D756)</f>
        <v>0.61095352777368928</v>
      </c>
      <c r="M258">
        <f t="shared" ref="M258:M321" si="47">CORREL(C258:C756,E258:E756)</f>
        <v>0.35785971549234774</v>
      </c>
      <c r="N258">
        <f t="shared" ref="N258:N321" si="48">LEN(A258)</f>
        <v>29</v>
      </c>
      <c r="O258" t="str">
        <f t="shared" ref="O258:O321" si="49">IF(ISNUMBER(SEARCH("$",A258)), "Money", IF(ISNUMBER(SEARCH("Win",A258)), "Challenge",IF(ISNUMBER(SEARCH("Challenge",A258)), "Challenge",IF(ISNUMBER(SEARCH("Last To Leave",A258)),"Challenge",IF(ISNUMBER(SEARCH("Giving Away", A258)),"Giveaway",IF(ISNUMBER(SEARCH("Stranded",A258)),"Survival", IF(ISNUMBER(SEARCH("Survive",A258)), "Survival", IF(ISNUMBER(SEARCH("Days",A258)),"Endurance","Other"))))))))</f>
        <v>Money</v>
      </c>
    </row>
    <row r="259" spans="1:15" hidden="1" x14ac:dyDescent="0.3">
      <c r="A259" t="s">
        <v>98</v>
      </c>
      <c r="B259" s="2">
        <v>45888</v>
      </c>
      <c r="C259" s="3">
        <v>178688228</v>
      </c>
      <c r="D259" s="4">
        <v>2441893</v>
      </c>
      <c r="E259" s="4">
        <v>11452</v>
      </c>
      <c r="F259">
        <f t="shared" si="40"/>
        <v>2025</v>
      </c>
      <c r="G259" t="str">
        <f t="shared" si="41"/>
        <v>August</v>
      </c>
      <c r="H259" t="str">
        <f t="shared" si="42"/>
        <v>Tuesday</v>
      </c>
      <c r="I259">
        <f t="shared" si="43"/>
        <v>1.3729751687951151</v>
      </c>
      <c r="J259">
        <f t="shared" si="44"/>
        <v>13.665662407262777</v>
      </c>
      <c r="K259">
        <f t="shared" si="45"/>
        <v>6.4089280688373051E-2</v>
      </c>
      <c r="L259">
        <f t="shared" si="46"/>
        <v>0.60999480791432781</v>
      </c>
      <c r="M259">
        <f t="shared" si="47"/>
        <v>0.35926312453436238</v>
      </c>
      <c r="N259">
        <f t="shared" si="48"/>
        <v>23</v>
      </c>
      <c r="O259" t="str">
        <f t="shared" si="49"/>
        <v>Challenge</v>
      </c>
    </row>
    <row r="260" spans="1:15" hidden="1" x14ac:dyDescent="0.3">
      <c r="A260" t="s">
        <v>193</v>
      </c>
      <c r="B260" s="2">
        <v>45423</v>
      </c>
      <c r="C260" s="3">
        <v>178347251</v>
      </c>
      <c r="D260" s="4">
        <v>4280530</v>
      </c>
      <c r="E260" s="4">
        <v>80019</v>
      </c>
      <c r="F260">
        <f t="shared" si="40"/>
        <v>2024</v>
      </c>
      <c r="G260" t="str">
        <f t="shared" si="41"/>
        <v>May</v>
      </c>
      <c r="H260" t="str">
        <f t="shared" si="42"/>
        <v>Saturday</v>
      </c>
      <c r="I260">
        <f t="shared" si="43"/>
        <v>2.4449768502459284</v>
      </c>
      <c r="J260">
        <f t="shared" si="44"/>
        <v>24.001098845083966</v>
      </c>
      <c r="K260">
        <f t="shared" si="45"/>
        <v>0.44866965737531889</v>
      </c>
      <c r="L260">
        <f t="shared" si="46"/>
        <v>0.60978665459008985</v>
      </c>
      <c r="M260">
        <f t="shared" si="47"/>
        <v>0.36115529110076944</v>
      </c>
      <c r="N260">
        <f t="shared" si="48"/>
        <v>27</v>
      </c>
      <c r="O260" t="str">
        <f t="shared" si="49"/>
        <v>Other</v>
      </c>
    </row>
    <row r="261" spans="1:15" hidden="1" x14ac:dyDescent="0.3">
      <c r="A261" t="s">
        <v>95</v>
      </c>
      <c r="B261" s="2">
        <v>45899</v>
      </c>
      <c r="C261" s="3">
        <v>177553714</v>
      </c>
      <c r="D261" s="4">
        <v>3001984</v>
      </c>
      <c r="E261" s="4">
        <v>38785</v>
      </c>
      <c r="F261">
        <f t="shared" si="40"/>
        <v>2025</v>
      </c>
      <c r="G261" t="str">
        <f t="shared" si="41"/>
        <v>August</v>
      </c>
      <c r="H261" t="str">
        <f t="shared" si="42"/>
        <v>Saturday</v>
      </c>
      <c r="I261">
        <f t="shared" si="43"/>
        <v>1.7125910416044579</v>
      </c>
      <c r="J261">
        <f t="shared" si="44"/>
        <v>16.907469477095816</v>
      </c>
      <c r="K261">
        <f t="shared" si="45"/>
        <v>0.21844093894876226</v>
      </c>
      <c r="L261">
        <f t="shared" si="46"/>
        <v>0.60882481528959298</v>
      </c>
      <c r="M261">
        <f t="shared" si="47"/>
        <v>0.36001896288853608</v>
      </c>
      <c r="N261">
        <f t="shared" si="48"/>
        <v>36</v>
      </c>
      <c r="O261" t="str">
        <f t="shared" si="49"/>
        <v>Money</v>
      </c>
    </row>
    <row r="262" spans="1:15" hidden="1" x14ac:dyDescent="0.3">
      <c r="A262" t="s">
        <v>121</v>
      </c>
      <c r="B262" s="2">
        <v>45801</v>
      </c>
      <c r="C262" s="3">
        <v>176262841</v>
      </c>
      <c r="D262" s="4">
        <v>3668917</v>
      </c>
      <c r="E262" s="4">
        <v>82074</v>
      </c>
      <c r="F262">
        <f t="shared" si="40"/>
        <v>2025</v>
      </c>
      <c r="G262" t="str">
        <f t="shared" si="41"/>
        <v>May</v>
      </c>
      <c r="H262" t="str">
        <f t="shared" si="42"/>
        <v>Saturday</v>
      </c>
      <c r="I262">
        <f t="shared" si="43"/>
        <v>2.1280667999672152</v>
      </c>
      <c r="J262">
        <f t="shared" si="44"/>
        <v>20.81503383915161</v>
      </c>
      <c r="K262">
        <f t="shared" si="45"/>
        <v>0.46563416052053758</v>
      </c>
      <c r="L262">
        <f t="shared" si="46"/>
        <v>0.60825818320001745</v>
      </c>
      <c r="M262">
        <f t="shared" si="47"/>
        <v>0.36047121008508437</v>
      </c>
      <c r="N262">
        <f t="shared" si="48"/>
        <v>25</v>
      </c>
      <c r="O262" t="str">
        <f t="shared" si="49"/>
        <v>Money</v>
      </c>
    </row>
    <row r="263" spans="1:15" hidden="1" x14ac:dyDescent="0.3">
      <c r="A263" t="s">
        <v>338</v>
      </c>
      <c r="B263" s="2">
        <v>43951</v>
      </c>
      <c r="C263" s="3">
        <v>176031351</v>
      </c>
      <c r="D263" s="4">
        <v>4139740</v>
      </c>
      <c r="E263" s="4">
        <v>65593</v>
      </c>
      <c r="F263">
        <f t="shared" si="40"/>
        <v>2020</v>
      </c>
      <c r="G263" t="str">
        <f t="shared" si="41"/>
        <v>April</v>
      </c>
      <c r="H263" t="str">
        <f t="shared" si="42"/>
        <v>Thursday</v>
      </c>
      <c r="I263">
        <f t="shared" si="43"/>
        <v>2.3889682014654312</v>
      </c>
      <c r="J263">
        <f t="shared" si="44"/>
        <v>23.51706088990932</v>
      </c>
      <c r="K263">
        <f t="shared" si="45"/>
        <v>0.37262112474498932</v>
      </c>
      <c r="L263">
        <f t="shared" si="46"/>
        <v>0.60742159104987214</v>
      </c>
      <c r="M263">
        <f t="shared" si="47"/>
        <v>0.35927250086354462</v>
      </c>
      <c r="N263">
        <f t="shared" si="48"/>
        <v>28</v>
      </c>
      <c r="O263" t="str">
        <f t="shared" si="49"/>
        <v>Other</v>
      </c>
    </row>
    <row r="264" spans="1:15" x14ac:dyDescent="0.3">
      <c r="A264" t="s">
        <v>48</v>
      </c>
      <c r="B264" s="2">
        <v>46060</v>
      </c>
      <c r="C264" s="3">
        <v>126420335</v>
      </c>
      <c r="D264" s="4">
        <v>1749517</v>
      </c>
      <c r="E264" s="4">
        <v>86987</v>
      </c>
      <c r="F264">
        <f t="shared" si="40"/>
        <v>2026</v>
      </c>
      <c r="G264" t="str">
        <f t="shared" si="41"/>
        <v>February</v>
      </c>
      <c r="H264" t="str">
        <f t="shared" si="42"/>
        <v>Saturday</v>
      </c>
      <c r="I264">
        <f t="shared" si="43"/>
        <v>1.4526966725724939</v>
      </c>
      <c r="J264">
        <f t="shared" si="44"/>
        <v>13.838889131246171</v>
      </c>
      <c r="K264">
        <f t="shared" si="45"/>
        <v>0.68807759447876804</v>
      </c>
      <c r="L264">
        <f t="shared" si="46"/>
        <v>0.60647386812074877</v>
      </c>
      <c r="M264">
        <f t="shared" si="47"/>
        <v>0.35860765652841442</v>
      </c>
      <c r="N264">
        <f t="shared" si="48"/>
        <v>31</v>
      </c>
      <c r="O264" t="str">
        <f t="shared" si="49"/>
        <v>Money</v>
      </c>
    </row>
    <row r="265" spans="1:15" hidden="1" x14ac:dyDescent="0.3">
      <c r="A265" t="s">
        <v>148</v>
      </c>
      <c r="B265" s="2">
        <v>45682</v>
      </c>
      <c r="C265" s="3">
        <v>173301150</v>
      </c>
      <c r="D265" s="4">
        <v>3229296</v>
      </c>
      <c r="E265" s="4">
        <v>77921</v>
      </c>
      <c r="F265">
        <f t="shared" si="40"/>
        <v>2025</v>
      </c>
      <c r="G265" t="str">
        <f t="shared" si="41"/>
        <v>January</v>
      </c>
      <c r="H265" t="str">
        <f t="shared" si="42"/>
        <v>Saturday</v>
      </c>
      <c r="I265">
        <f t="shared" si="43"/>
        <v>1.9083641395339845</v>
      </c>
      <c r="J265">
        <f t="shared" si="44"/>
        <v>18.634013680809389</v>
      </c>
      <c r="K265">
        <f t="shared" si="45"/>
        <v>0.44962771453045752</v>
      </c>
      <c r="L265">
        <f t="shared" si="46"/>
        <v>0.6066016984322371</v>
      </c>
      <c r="M265">
        <f t="shared" si="47"/>
        <v>0.35813181237735497</v>
      </c>
      <c r="N265">
        <f t="shared" si="48"/>
        <v>37</v>
      </c>
      <c r="O265" t="str">
        <f t="shared" si="49"/>
        <v>Other</v>
      </c>
    </row>
    <row r="266" spans="1:15" hidden="1" x14ac:dyDescent="0.3">
      <c r="A266" t="s">
        <v>108</v>
      </c>
      <c r="B266" s="2">
        <v>45858</v>
      </c>
      <c r="C266" s="3">
        <v>171703201</v>
      </c>
      <c r="D266" s="4">
        <v>2534538</v>
      </c>
      <c r="E266" s="4">
        <v>7607</v>
      </c>
      <c r="F266">
        <f t="shared" si="40"/>
        <v>2025</v>
      </c>
      <c r="G266" t="str">
        <f t="shared" si="41"/>
        <v>July</v>
      </c>
      <c r="H266" t="str">
        <f t="shared" si="42"/>
        <v>Sunday</v>
      </c>
      <c r="I266">
        <f t="shared" si="43"/>
        <v>1.480546073220848</v>
      </c>
      <c r="J266">
        <f t="shared" si="44"/>
        <v>14.761157539514945</v>
      </c>
      <c r="K266">
        <f t="shared" si="45"/>
        <v>4.4303192693536331E-2</v>
      </c>
      <c r="L266">
        <f t="shared" si="46"/>
        <v>0.60591883933379997</v>
      </c>
      <c r="M266">
        <f t="shared" si="47"/>
        <v>0.35705035191162537</v>
      </c>
      <c r="N266">
        <f t="shared" si="48"/>
        <v>28</v>
      </c>
      <c r="O266" t="str">
        <f t="shared" si="49"/>
        <v>Money</v>
      </c>
    </row>
    <row r="267" spans="1:15" hidden="1" x14ac:dyDescent="0.3">
      <c r="A267" t="s">
        <v>390</v>
      </c>
      <c r="B267" s="2">
        <v>43603</v>
      </c>
      <c r="C267" s="3">
        <v>171655392</v>
      </c>
      <c r="D267" s="4">
        <v>4343883</v>
      </c>
      <c r="E267" s="4">
        <v>180067</v>
      </c>
      <c r="F267">
        <f t="shared" si="40"/>
        <v>2019</v>
      </c>
      <c r="G267" t="str">
        <f t="shared" si="41"/>
        <v>May</v>
      </c>
      <c r="H267" t="str">
        <f t="shared" si="42"/>
        <v>Saturday</v>
      </c>
      <c r="I267">
        <f t="shared" si="43"/>
        <v>2.6354837720448656</v>
      </c>
      <c r="J267">
        <f t="shared" si="44"/>
        <v>25.30583484380147</v>
      </c>
      <c r="K267">
        <f t="shared" si="45"/>
        <v>1.0490028766471839</v>
      </c>
      <c r="L267">
        <f t="shared" si="46"/>
        <v>0.6055967588191431</v>
      </c>
      <c r="M267">
        <f t="shared" si="47"/>
        <v>0.35902871522499652</v>
      </c>
      <c r="N267">
        <f t="shared" si="48"/>
        <v>42</v>
      </c>
      <c r="O267" t="str">
        <f t="shared" si="49"/>
        <v>Challenge</v>
      </c>
    </row>
    <row r="268" spans="1:15" hidden="1" x14ac:dyDescent="0.3">
      <c r="A268" t="s">
        <v>382</v>
      </c>
      <c r="B268" s="2">
        <v>43648</v>
      </c>
      <c r="C268" s="3">
        <v>171642124</v>
      </c>
      <c r="D268" s="4">
        <v>3710639</v>
      </c>
      <c r="E268" s="4">
        <v>179748</v>
      </c>
      <c r="F268">
        <f t="shared" si="40"/>
        <v>2019</v>
      </c>
      <c r="G268" t="str">
        <f t="shared" si="41"/>
        <v>July</v>
      </c>
      <c r="H268" t="str">
        <f t="shared" si="42"/>
        <v>Tuesday</v>
      </c>
      <c r="I268">
        <f t="shared" si="43"/>
        <v>2.2665688989026962</v>
      </c>
      <c r="J268">
        <f t="shared" si="44"/>
        <v>21.618463542201329</v>
      </c>
      <c r="K268">
        <f t="shared" si="45"/>
        <v>1.047225446825629</v>
      </c>
      <c r="L268">
        <f t="shared" si="46"/>
        <v>0.60466204625386977</v>
      </c>
      <c r="M268">
        <f t="shared" si="47"/>
        <v>0.35685863317638455</v>
      </c>
      <c r="N268">
        <f t="shared" si="48"/>
        <v>41</v>
      </c>
      <c r="O268" t="str">
        <f t="shared" si="49"/>
        <v>Money</v>
      </c>
    </row>
    <row r="269" spans="1:15" hidden="1" x14ac:dyDescent="0.3">
      <c r="A269" t="s">
        <v>386</v>
      </c>
      <c r="B269" s="2">
        <v>43624</v>
      </c>
      <c r="C269" s="3">
        <v>170575990</v>
      </c>
      <c r="D269" s="4">
        <v>3293586</v>
      </c>
      <c r="E269" s="4">
        <v>93765</v>
      </c>
      <c r="F269">
        <f t="shared" si="40"/>
        <v>2019</v>
      </c>
      <c r="G269" t="str">
        <f t="shared" si="41"/>
        <v>June</v>
      </c>
      <c r="H269" t="str">
        <f t="shared" si="42"/>
        <v>Saturday</v>
      </c>
      <c r="I269">
        <f t="shared" si="43"/>
        <v>1.9858310656734279</v>
      </c>
      <c r="J269">
        <f t="shared" si="44"/>
        <v>19.30861430146177</v>
      </c>
      <c r="K269">
        <f t="shared" si="45"/>
        <v>0.54969635527250937</v>
      </c>
      <c r="L269">
        <f t="shared" si="46"/>
        <v>0.60380337249026583</v>
      </c>
      <c r="M269">
        <f t="shared" si="47"/>
        <v>0.35465211108816286</v>
      </c>
      <c r="N269">
        <f t="shared" si="48"/>
        <v>29</v>
      </c>
      <c r="O269" t="str">
        <f t="shared" si="49"/>
        <v>Money</v>
      </c>
    </row>
    <row r="270" spans="1:15" hidden="1" x14ac:dyDescent="0.3">
      <c r="A270" t="s">
        <v>358</v>
      </c>
      <c r="B270" s="2">
        <v>43797</v>
      </c>
      <c r="C270" s="3">
        <v>170567310</v>
      </c>
      <c r="D270" s="4">
        <v>3124986</v>
      </c>
      <c r="E270" s="4">
        <v>50993</v>
      </c>
      <c r="F270">
        <f t="shared" si="40"/>
        <v>2019</v>
      </c>
      <c r="G270" t="str">
        <f t="shared" si="41"/>
        <v>November</v>
      </c>
      <c r="H270" t="str">
        <f t="shared" si="42"/>
        <v>Thursday</v>
      </c>
      <c r="I270">
        <f t="shared" si="43"/>
        <v>1.8620091974247588</v>
      </c>
      <c r="J270">
        <f t="shared" si="44"/>
        <v>18.321130819264255</v>
      </c>
      <c r="K270">
        <f t="shared" si="45"/>
        <v>0.29896115498333181</v>
      </c>
      <c r="L270">
        <f t="shared" si="46"/>
        <v>0.6030738451702361</v>
      </c>
      <c r="M270">
        <f t="shared" si="47"/>
        <v>0.35306709024132638</v>
      </c>
      <c r="N270">
        <f t="shared" si="48"/>
        <v>49</v>
      </c>
      <c r="O270" t="str">
        <f t="shared" si="49"/>
        <v>Money</v>
      </c>
    </row>
    <row r="271" spans="1:15" hidden="1" x14ac:dyDescent="0.3">
      <c r="A271" t="s">
        <v>306</v>
      </c>
      <c r="B271" s="2">
        <v>44268</v>
      </c>
      <c r="C271" s="3">
        <v>170443698</v>
      </c>
      <c r="D271" s="4">
        <v>3547637</v>
      </c>
      <c r="E271" s="4">
        <v>111230</v>
      </c>
      <c r="F271">
        <f t="shared" si="40"/>
        <v>2021</v>
      </c>
      <c r="G271" t="str">
        <f t="shared" si="41"/>
        <v>March</v>
      </c>
      <c r="H271" t="str">
        <f t="shared" si="42"/>
        <v>Saturday</v>
      </c>
      <c r="I271">
        <f t="shared" si="43"/>
        <v>2.1466719174328168</v>
      </c>
      <c r="J271">
        <f t="shared" si="44"/>
        <v>20.814128311156448</v>
      </c>
      <c r="K271">
        <f t="shared" si="45"/>
        <v>0.65259086317172021</v>
      </c>
      <c r="L271">
        <f t="shared" si="46"/>
        <v>0.60240068380105816</v>
      </c>
      <c r="M271">
        <f t="shared" si="47"/>
        <v>0.35285325815889956</v>
      </c>
      <c r="N271">
        <f t="shared" si="48"/>
        <v>42</v>
      </c>
      <c r="O271" t="str">
        <f t="shared" si="49"/>
        <v>Money</v>
      </c>
    </row>
    <row r="272" spans="1:15" hidden="1" x14ac:dyDescent="0.3">
      <c r="A272" t="s">
        <v>361</v>
      </c>
      <c r="B272" s="2">
        <v>43783</v>
      </c>
      <c r="C272" s="3">
        <v>170316042</v>
      </c>
      <c r="D272" s="4">
        <v>3170562</v>
      </c>
      <c r="E272" s="4">
        <v>56574</v>
      </c>
      <c r="F272">
        <f t="shared" si="40"/>
        <v>2019</v>
      </c>
      <c r="G272" t="str">
        <f t="shared" si="41"/>
        <v>November</v>
      </c>
      <c r="H272" t="str">
        <f t="shared" si="42"/>
        <v>Thursday</v>
      </c>
      <c r="I272">
        <f t="shared" si="43"/>
        <v>1.8947927406626794</v>
      </c>
      <c r="J272">
        <f t="shared" si="44"/>
        <v>18.615756700123409</v>
      </c>
      <c r="K272">
        <f t="shared" si="45"/>
        <v>0.33217070650338387</v>
      </c>
      <c r="L272">
        <f t="shared" si="46"/>
        <v>0.60156469496826714</v>
      </c>
      <c r="M272">
        <f t="shared" si="47"/>
        <v>0.350869314944181</v>
      </c>
      <c r="N272">
        <f t="shared" si="48"/>
        <v>37</v>
      </c>
      <c r="O272" t="str">
        <f t="shared" si="49"/>
        <v>Money</v>
      </c>
    </row>
    <row r="273" spans="1:15" hidden="1" x14ac:dyDescent="0.3">
      <c r="A273" t="s">
        <v>376</v>
      </c>
      <c r="B273" s="2">
        <v>43694</v>
      </c>
      <c r="C273" s="3">
        <v>169011174</v>
      </c>
      <c r="D273" s="4">
        <v>3068067</v>
      </c>
      <c r="E273" s="4">
        <v>66418</v>
      </c>
      <c r="F273">
        <f t="shared" si="40"/>
        <v>2019</v>
      </c>
      <c r="G273" t="str">
        <f t="shared" si="41"/>
        <v>August</v>
      </c>
      <c r="H273" t="str">
        <f t="shared" si="42"/>
        <v>Saturday</v>
      </c>
      <c r="I273">
        <f t="shared" si="43"/>
        <v>1.8546022288443482</v>
      </c>
      <c r="J273">
        <f t="shared" si="44"/>
        <v>18.153042354465864</v>
      </c>
      <c r="K273">
        <f t="shared" si="45"/>
        <v>0.39297993397761977</v>
      </c>
      <c r="L273">
        <f t="shared" si="46"/>
        <v>0.60085353020808163</v>
      </c>
      <c r="M273">
        <f t="shared" si="47"/>
        <v>0.35041178621580088</v>
      </c>
      <c r="N273">
        <f t="shared" si="48"/>
        <v>53</v>
      </c>
      <c r="O273" t="str">
        <f t="shared" si="49"/>
        <v>Money</v>
      </c>
    </row>
    <row r="274" spans="1:15" hidden="1" x14ac:dyDescent="0.3">
      <c r="A274" t="s">
        <v>198</v>
      </c>
      <c r="B274" s="2">
        <v>45409</v>
      </c>
      <c r="C274" s="3">
        <v>168988724</v>
      </c>
      <c r="D274" s="4">
        <v>4174832</v>
      </c>
      <c r="E274" s="4">
        <v>76733</v>
      </c>
      <c r="F274">
        <f t="shared" si="40"/>
        <v>2024</v>
      </c>
      <c r="G274" t="str">
        <f t="shared" si="41"/>
        <v>April</v>
      </c>
      <c r="H274" t="str">
        <f t="shared" si="42"/>
        <v>Saturday</v>
      </c>
      <c r="I274">
        <f t="shared" si="43"/>
        <v>2.515886799642324</v>
      </c>
      <c r="J274">
        <f t="shared" si="44"/>
        <v>24.704796279780183</v>
      </c>
      <c r="K274">
        <f t="shared" si="45"/>
        <v>0.4540717166430584</v>
      </c>
      <c r="L274">
        <f t="shared" si="46"/>
        <v>0.6001864354457771</v>
      </c>
      <c r="M274">
        <f t="shared" si="47"/>
        <v>0.34958395746506454</v>
      </c>
      <c r="N274">
        <f t="shared" si="48"/>
        <v>37</v>
      </c>
      <c r="O274" t="str">
        <f t="shared" si="49"/>
        <v>Other</v>
      </c>
    </row>
    <row r="275" spans="1:15" hidden="1" x14ac:dyDescent="0.3">
      <c r="A275" t="s">
        <v>62</v>
      </c>
      <c r="B275" s="2">
        <v>46003</v>
      </c>
      <c r="C275" s="3">
        <v>168651797</v>
      </c>
      <c r="D275" s="4">
        <v>3946052</v>
      </c>
      <c r="E275" s="4">
        <v>25493</v>
      </c>
      <c r="F275">
        <f t="shared" si="40"/>
        <v>2025</v>
      </c>
      <c r="G275" t="str">
        <f t="shared" si="41"/>
        <v>December</v>
      </c>
      <c r="H275" t="str">
        <f t="shared" si="42"/>
        <v>Friday</v>
      </c>
      <c r="I275">
        <f t="shared" si="43"/>
        <v>2.3548785548961568</v>
      </c>
      <c r="J275">
        <f t="shared" si="44"/>
        <v>23.397627954121354</v>
      </c>
      <c r="K275">
        <f t="shared" si="45"/>
        <v>0.15115759484021388</v>
      </c>
      <c r="L275">
        <f t="shared" si="46"/>
        <v>0.59921546823169569</v>
      </c>
      <c r="M275">
        <f t="shared" si="47"/>
        <v>0.34840569649191305</v>
      </c>
      <c r="N275">
        <f t="shared" si="48"/>
        <v>31</v>
      </c>
      <c r="O275" t="str">
        <f t="shared" si="49"/>
        <v>Money</v>
      </c>
    </row>
    <row r="276" spans="1:15" hidden="1" x14ac:dyDescent="0.3">
      <c r="A276" t="s">
        <v>111</v>
      </c>
      <c r="B276" s="2">
        <v>45844</v>
      </c>
      <c r="C276" s="3">
        <v>168534666</v>
      </c>
      <c r="D276" s="4">
        <v>3384080</v>
      </c>
      <c r="E276" s="4">
        <v>15077</v>
      </c>
      <c r="F276">
        <f t="shared" si="40"/>
        <v>2025</v>
      </c>
      <c r="G276" t="str">
        <f t="shared" si="41"/>
        <v>July</v>
      </c>
      <c r="H276" t="str">
        <f t="shared" si="42"/>
        <v>Sunday</v>
      </c>
      <c r="I276">
        <f t="shared" si="43"/>
        <v>2.0168889170848683</v>
      </c>
      <c r="J276">
        <f t="shared" si="44"/>
        <v>20.079429830774401</v>
      </c>
      <c r="K276">
        <f t="shared" si="45"/>
        <v>8.9459340074284771E-2</v>
      </c>
      <c r="L276">
        <f t="shared" si="46"/>
        <v>0.59826279384746139</v>
      </c>
      <c r="M276">
        <f t="shared" si="47"/>
        <v>0.3493223409239174</v>
      </c>
      <c r="N276">
        <f t="shared" si="48"/>
        <v>17</v>
      </c>
      <c r="O276" t="str">
        <f t="shared" si="49"/>
        <v>Other</v>
      </c>
    </row>
    <row r="277" spans="1:15" hidden="1" x14ac:dyDescent="0.3">
      <c r="A277" t="s">
        <v>414</v>
      </c>
      <c r="B277" s="2">
        <v>43476</v>
      </c>
      <c r="C277" s="3">
        <v>165526718</v>
      </c>
      <c r="D277" s="4">
        <v>2454337</v>
      </c>
      <c r="E277" s="4">
        <v>89158</v>
      </c>
      <c r="F277">
        <f t="shared" si="40"/>
        <v>2019</v>
      </c>
      <c r="G277" t="str">
        <f t="shared" si="41"/>
        <v>January</v>
      </c>
      <c r="H277" t="str">
        <f t="shared" si="42"/>
        <v>Friday</v>
      </c>
      <c r="I277">
        <f t="shared" si="43"/>
        <v>1.5366069180444937</v>
      </c>
      <c r="J277">
        <f t="shared" si="44"/>
        <v>14.827437102933438</v>
      </c>
      <c r="K277">
        <f t="shared" si="45"/>
        <v>0.53863207751149877</v>
      </c>
      <c r="L277">
        <f t="shared" si="46"/>
        <v>0.59743817072591743</v>
      </c>
      <c r="M277">
        <f t="shared" si="47"/>
        <v>0.35079069722292938</v>
      </c>
      <c r="N277">
        <f t="shared" si="48"/>
        <v>40</v>
      </c>
      <c r="O277" t="str">
        <f t="shared" si="49"/>
        <v>Money</v>
      </c>
    </row>
    <row r="278" spans="1:15" hidden="1" x14ac:dyDescent="0.3">
      <c r="A278" t="s">
        <v>97</v>
      </c>
      <c r="B278" s="2">
        <v>45896</v>
      </c>
      <c r="C278" s="3">
        <v>165303961</v>
      </c>
      <c r="D278" s="4">
        <v>3418943</v>
      </c>
      <c r="E278" s="4">
        <v>10267</v>
      </c>
      <c r="F278">
        <f t="shared" si="40"/>
        <v>2025</v>
      </c>
      <c r="G278" t="str">
        <f t="shared" si="41"/>
        <v>August</v>
      </c>
      <c r="H278" t="str">
        <f t="shared" si="42"/>
        <v>Wednesday</v>
      </c>
      <c r="I278">
        <f t="shared" si="43"/>
        <v>2.0744874951907537</v>
      </c>
      <c r="J278">
        <f t="shared" si="44"/>
        <v>20.682765127449063</v>
      </c>
      <c r="K278">
        <f t="shared" si="45"/>
        <v>6.210982445847138E-2</v>
      </c>
      <c r="L278">
        <f t="shared" si="46"/>
        <v>0.59707378887383211</v>
      </c>
      <c r="M278">
        <f t="shared" si="47"/>
        <v>0.34927638021703106</v>
      </c>
      <c r="N278">
        <f t="shared" si="48"/>
        <v>31</v>
      </c>
      <c r="O278" t="str">
        <f t="shared" si="49"/>
        <v>Other</v>
      </c>
    </row>
    <row r="279" spans="1:15" hidden="1" x14ac:dyDescent="0.3">
      <c r="A279" t="s">
        <v>356</v>
      </c>
      <c r="B279" s="2">
        <v>43804</v>
      </c>
      <c r="C279" s="3">
        <v>165200624</v>
      </c>
      <c r="D279" s="4">
        <v>4444432</v>
      </c>
      <c r="E279" s="4">
        <v>105591</v>
      </c>
      <c r="F279">
        <f t="shared" si="40"/>
        <v>2019</v>
      </c>
      <c r="G279" t="str">
        <f t="shared" si="41"/>
        <v>December</v>
      </c>
      <c r="H279" t="str">
        <f t="shared" si="42"/>
        <v>Thursday</v>
      </c>
      <c r="I279">
        <f t="shared" si="43"/>
        <v>2.7542408072260067</v>
      </c>
      <c r="J279">
        <f t="shared" si="44"/>
        <v>26.90323978437273</v>
      </c>
      <c r="K279">
        <f t="shared" si="45"/>
        <v>0.6391682878873387</v>
      </c>
      <c r="L279">
        <f t="shared" si="46"/>
        <v>0.59625286982210601</v>
      </c>
      <c r="M279">
        <f t="shared" si="47"/>
        <v>0.35096566422396169</v>
      </c>
      <c r="N279">
        <f t="shared" si="48"/>
        <v>36</v>
      </c>
      <c r="O279" t="str">
        <f t="shared" si="49"/>
        <v>Other</v>
      </c>
    </row>
    <row r="280" spans="1:15" hidden="1" x14ac:dyDescent="0.3">
      <c r="A280" t="s">
        <v>141</v>
      </c>
      <c r="B280" s="2">
        <v>45724</v>
      </c>
      <c r="C280" s="3">
        <v>164366665</v>
      </c>
      <c r="D280" s="4">
        <v>4253225</v>
      </c>
      <c r="E280" s="4">
        <v>9118</v>
      </c>
      <c r="F280">
        <f t="shared" si="40"/>
        <v>2025</v>
      </c>
      <c r="G280" t="str">
        <f t="shared" si="41"/>
        <v>March</v>
      </c>
      <c r="H280" t="str">
        <f t="shared" si="42"/>
        <v>Saturday</v>
      </c>
      <c r="I280">
        <f t="shared" si="43"/>
        <v>2.5931918737902238</v>
      </c>
      <c r="J280">
        <f t="shared" si="44"/>
        <v>25.876445202559776</v>
      </c>
      <c r="K280">
        <f t="shared" si="45"/>
        <v>5.5473535342461321E-2</v>
      </c>
      <c r="L280">
        <f t="shared" si="46"/>
        <v>0.59528117730770358</v>
      </c>
      <c r="M280">
        <f t="shared" si="47"/>
        <v>0.34907253428742779</v>
      </c>
      <c r="N280">
        <f t="shared" si="48"/>
        <v>21</v>
      </c>
      <c r="O280" t="str">
        <f t="shared" si="49"/>
        <v>Challenge</v>
      </c>
    </row>
    <row r="281" spans="1:15" hidden="1" x14ac:dyDescent="0.3">
      <c r="A281" t="s">
        <v>342</v>
      </c>
      <c r="B281" s="2">
        <v>43903</v>
      </c>
      <c r="C281" s="3">
        <v>162824843</v>
      </c>
      <c r="D281" s="4">
        <v>2812929</v>
      </c>
      <c r="E281" s="4">
        <v>66943</v>
      </c>
      <c r="F281">
        <f t="shared" si="40"/>
        <v>2020</v>
      </c>
      <c r="G281" t="str">
        <f t="shared" si="41"/>
        <v>March</v>
      </c>
      <c r="H281" t="str">
        <f t="shared" si="42"/>
        <v>Friday</v>
      </c>
      <c r="I281">
        <f t="shared" si="43"/>
        <v>1.768693245415873</v>
      </c>
      <c r="J281">
        <f t="shared" si="44"/>
        <v>17.275797403962493</v>
      </c>
      <c r="K281">
        <f t="shared" si="45"/>
        <v>0.41113505019624064</v>
      </c>
      <c r="L281">
        <f t="shared" si="46"/>
        <v>0.59431054816162199</v>
      </c>
      <c r="M281">
        <f t="shared" si="47"/>
        <v>0.35080390229270425</v>
      </c>
      <c r="N281">
        <f t="shared" si="48"/>
        <v>41</v>
      </c>
      <c r="O281" t="str">
        <f t="shared" si="49"/>
        <v>Money</v>
      </c>
    </row>
    <row r="282" spans="1:15" hidden="1" x14ac:dyDescent="0.3">
      <c r="A282" t="s">
        <v>99</v>
      </c>
      <c r="B282" s="2">
        <v>45885</v>
      </c>
      <c r="C282" s="3">
        <v>161865836</v>
      </c>
      <c r="D282" s="4">
        <v>3177522</v>
      </c>
      <c r="E282" s="4">
        <v>43701</v>
      </c>
      <c r="F282">
        <f t="shared" si="40"/>
        <v>2025</v>
      </c>
      <c r="G282" t="str">
        <f t="shared" si="41"/>
        <v>August</v>
      </c>
      <c r="H282" t="str">
        <f t="shared" si="42"/>
        <v>Saturday</v>
      </c>
      <c r="I282">
        <f t="shared" si="43"/>
        <v>1.9900573707227511</v>
      </c>
      <c r="J282">
        <f t="shared" si="44"/>
        <v>19.630590855503321</v>
      </c>
      <c r="K282">
        <f t="shared" si="45"/>
        <v>0.26998285172418968</v>
      </c>
      <c r="L282">
        <f t="shared" si="46"/>
        <v>0.5937146223434715</v>
      </c>
      <c r="M282">
        <f t="shared" si="47"/>
        <v>0.34992042005364205</v>
      </c>
      <c r="N282">
        <f t="shared" si="48"/>
        <v>40</v>
      </c>
      <c r="O282" t="str">
        <f t="shared" si="49"/>
        <v>Money</v>
      </c>
    </row>
    <row r="283" spans="1:15" hidden="1" x14ac:dyDescent="0.3">
      <c r="A283" t="s">
        <v>373</v>
      </c>
      <c r="B283" s="2">
        <v>43706</v>
      </c>
      <c r="C283" s="3">
        <v>160038079</v>
      </c>
      <c r="D283" s="4">
        <v>3559643</v>
      </c>
      <c r="E283" s="4">
        <v>137005</v>
      </c>
      <c r="F283">
        <f t="shared" si="40"/>
        <v>2019</v>
      </c>
      <c r="G283" t="str">
        <f t="shared" si="41"/>
        <v>August</v>
      </c>
      <c r="H283" t="str">
        <f t="shared" si="42"/>
        <v>Thursday</v>
      </c>
      <c r="I283">
        <f t="shared" si="43"/>
        <v>2.3098552688826013</v>
      </c>
      <c r="J283">
        <f t="shared" si="44"/>
        <v>22.242475179922646</v>
      </c>
      <c r="K283">
        <f t="shared" si="45"/>
        <v>0.85607750890336543</v>
      </c>
      <c r="L283">
        <f t="shared" si="46"/>
        <v>0.5929618720720653</v>
      </c>
      <c r="M283">
        <f t="shared" si="47"/>
        <v>0.34991820360327136</v>
      </c>
      <c r="N283">
        <f t="shared" si="48"/>
        <v>30</v>
      </c>
      <c r="O283" t="str">
        <f t="shared" si="49"/>
        <v>Other</v>
      </c>
    </row>
    <row r="284" spans="1:15" x14ac:dyDescent="0.3">
      <c r="A284" t="s">
        <v>43</v>
      </c>
      <c r="B284" s="2">
        <v>46075</v>
      </c>
      <c r="C284" s="3">
        <v>26738846</v>
      </c>
      <c r="D284" s="4">
        <v>988766</v>
      </c>
      <c r="E284" s="4">
        <v>16175</v>
      </c>
      <c r="F284">
        <f t="shared" si="40"/>
        <v>2026</v>
      </c>
      <c r="G284" t="str">
        <f t="shared" si="41"/>
        <v>February</v>
      </c>
      <c r="H284" t="str">
        <f t="shared" si="42"/>
        <v>Sunday</v>
      </c>
      <c r="I284">
        <f t="shared" si="43"/>
        <v>3.7583559140884391</v>
      </c>
      <c r="J284">
        <f t="shared" si="44"/>
        <v>36.978634006867757</v>
      </c>
      <c r="K284">
        <f t="shared" si="45"/>
        <v>0.60492513401662884</v>
      </c>
      <c r="L284">
        <f t="shared" si="46"/>
        <v>0.59210875066457058</v>
      </c>
      <c r="M284">
        <f t="shared" si="47"/>
        <v>0.34774686537036048</v>
      </c>
      <c r="N284">
        <f t="shared" si="48"/>
        <v>26</v>
      </c>
      <c r="O284" t="str">
        <f t="shared" si="49"/>
        <v>Other</v>
      </c>
    </row>
    <row r="285" spans="1:15" hidden="1" x14ac:dyDescent="0.3">
      <c r="A285" t="s">
        <v>80</v>
      </c>
      <c r="B285" s="2">
        <v>45947</v>
      </c>
      <c r="C285" s="3">
        <v>158411940</v>
      </c>
      <c r="D285" s="4">
        <v>2642671</v>
      </c>
      <c r="E285" s="4">
        <v>11269</v>
      </c>
      <c r="F285">
        <f t="shared" si="40"/>
        <v>2025</v>
      </c>
      <c r="G285" t="str">
        <f t="shared" si="41"/>
        <v>October</v>
      </c>
      <c r="H285" t="str">
        <f t="shared" si="42"/>
        <v>Friday</v>
      </c>
      <c r="I285">
        <f t="shared" si="43"/>
        <v>1.6753408865518595</v>
      </c>
      <c r="J285">
        <f t="shared" si="44"/>
        <v>16.682271550995463</v>
      </c>
      <c r="K285">
        <f t="shared" si="45"/>
        <v>7.1137314523135056E-2</v>
      </c>
      <c r="L285">
        <f t="shared" si="46"/>
        <v>0.59232344602738174</v>
      </c>
      <c r="M285">
        <f t="shared" si="47"/>
        <v>0.34804078803000144</v>
      </c>
      <c r="N285">
        <f t="shared" si="48"/>
        <v>39</v>
      </c>
      <c r="O285" t="str">
        <f t="shared" si="49"/>
        <v>Money</v>
      </c>
    </row>
    <row r="286" spans="1:15" hidden="1" x14ac:dyDescent="0.3">
      <c r="A286" t="s">
        <v>109</v>
      </c>
      <c r="B286" s="2">
        <v>45857</v>
      </c>
      <c r="C286" s="3">
        <v>157692766</v>
      </c>
      <c r="D286" s="4">
        <v>3583849</v>
      </c>
      <c r="E286" s="4">
        <v>47726</v>
      </c>
      <c r="F286">
        <f t="shared" si="40"/>
        <v>2025</v>
      </c>
      <c r="G286" t="str">
        <f t="shared" si="41"/>
        <v>July</v>
      </c>
      <c r="H286" t="str">
        <f t="shared" si="42"/>
        <v>Saturday</v>
      </c>
      <c r="I286">
        <f t="shared" si="43"/>
        <v>2.3029433068603793</v>
      </c>
      <c r="J286">
        <f t="shared" si="44"/>
        <v>22.726781265286451</v>
      </c>
      <c r="K286">
        <f t="shared" si="45"/>
        <v>0.30265180331734431</v>
      </c>
      <c r="L286">
        <f t="shared" si="46"/>
        <v>0.59180815531107056</v>
      </c>
      <c r="M286">
        <f t="shared" si="47"/>
        <v>0.34955835483032621</v>
      </c>
      <c r="N286">
        <f t="shared" si="48"/>
        <v>50</v>
      </c>
      <c r="O286" t="str">
        <f t="shared" si="49"/>
        <v>Survival</v>
      </c>
    </row>
    <row r="287" spans="1:15" hidden="1" x14ac:dyDescent="0.3">
      <c r="A287" t="s">
        <v>389</v>
      </c>
      <c r="B287" s="2">
        <v>43615</v>
      </c>
      <c r="C287" s="3">
        <v>157123998</v>
      </c>
      <c r="D287" s="4">
        <v>3167508</v>
      </c>
      <c r="E287" s="4">
        <v>139633</v>
      </c>
      <c r="F287">
        <f t="shared" si="40"/>
        <v>2019</v>
      </c>
      <c r="G287" t="str">
        <f t="shared" si="41"/>
        <v>May</v>
      </c>
      <c r="H287" t="str">
        <f t="shared" si="42"/>
        <v>Thursday</v>
      </c>
      <c r="I287">
        <f t="shared" si="43"/>
        <v>2.1047968751406136</v>
      </c>
      <c r="J287">
        <f t="shared" si="44"/>
        <v>20.159288462097305</v>
      </c>
      <c r="K287">
        <f t="shared" si="45"/>
        <v>0.88868028930882981</v>
      </c>
      <c r="L287">
        <f t="shared" si="46"/>
        <v>0.59096001891815675</v>
      </c>
      <c r="M287">
        <f t="shared" si="47"/>
        <v>0.34936281219525628</v>
      </c>
      <c r="N287">
        <f t="shared" si="48"/>
        <v>43</v>
      </c>
      <c r="O287" t="str">
        <f t="shared" si="49"/>
        <v>Other</v>
      </c>
    </row>
    <row r="288" spans="1:15" x14ac:dyDescent="0.3">
      <c r="A288" t="s">
        <v>52</v>
      </c>
      <c r="B288" s="2">
        <v>46046</v>
      </c>
      <c r="C288" s="3">
        <v>153266977</v>
      </c>
      <c r="D288" s="4">
        <v>3150143</v>
      </c>
      <c r="E288" s="4">
        <v>90178</v>
      </c>
      <c r="F288">
        <f t="shared" si="40"/>
        <v>2026</v>
      </c>
      <c r="G288" t="str">
        <f t="shared" si="41"/>
        <v>January</v>
      </c>
      <c r="H288" t="str">
        <f t="shared" si="42"/>
        <v>Saturday</v>
      </c>
      <c r="I288">
        <f t="shared" si="43"/>
        <v>2.1141677505650809</v>
      </c>
      <c r="J288">
        <f t="shared" si="44"/>
        <v>20.553305491240948</v>
      </c>
      <c r="K288">
        <f t="shared" si="45"/>
        <v>0.58837201440986209</v>
      </c>
      <c r="L288">
        <f t="shared" si="46"/>
        <v>0.59021513512180157</v>
      </c>
      <c r="M288">
        <f t="shared" si="47"/>
        <v>0.34723361253065238</v>
      </c>
      <c r="N288">
        <f t="shared" si="48"/>
        <v>37</v>
      </c>
      <c r="O288" t="str">
        <f t="shared" si="49"/>
        <v>Money</v>
      </c>
    </row>
    <row r="289" spans="1:15" hidden="1" x14ac:dyDescent="0.3">
      <c r="A289" t="s">
        <v>412</v>
      </c>
      <c r="B289" s="2">
        <v>43481</v>
      </c>
      <c r="C289" s="3">
        <v>155989951</v>
      </c>
      <c r="D289" s="4">
        <v>30217888</v>
      </c>
      <c r="E289" s="4">
        <v>309730</v>
      </c>
      <c r="F289">
        <f t="shared" si="40"/>
        <v>2019</v>
      </c>
      <c r="G289" t="str">
        <f t="shared" si="41"/>
        <v>January</v>
      </c>
      <c r="H289" t="str">
        <f t="shared" si="42"/>
        <v>Wednesday</v>
      </c>
      <c r="I289">
        <f t="shared" si="43"/>
        <v>19.570246547484331</v>
      </c>
      <c r="J289">
        <f t="shared" si="44"/>
        <v>193.71688885266718</v>
      </c>
      <c r="K289">
        <f t="shared" si="45"/>
        <v>1.9855766221761297</v>
      </c>
      <c r="L289">
        <f t="shared" si="46"/>
        <v>0.58950684704848721</v>
      </c>
      <c r="M289">
        <f t="shared" si="47"/>
        <v>0.34577246040283072</v>
      </c>
      <c r="N289">
        <f t="shared" si="48"/>
        <v>47</v>
      </c>
      <c r="O289" t="str">
        <f t="shared" si="49"/>
        <v>Other</v>
      </c>
    </row>
    <row r="290" spans="1:15" hidden="1" x14ac:dyDescent="0.3">
      <c r="A290" t="s">
        <v>318</v>
      </c>
      <c r="B290" s="2">
        <v>44128</v>
      </c>
      <c r="C290" s="3">
        <v>155242746</v>
      </c>
      <c r="D290" s="4">
        <v>4242563</v>
      </c>
      <c r="E290" s="4">
        <v>85866</v>
      </c>
      <c r="F290">
        <f t="shared" si="40"/>
        <v>2020</v>
      </c>
      <c r="G290" t="str">
        <f t="shared" si="41"/>
        <v>October</v>
      </c>
      <c r="H290" t="str">
        <f t="shared" si="42"/>
        <v>Saturday</v>
      </c>
      <c r="I290">
        <f t="shared" si="43"/>
        <v>2.7881682793732598</v>
      </c>
      <c r="J290">
        <f t="shared" si="44"/>
        <v>27.328574824359265</v>
      </c>
      <c r="K290">
        <f t="shared" si="45"/>
        <v>0.55310796937333229</v>
      </c>
      <c r="L290">
        <f t="shared" si="46"/>
        <v>0.78263079204444996</v>
      </c>
      <c r="M290">
        <f t="shared" si="47"/>
        <v>0.3496763829285115</v>
      </c>
      <c r="N290">
        <f t="shared" si="48"/>
        <v>43</v>
      </c>
      <c r="O290" t="str">
        <f t="shared" si="49"/>
        <v>Other</v>
      </c>
    </row>
    <row r="291" spans="1:15" hidden="1" x14ac:dyDescent="0.3">
      <c r="A291" t="s">
        <v>84</v>
      </c>
      <c r="B291" s="2">
        <v>45937</v>
      </c>
      <c r="C291" s="3">
        <v>153489625</v>
      </c>
      <c r="D291" s="4">
        <v>3543720</v>
      </c>
      <c r="E291" s="4">
        <v>13094</v>
      </c>
      <c r="F291">
        <f t="shared" si="40"/>
        <v>2025</v>
      </c>
      <c r="G291" t="str">
        <f t="shared" si="41"/>
        <v>October</v>
      </c>
      <c r="H291" t="str">
        <f t="shared" si="42"/>
        <v>Tuesday</v>
      </c>
      <c r="I291">
        <f t="shared" si="43"/>
        <v>2.3172992962879411</v>
      </c>
      <c r="J291">
        <f t="shared" si="44"/>
        <v>23.087684265304578</v>
      </c>
      <c r="K291">
        <f t="shared" si="45"/>
        <v>8.5308697574836084E-2</v>
      </c>
      <c r="L291">
        <f t="shared" si="46"/>
        <v>0.78343460137289023</v>
      </c>
      <c r="M291">
        <f t="shared" si="47"/>
        <v>0.34816763483576241</v>
      </c>
      <c r="N291">
        <f t="shared" si="48"/>
        <v>25</v>
      </c>
      <c r="O291" t="str">
        <f t="shared" si="49"/>
        <v>Money</v>
      </c>
    </row>
    <row r="292" spans="1:15" hidden="1" x14ac:dyDescent="0.3">
      <c r="A292" t="s">
        <v>328</v>
      </c>
      <c r="B292" s="2">
        <v>44051</v>
      </c>
      <c r="C292" s="3">
        <v>153466003</v>
      </c>
      <c r="D292" s="4">
        <v>3420902</v>
      </c>
      <c r="E292" s="4">
        <v>85425</v>
      </c>
      <c r="F292">
        <f t="shared" si="40"/>
        <v>2020</v>
      </c>
      <c r="G292" t="str">
        <f t="shared" si="41"/>
        <v>August</v>
      </c>
      <c r="H292" t="str">
        <f t="shared" si="42"/>
        <v>Saturday</v>
      </c>
      <c r="I292">
        <f t="shared" si="43"/>
        <v>2.2847581428181196</v>
      </c>
      <c r="J292">
        <f t="shared" si="44"/>
        <v>22.290943486682195</v>
      </c>
      <c r="K292">
        <f t="shared" si="45"/>
        <v>0.55663794149900425</v>
      </c>
      <c r="L292">
        <f t="shared" si="46"/>
        <v>0.78348450852884566</v>
      </c>
      <c r="M292">
        <f t="shared" si="47"/>
        <v>0.34951226160032811</v>
      </c>
      <c r="N292">
        <f t="shared" si="48"/>
        <v>45</v>
      </c>
      <c r="O292" t="str">
        <f t="shared" si="49"/>
        <v>Money</v>
      </c>
    </row>
    <row r="293" spans="1:15" x14ac:dyDescent="0.3">
      <c r="A293" t="s">
        <v>23</v>
      </c>
      <c r="B293" s="2">
        <v>46139</v>
      </c>
      <c r="C293" s="3">
        <v>18460027</v>
      </c>
      <c r="D293" s="4">
        <v>400068</v>
      </c>
      <c r="E293" s="4">
        <v>8907</v>
      </c>
      <c r="F293">
        <f t="shared" si="40"/>
        <v>2026</v>
      </c>
      <c r="G293" t="str">
        <f t="shared" si="41"/>
        <v>April</v>
      </c>
      <c r="H293" t="str">
        <f t="shared" si="42"/>
        <v>Monday</v>
      </c>
      <c r="I293">
        <f t="shared" si="43"/>
        <v>2.215462631771882</v>
      </c>
      <c r="J293">
        <f t="shared" si="44"/>
        <v>21.672124314877763</v>
      </c>
      <c r="K293">
        <f t="shared" si="45"/>
        <v>0.48250200284105765</v>
      </c>
      <c r="L293">
        <f t="shared" si="46"/>
        <v>0.78343633240335042</v>
      </c>
      <c r="M293">
        <f t="shared" si="47"/>
        <v>0.34802383458807912</v>
      </c>
      <c r="N293">
        <f t="shared" si="48"/>
        <v>24</v>
      </c>
      <c r="O293" t="str">
        <f t="shared" si="49"/>
        <v>Other</v>
      </c>
    </row>
    <row r="294" spans="1:15" hidden="1" x14ac:dyDescent="0.3">
      <c r="A294" t="s">
        <v>442</v>
      </c>
      <c r="B294" s="2">
        <v>43364</v>
      </c>
      <c r="C294" s="3">
        <v>153054766</v>
      </c>
      <c r="D294" s="4">
        <v>2296885</v>
      </c>
      <c r="E294" s="4">
        <v>55697</v>
      </c>
      <c r="F294">
        <f t="shared" si="40"/>
        <v>2018</v>
      </c>
      <c r="G294" t="str">
        <f t="shared" si="41"/>
        <v>September</v>
      </c>
      <c r="H294" t="str">
        <f t="shared" si="42"/>
        <v>Friday</v>
      </c>
      <c r="I294">
        <f t="shared" si="43"/>
        <v>1.5370850980230175</v>
      </c>
      <c r="J294">
        <f t="shared" si="44"/>
        <v>15.006948558531004</v>
      </c>
      <c r="K294">
        <f t="shared" si="45"/>
        <v>0.36390242169917142</v>
      </c>
      <c r="L294">
        <f t="shared" si="46"/>
        <v>0.78348348672379253</v>
      </c>
      <c r="M294">
        <f t="shared" si="47"/>
        <v>0.34823468232692789</v>
      </c>
      <c r="N294">
        <f t="shared" si="48"/>
        <v>39</v>
      </c>
      <c r="O294" t="str">
        <f t="shared" si="49"/>
        <v>Other</v>
      </c>
    </row>
    <row r="295" spans="1:15" hidden="1" x14ac:dyDescent="0.3">
      <c r="A295" t="s">
        <v>353</v>
      </c>
      <c r="B295" s="2">
        <v>43818</v>
      </c>
      <c r="C295" s="3">
        <v>152936009</v>
      </c>
      <c r="D295" s="4">
        <v>3454222</v>
      </c>
      <c r="E295" s="4">
        <v>295240</v>
      </c>
      <c r="F295">
        <f t="shared" si="40"/>
        <v>2019</v>
      </c>
      <c r="G295" t="str">
        <f t="shared" si="41"/>
        <v>December</v>
      </c>
      <c r="H295" t="str">
        <f t="shared" si="42"/>
        <v>Thursday</v>
      </c>
      <c r="I295">
        <f t="shared" si="43"/>
        <v>2.4516541424851752</v>
      </c>
      <c r="J295">
        <f t="shared" si="44"/>
        <v>22.586060814493987</v>
      </c>
      <c r="K295">
        <f t="shared" si="45"/>
        <v>1.930480610357761</v>
      </c>
      <c r="L295">
        <f t="shared" si="46"/>
        <v>0.78311624182763739</v>
      </c>
      <c r="M295">
        <f t="shared" si="47"/>
        <v>0.34761286777684669</v>
      </c>
      <c r="N295">
        <f t="shared" si="48"/>
        <v>41</v>
      </c>
      <c r="O295" t="str">
        <f t="shared" si="49"/>
        <v>Money</v>
      </c>
    </row>
    <row r="296" spans="1:15" hidden="1" x14ac:dyDescent="0.3">
      <c r="A296" t="s">
        <v>345</v>
      </c>
      <c r="B296" s="2">
        <v>43869</v>
      </c>
      <c r="C296" s="3">
        <v>152842470</v>
      </c>
      <c r="D296" s="4">
        <v>2759647</v>
      </c>
      <c r="E296" s="4">
        <v>54876</v>
      </c>
      <c r="F296">
        <f t="shared" si="40"/>
        <v>2020</v>
      </c>
      <c r="G296" t="str">
        <f t="shared" si="41"/>
        <v>February</v>
      </c>
      <c r="H296" t="str">
        <f t="shared" si="42"/>
        <v>Saturday</v>
      </c>
      <c r="I296">
        <f t="shared" si="43"/>
        <v>1.8414534912972815</v>
      </c>
      <c r="J296">
        <f t="shared" si="44"/>
        <v>18.055498579681419</v>
      </c>
      <c r="K296">
        <f t="shared" si="45"/>
        <v>0.35903633329139473</v>
      </c>
      <c r="L296">
        <f t="shared" si="46"/>
        <v>0.7831028990045299</v>
      </c>
      <c r="M296">
        <f t="shared" si="47"/>
        <v>0.35181630563651839</v>
      </c>
      <c r="N296">
        <f t="shared" si="48"/>
        <v>30</v>
      </c>
      <c r="O296" t="str">
        <f t="shared" si="49"/>
        <v>Challenge</v>
      </c>
    </row>
    <row r="297" spans="1:15" hidden="1" x14ac:dyDescent="0.3">
      <c r="A297" t="s">
        <v>64</v>
      </c>
      <c r="B297" s="2">
        <v>45997</v>
      </c>
      <c r="C297" s="3">
        <v>152688952</v>
      </c>
      <c r="D297" s="4">
        <v>1961174</v>
      </c>
      <c r="E297" s="4">
        <v>74377</v>
      </c>
      <c r="F297">
        <f t="shared" si="40"/>
        <v>2025</v>
      </c>
      <c r="G297" t="str">
        <f t="shared" si="41"/>
        <v>December</v>
      </c>
      <c r="H297" t="str">
        <f t="shared" si="42"/>
        <v>Saturday</v>
      </c>
      <c r="I297">
        <f t="shared" si="43"/>
        <v>1.3331357464553166</v>
      </c>
      <c r="J297">
        <f t="shared" si="44"/>
        <v>12.844242980985292</v>
      </c>
      <c r="K297">
        <f t="shared" si="45"/>
        <v>0.48711448356787462</v>
      </c>
      <c r="L297">
        <f t="shared" si="46"/>
        <v>0.78272642210407939</v>
      </c>
      <c r="M297">
        <f t="shared" si="47"/>
        <v>0.35114237160410061</v>
      </c>
      <c r="N297">
        <f t="shared" si="48"/>
        <v>34</v>
      </c>
      <c r="O297" t="str">
        <f t="shared" si="49"/>
        <v>Other</v>
      </c>
    </row>
    <row r="298" spans="1:15" hidden="1" x14ac:dyDescent="0.3">
      <c r="A298" t="s">
        <v>425</v>
      </c>
      <c r="B298" s="2">
        <v>43434</v>
      </c>
      <c r="C298" s="3">
        <v>152657782</v>
      </c>
      <c r="D298" s="4">
        <v>2423273</v>
      </c>
      <c r="E298" s="4">
        <v>73190</v>
      </c>
      <c r="F298">
        <f t="shared" si="40"/>
        <v>2018</v>
      </c>
      <c r="G298" t="str">
        <f t="shared" si="41"/>
        <v>November</v>
      </c>
      <c r="H298" t="str">
        <f t="shared" si="42"/>
        <v>Friday</v>
      </c>
      <c r="I298">
        <f t="shared" si="43"/>
        <v>1.6353329435901276</v>
      </c>
      <c r="J298">
        <f t="shared" si="44"/>
        <v>15.873891053912994</v>
      </c>
      <c r="K298">
        <f t="shared" si="45"/>
        <v>0.47943838198828281</v>
      </c>
      <c r="L298">
        <f t="shared" si="46"/>
        <v>0.78246608541866258</v>
      </c>
      <c r="M298">
        <f t="shared" si="47"/>
        <v>0.3498121560733734</v>
      </c>
      <c r="N298">
        <f t="shared" si="48"/>
        <v>48</v>
      </c>
      <c r="O298" t="str">
        <f t="shared" si="49"/>
        <v>Money</v>
      </c>
    </row>
    <row r="299" spans="1:15" hidden="1" x14ac:dyDescent="0.3">
      <c r="A299" t="s">
        <v>320</v>
      </c>
      <c r="B299" s="2">
        <v>44108</v>
      </c>
      <c r="C299" s="3">
        <v>149030914</v>
      </c>
      <c r="D299" s="4">
        <v>7367628</v>
      </c>
      <c r="E299" s="4">
        <v>263976</v>
      </c>
      <c r="F299">
        <f t="shared" si="40"/>
        <v>2020</v>
      </c>
      <c r="G299" t="str">
        <f t="shared" si="41"/>
        <v>October</v>
      </c>
      <c r="H299" t="str">
        <f t="shared" si="42"/>
        <v>Sunday</v>
      </c>
      <c r="I299">
        <f t="shared" si="43"/>
        <v>5.1208194294507248</v>
      </c>
      <c r="J299">
        <f t="shared" si="44"/>
        <v>49.436910787516204</v>
      </c>
      <c r="K299">
        <f t="shared" si="45"/>
        <v>1.7712835069910395</v>
      </c>
      <c r="L299">
        <f t="shared" si="46"/>
        <v>0.78206138083383048</v>
      </c>
      <c r="M299">
        <f t="shared" si="47"/>
        <v>0.34849674350406351</v>
      </c>
      <c r="N299">
        <f t="shared" si="48"/>
        <v>16</v>
      </c>
      <c r="O299" t="str">
        <f t="shared" si="49"/>
        <v>Other</v>
      </c>
    </row>
    <row r="300" spans="1:15" hidden="1" x14ac:dyDescent="0.3">
      <c r="A300" t="s">
        <v>357</v>
      </c>
      <c r="B300" s="2">
        <v>43799</v>
      </c>
      <c r="C300" s="3">
        <v>148719931</v>
      </c>
      <c r="D300" s="4">
        <v>2385827</v>
      </c>
      <c r="E300" s="4">
        <v>80579</v>
      </c>
      <c r="F300">
        <f t="shared" si="40"/>
        <v>2019</v>
      </c>
      <c r="G300" t="str">
        <f t="shared" si="41"/>
        <v>November</v>
      </c>
      <c r="H300" t="str">
        <f t="shared" si="42"/>
        <v>Saturday</v>
      </c>
      <c r="I300">
        <f t="shared" si="43"/>
        <v>1.6584233084400772</v>
      </c>
      <c r="J300">
        <f t="shared" si="44"/>
        <v>16.04241599601065</v>
      </c>
      <c r="K300">
        <f t="shared" si="45"/>
        <v>0.54181708839012299</v>
      </c>
      <c r="L300">
        <f t="shared" si="46"/>
        <v>0.79309987442819019</v>
      </c>
      <c r="M300">
        <f t="shared" si="47"/>
        <v>0.35165021415475012</v>
      </c>
      <c r="N300">
        <f t="shared" si="48"/>
        <v>46</v>
      </c>
      <c r="O300" t="str">
        <f t="shared" si="49"/>
        <v>Money</v>
      </c>
    </row>
    <row r="301" spans="1:15" hidden="1" x14ac:dyDescent="0.3">
      <c r="A301" t="s">
        <v>369</v>
      </c>
      <c r="B301" s="2">
        <v>43729</v>
      </c>
      <c r="C301" s="3">
        <v>148012454</v>
      </c>
      <c r="D301" s="4">
        <v>2739077</v>
      </c>
      <c r="E301" s="4">
        <v>73263</v>
      </c>
      <c r="F301">
        <f t="shared" si="40"/>
        <v>2019</v>
      </c>
      <c r="G301" t="str">
        <f t="shared" si="41"/>
        <v>September</v>
      </c>
      <c r="H301" t="str">
        <f t="shared" si="42"/>
        <v>Saturday</v>
      </c>
      <c r="I301">
        <f t="shared" si="43"/>
        <v>1.9000698414202364</v>
      </c>
      <c r="J301">
        <f t="shared" si="44"/>
        <v>18.505719795713947</v>
      </c>
      <c r="K301">
        <f t="shared" si="45"/>
        <v>0.49497861848841451</v>
      </c>
      <c r="L301">
        <f t="shared" si="46"/>
        <v>0.79273410310554693</v>
      </c>
      <c r="M301">
        <f t="shared" si="47"/>
        <v>0.35014280364616462</v>
      </c>
      <c r="N301">
        <f t="shared" si="48"/>
        <v>44</v>
      </c>
      <c r="O301" t="str">
        <f t="shared" si="49"/>
        <v>Other</v>
      </c>
    </row>
    <row r="302" spans="1:15" x14ac:dyDescent="0.3">
      <c r="A302" t="s">
        <v>32</v>
      </c>
      <c r="B302" s="2">
        <v>46114</v>
      </c>
      <c r="C302" s="3">
        <v>16947694</v>
      </c>
      <c r="D302" s="4">
        <v>453994</v>
      </c>
      <c r="E302" s="4">
        <v>8025</v>
      </c>
      <c r="F302">
        <f t="shared" si="40"/>
        <v>2026</v>
      </c>
      <c r="G302" t="str">
        <f t="shared" si="41"/>
        <v>April</v>
      </c>
      <c r="H302" t="str">
        <f t="shared" si="42"/>
        <v>Thursday</v>
      </c>
      <c r="I302">
        <f t="shared" si="43"/>
        <v>2.7261466958277629</v>
      </c>
      <c r="J302">
        <f t="shared" si="44"/>
        <v>26.787951210353455</v>
      </c>
      <c r="K302">
        <f t="shared" si="45"/>
        <v>0.47351574792417184</v>
      </c>
      <c r="L302">
        <f t="shared" si="46"/>
        <v>0.79243092847879049</v>
      </c>
      <c r="M302">
        <f t="shared" si="47"/>
        <v>0.34880826243218743</v>
      </c>
      <c r="N302">
        <f t="shared" si="48"/>
        <v>32</v>
      </c>
      <c r="O302" t="str">
        <f t="shared" si="49"/>
        <v>Other</v>
      </c>
    </row>
    <row r="303" spans="1:15" hidden="1" x14ac:dyDescent="0.3">
      <c r="A303" t="s">
        <v>449</v>
      </c>
      <c r="B303" s="2">
        <v>43336</v>
      </c>
      <c r="C303" s="3">
        <v>146254431</v>
      </c>
      <c r="D303" s="4">
        <v>3574582</v>
      </c>
      <c r="E303" s="4">
        <v>105449</v>
      </c>
      <c r="F303">
        <f t="shared" si="40"/>
        <v>2018</v>
      </c>
      <c r="G303" t="str">
        <f t="shared" si="41"/>
        <v>August</v>
      </c>
      <c r="H303" t="str">
        <f t="shared" si="42"/>
        <v>Friday</v>
      </c>
      <c r="I303">
        <f t="shared" si="43"/>
        <v>2.5161842788886171</v>
      </c>
      <c r="J303">
        <f t="shared" si="44"/>
        <v>24.440845829826515</v>
      </c>
      <c r="K303">
        <f t="shared" si="45"/>
        <v>0.72099695905965411</v>
      </c>
      <c r="L303">
        <f t="shared" si="46"/>
        <v>0.79246555486394776</v>
      </c>
      <c r="M303">
        <f t="shared" si="47"/>
        <v>0.34900232017373783</v>
      </c>
      <c r="N303">
        <f t="shared" si="48"/>
        <v>48</v>
      </c>
      <c r="O303" t="str">
        <f t="shared" si="49"/>
        <v>Challenge</v>
      </c>
    </row>
    <row r="304" spans="1:15" hidden="1" x14ac:dyDescent="0.3">
      <c r="A304" t="s">
        <v>151</v>
      </c>
      <c r="B304" s="2">
        <v>45668</v>
      </c>
      <c r="C304" s="3">
        <v>145513197</v>
      </c>
      <c r="D304" s="4">
        <v>3021109</v>
      </c>
      <c r="E304" s="4">
        <v>56096</v>
      </c>
      <c r="F304">
        <f t="shared" si="40"/>
        <v>2025</v>
      </c>
      <c r="G304" t="str">
        <f t="shared" si="41"/>
        <v>January</v>
      </c>
      <c r="H304" t="str">
        <f t="shared" si="42"/>
        <v>Saturday</v>
      </c>
      <c r="I304">
        <f t="shared" si="43"/>
        <v>2.1147257179704462</v>
      </c>
      <c r="J304">
        <f t="shared" si="44"/>
        <v>20.761752626464528</v>
      </c>
      <c r="K304">
        <f t="shared" si="45"/>
        <v>0.38550455323993743</v>
      </c>
      <c r="L304">
        <f t="shared" si="46"/>
        <v>0.79284230461114713</v>
      </c>
      <c r="M304">
        <f t="shared" si="47"/>
        <v>0.34713632633220465</v>
      </c>
      <c r="N304">
        <f t="shared" si="48"/>
        <v>32</v>
      </c>
      <c r="O304" t="str">
        <f t="shared" si="49"/>
        <v>Other</v>
      </c>
    </row>
    <row r="305" spans="1:15" hidden="1" x14ac:dyDescent="0.3">
      <c r="A305" t="s">
        <v>87</v>
      </c>
      <c r="B305" s="2">
        <v>45927</v>
      </c>
      <c r="C305" s="3">
        <v>140950343</v>
      </c>
      <c r="D305" s="4">
        <v>2326252</v>
      </c>
      <c r="E305" s="4">
        <v>32428</v>
      </c>
      <c r="F305">
        <f t="shared" si="40"/>
        <v>2025</v>
      </c>
      <c r="G305" t="str">
        <f t="shared" si="41"/>
        <v>September</v>
      </c>
      <c r="H305" t="str">
        <f t="shared" si="42"/>
        <v>Saturday</v>
      </c>
      <c r="I305">
        <f t="shared" si="43"/>
        <v>1.6734120327752591</v>
      </c>
      <c r="J305">
        <f t="shared" si="44"/>
        <v>16.504053487830106</v>
      </c>
      <c r="K305">
        <f t="shared" si="45"/>
        <v>0.2300668399224825</v>
      </c>
      <c r="L305">
        <f t="shared" si="46"/>
        <v>0.79272270280352708</v>
      </c>
      <c r="M305">
        <f t="shared" si="47"/>
        <v>0.34632436727836474</v>
      </c>
      <c r="N305">
        <f t="shared" si="48"/>
        <v>37</v>
      </c>
      <c r="O305" t="str">
        <f t="shared" si="49"/>
        <v>Money</v>
      </c>
    </row>
    <row r="306" spans="1:15" hidden="1" x14ac:dyDescent="0.3">
      <c r="A306" t="s">
        <v>243</v>
      </c>
      <c r="B306" s="2">
        <v>45163</v>
      </c>
      <c r="C306" s="3">
        <v>140725409</v>
      </c>
      <c r="D306" s="4">
        <v>5192169</v>
      </c>
      <c r="E306" s="4">
        <v>9158</v>
      </c>
      <c r="F306">
        <f t="shared" si="40"/>
        <v>2023</v>
      </c>
      <c r="G306" t="str">
        <f t="shared" si="41"/>
        <v>August</v>
      </c>
      <c r="H306" t="str">
        <f t="shared" si="42"/>
        <v>Friday</v>
      </c>
      <c r="I306">
        <f t="shared" si="43"/>
        <v>3.6960823471474153</v>
      </c>
      <c r="J306">
        <f t="shared" si="44"/>
        <v>36.895746382232936</v>
      </c>
      <c r="K306">
        <f t="shared" si="45"/>
        <v>6.5077089241218689E-2</v>
      </c>
      <c r="L306">
        <f t="shared" si="46"/>
        <v>0.79240522328803564</v>
      </c>
      <c r="M306">
        <f t="shared" si="47"/>
        <v>0.34648265745085266</v>
      </c>
      <c r="N306">
        <f t="shared" si="48"/>
        <v>38</v>
      </c>
      <c r="O306" t="str">
        <f t="shared" si="49"/>
        <v>Challenge</v>
      </c>
    </row>
    <row r="307" spans="1:15" x14ac:dyDescent="0.3">
      <c r="A307" t="s">
        <v>53</v>
      </c>
      <c r="B307" s="2">
        <v>46038</v>
      </c>
      <c r="C307" s="3">
        <v>37162928</v>
      </c>
      <c r="D307" s="4">
        <v>883076</v>
      </c>
      <c r="E307" s="4">
        <v>14509</v>
      </c>
      <c r="F307">
        <f t="shared" si="40"/>
        <v>2026</v>
      </c>
      <c r="G307" t="str">
        <f t="shared" si="41"/>
        <v>January</v>
      </c>
      <c r="H307" t="str">
        <f t="shared" si="42"/>
        <v>Friday</v>
      </c>
      <c r="I307">
        <f t="shared" si="43"/>
        <v>2.4152698624823103</v>
      </c>
      <c r="J307">
        <f t="shared" si="44"/>
        <v>23.762282670515091</v>
      </c>
      <c r="K307">
        <f t="shared" si="45"/>
        <v>0.39041595430801362</v>
      </c>
      <c r="L307">
        <f t="shared" si="46"/>
        <v>0.79643375943870498</v>
      </c>
      <c r="M307">
        <f t="shared" si="47"/>
        <v>0.34785386366368559</v>
      </c>
      <c r="N307">
        <f t="shared" si="48"/>
        <v>23</v>
      </c>
      <c r="O307" t="str">
        <f t="shared" si="49"/>
        <v>Other</v>
      </c>
    </row>
    <row r="308" spans="1:15" hidden="1" x14ac:dyDescent="0.3">
      <c r="A308" t="s">
        <v>406</v>
      </c>
      <c r="B308" s="2">
        <v>43511</v>
      </c>
      <c r="C308" s="3">
        <v>139622166</v>
      </c>
      <c r="D308" s="4">
        <v>2496185</v>
      </c>
      <c r="E308" s="4">
        <v>68204</v>
      </c>
      <c r="F308">
        <f t="shared" si="40"/>
        <v>2019</v>
      </c>
      <c r="G308" t="str">
        <f t="shared" si="41"/>
        <v>February</v>
      </c>
      <c r="H308" t="str">
        <f t="shared" si="42"/>
        <v>Friday</v>
      </c>
      <c r="I308">
        <f t="shared" si="43"/>
        <v>1.8366632415658126</v>
      </c>
      <c r="J308">
        <f t="shared" si="44"/>
        <v>17.878142643912284</v>
      </c>
      <c r="K308">
        <f t="shared" si="45"/>
        <v>0.48848977174584152</v>
      </c>
      <c r="L308">
        <f t="shared" si="46"/>
        <v>0.79650384584012612</v>
      </c>
      <c r="M308">
        <f t="shared" si="47"/>
        <v>0.34816513101639313</v>
      </c>
      <c r="N308">
        <f t="shared" si="48"/>
        <v>35</v>
      </c>
      <c r="O308" t="str">
        <f t="shared" si="49"/>
        <v>Other</v>
      </c>
    </row>
    <row r="309" spans="1:15" hidden="1" x14ac:dyDescent="0.3">
      <c r="A309" t="s">
        <v>124</v>
      </c>
      <c r="B309" s="2">
        <v>45787</v>
      </c>
      <c r="C309" s="3">
        <v>138442638</v>
      </c>
      <c r="D309" s="4">
        <v>3083779</v>
      </c>
      <c r="E309" s="4">
        <v>78603</v>
      </c>
      <c r="F309">
        <f t="shared" si="40"/>
        <v>2025</v>
      </c>
      <c r="G309" t="str">
        <f t="shared" si="41"/>
        <v>May</v>
      </c>
      <c r="H309" t="str">
        <f t="shared" si="42"/>
        <v>Saturday</v>
      </c>
      <c r="I309">
        <f t="shared" si="43"/>
        <v>2.2842543638904078</v>
      </c>
      <c r="J309">
        <f t="shared" si="44"/>
        <v>22.27477780364168</v>
      </c>
      <c r="K309">
        <f t="shared" si="45"/>
        <v>0.56776583526239943</v>
      </c>
      <c r="L309">
        <f t="shared" si="46"/>
        <v>0.79623298156745803</v>
      </c>
      <c r="M309">
        <f t="shared" si="47"/>
        <v>0.34704026544176125</v>
      </c>
      <c r="N309">
        <f t="shared" si="48"/>
        <v>41</v>
      </c>
      <c r="O309" t="str">
        <f t="shared" si="49"/>
        <v>Survival</v>
      </c>
    </row>
    <row r="310" spans="1:15" hidden="1" x14ac:dyDescent="0.3">
      <c r="A310" t="s">
        <v>365</v>
      </c>
      <c r="B310" s="2">
        <v>43757</v>
      </c>
      <c r="C310" s="3">
        <v>137745520</v>
      </c>
      <c r="D310" s="4">
        <v>2158861</v>
      </c>
      <c r="E310" s="4">
        <v>57046</v>
      </c>
      <c r="F310">
        <f t="shared" si="40"/>
        <v>2019</v>
      </c>
      <c r="G310" t="str">
        <f t="shared" si="41"/>
        <v>October</v>
      </c>
      <c r="H310" t="str">
        <f t="shared" si="42"/>
        <v>Saturday</v>
      </c>
      <c r="I310">
        <f t="shared" si="43"/>
        <v>1.6086962392678907</v>
      </c>
      <c r="J310">
        <f t="shared" si="44"/>
        <v>15.672821881974819</v>
      </c>
      <c r="K310">
        <f t="shared" si="45"/>
        <v>0.41414051070408681</v>
      </c>
      <c r="L310">
        <f t="shared" si="46"/>
        <v>0.79633193556551651</v>
      </c>
      <c r="M310">
        <f t="shared" si="47"/>
        <v>0.34568687735480785</v>
      </c>
      <c r="N310">
        <f t="shared" si="48"/>
        <v>36</v>
      </c>
      <c r="O310" t="str">
        <f t="shared" si="49"/>
        <v>Other</v>
      </c>
    </row>
    <row r="311" spans="1:15" hidden="1" x14ac:dyDescent="0.3">
      <c r="A311" t="s">
        <v>290</v>
      </c>
      <c r="B311" s="2">
        <v>44498</v>
      </c>
      <c r="C311" s="3">
        <v>136424053</v>
      </c>
      <c r="D311" s="4">
        <v>5608946</v>
      </c>
      <c r="E311" s="4">
        <v>166108</v>
      </c>
      <c r="F311">
        <f t="shared" si="40"/>
        <v>2021</v>
      </c>
      <c r="G311" t="str">
        <f t="shared" si="41"/>
        <v>October</v>
      </c>
      <c r="H311" t="str">
        <f t="shared" si="42"/>
        <v>Friday</v>
      </c>
      <c r="I311">
        <f t="shared" si="43"/>
        <v>4.2331640740801033</v>
      </c>
      <c r="J311">
        <f t="shared" si="44"/>
        <v>41.114054865383601</v>
      </c>
      <c r="K311">
        <f t="shared" si="45"/>
        <v>1.2175858754174385</v>
      </c>
      <c r="L311">
        <f t="shared" si="46"/>
        <v>0.79602830816647718</v>
      </c>
      <c r="M311">
        <f t="shared" si="47"/>
        <v>0.3448757198814183</v>
      </c>
      <c r="N311">
        <f t="shared" si="48"/>
        <v>48</v>
      </c>
      <c r="O311" t="str">
        <f t="shared" si="49"/>
        <v>Other</v>
      </c>
    </row>
    <row r="312" spans="1:15" hidden="1" x14ac:dyDescent="0.3">
      <c r="A312" t="s">
        <v>380</v>
      </c>
      <c r="B312" s="2">
        <v>43666</v>
      </c>
      <c r="C312" s="3">
        <v>136389391</v>
      </c>
      <c r="D312" s="4">
        <v>2219149</v>
      </c>
      <c r="E312" s="4">
        <v>46223</v>
      </c>
      <c r="F312">
        <f t="shared" si="40"/>
        <v>2019</v>
      </c>
      <c r="G312" t="str">
        <f t="shared" si="41"/>
        <v>July</v>
      </c>
      <c r="H312" t="str">
        <f t="shared" si="42"/>
        <v>Saturday</v>
      </c>
      <c r="I312">
        <f t="shared" si="43"/>
        <v>1.66095909908418</v>
      </c>
      <c r="J312">
        <f t="shared" si="44"/>
        <v>16.27068633219427</v>
      </c>
      <c r="K312">
        <f t="shared" si="45"/>
        <v>0.33890465864753366</v>
      </c>
      <c r="L312">
        <f t="shared" si="46"/>
        <v>0.80200771342132837</v>
      </c>
      <c r="M312">
        <f t="shared" si="47"/>
        <v>0.34404954114722414</v>
      </c>
      <c r="N312">
        <f t="shared" si="48"/>
        <v>39</v>
      </c>
      <c r="O312" t="str">
        <f t="shared" si="49"/>
        <v>Other</v>
      </c>
    </row>
    <row r="313" spans="1:15" hidden="1" x14ac:dyDescent="0.3">
      <c r="A313" t="s">
        <v>360</v>
      </c>
      <c r="B313" s="2">
        <v>43785</v>
      </c>
      <c r="C313" s="3">
        <v>135716928</v>
      </c>
      <c r="D313" s="4">
        <v>2639681</v>
      </c>
      <c r="E313" s="4">
        <v>49838</v>
      </c>
      <c r="F313">
        <f t="shared" si="40"/>
        <v>2019</v>
      </c>
      <c r="G313" t="str">
        <f t="shared" si="41"/>
        <v>November</v>
      </c>
      <c r="H313" t="str">
        <f t="shared" si="42"/>
        <v>Saturday</v>
      </c>
      <c r="I313">
        <f t="shared" si="43"/>
        <v>1.9817122592105829</v>
      </c>
      <c r="J313">
        <f t="shared" si="44"/>
        <v>19.449902373269165</v>
      </c>
      <c r="K313">
        <f t="shared" si="45"/>
        <v>0.36722021883666567</v>
      </c>
      <c r="L313">
        <f t="shared" si="46"/>
        <v>0.80171953518931882</v>
      </c>
      <c r="M313">
        <f t="shared" si="47"/>
        <v>0.34357402654881264</v>
      </c>
      <c r="N313">
        <f t="shared" si="48"/>
        <v>48</v>
      </c>
      <c r="O313" t="str">
        <f t="shared" si="49"/>
        <v>Other</v>
      </c>
    </row>
    <row r="314" spans="1:15" hidden="1" x14ac:dyDescent="0.3">
      <c r="A314" t="s">
        <v>312</v>
      </c>
      <c r="B314" s="2">
        <v>44188</v>
      </c>
      <c r="C314" s="3">
        <v>135321131</v>
      </c>
      <c r="D314" s="4">
        <v>3004515</v>
      </c>
      <c r="E314" s="4">
        <v>105707</v>
      </c>
      <c r="F314">
        <f t="shared" si="40"/>
        <v>2020</v>
      </c>
      <c r="G314" t="str">
        <f t="shared" si="41"/>
        <v>December</v>
      </c>
      <c r="H314" t="str">
        <f t="shared" si="42"/>
        <v>Wednesday</v>
      </c>
      <c r="I314">
        <f t="shared" si="43"/>
        <v>2.2984008314266897</v>
      </c>
      <c r="J314">
        <f t="shared" si="44"/>
        <v>22.20285167436267</v>
      </c>
      <c r="K314">
        <f t="shared" si="45"/>
        <v>0.78115663990422901</v>
      </c>
      <c r="L314">
        <f t="shared" si="46"/>
        <v>0.80157633712685572</v>
      </c>
      <c r="M314">
        <f t="shared" si="47"/>
        <v>0.34296496284378175</v>
      </c>
      <c r="N314">
        <f t="shared" si="48"/>
        <v>62</v>
      </c>
      <c r="O314" t="str">
        <f t="shared" si="49"/>
        <v>Other</v>
      </c>
    </row>
    <row r="315" spans="1:15" hidden="1" x14ac:dyDescent="0.3">
      <c r="A315" t="s">
        <v>462</v>
      </c>
      <c r="B315" s="2">
        <v>43273</v>
      </c>
      <c r="C315" s="3">
        <v>132824269</v>
      </c>
      <c r="D315" s="4">
        <v>2001172</v>
      </c>
      <c r="E315" s="4">
        <v>63712</v>
      </c>
      <c r="F315">
        <f t="shared" si="40"/>
        <v>2018</v>
      </c>
      <c r="G315" t="str">
        <f t="shared" si="41"/>
        <v>June</v>
      </c>
      <c r="H315" t="str">
        <f t="shared" si="42"/>
        <v>Friday</v>
      </c>
      <c r="I315">
        <f t="shared" si="43"/>
        <v>1.5545984295987354</v>
      </c>
      <c r="J315">
        <f t="shared" si="44"/>
        <v>15.066312919064512</v>
      </c>
      <c r="K315">
        <f t="shared" si="45"/>
        <v>0.47967137692284229</v>
      </c>
      <c r="L315">
        <f t="shared" si="46"/>
        <v>0.80172109550093085</v>
      </c>
      <c r="M315">
        <f t="shared" si="47"/>
        <v>0.34129505604184635</v>
      </c>
      <c r="N315">
        <f t="shared" si="48"/>
        <v>39</v>
      </c>
      <c r="O315" t="str">
        <f t="shared" si="49"/>
        <v>Other</v>
      </c>
    </row>
    <row r="316" spans="1:15" hidden="1" x14ac:dyDescent="0.3">
      <c r="A316" t="s">
        <v>281</v>
      </c>
      <c r="B316" s="2">
        <v>44744</v>
      </c>
      <c r="C316" s="3">
        <v>132482996</v>
      </c>
      <c r="D316" s="4">
        <v>4377433</v>
      </c>
      <c r="E316" s="4">
        <v>106770</v>
      </c>
      <c r="F316">
        <f t="shared" si="40"/>
        <v>2022</v>
      </c>
      <c r="G316" t="str">
        <f t="shared" si="41"/>
        <v>July</v>
      </c>
      <c r="H316" t="str">
        <f t="shared" si="42"/>
        <v>Saturday</v>
      </c>
      <c r="I316">
        <f t="shared" si="43"/>
        <v>3.3847385214627845</v>
      </c>
      <c r="J316">
        <f t="shared" si="44"/>
        <v>33.04147046916119</v>
      </c>
      <c r="K316">
        <f t="shared" si="45"/>
        <v>0.80591474546665598</v>
      </c>
      <c r="L316">
        <f t="shared" si="46"/>
        <v>0.80144636879934006</v>
      </c>
      <c r="M316">
        <f t="shared" si="47"/>
        <v>0.34026940129526395</v>
      </c>
      <c r="N316">
        <f t="shared" si="48"/>
        <v>31</v>
      </c>
      <c r="O316" t="str">
        <f t="shared" si="49"/>
        <v>Endurance</v>
      </c>
    </row>
    <row r="317" spans="1:15" x14ac:dyDescent="0.3">
      <c r="A317" t="s">
        <v>34</v>
      </c>
      <c r="B317" s="2">
        <v>46107</v>
      </c>
      <c r="C317" s="3">
        <v>41717130</v>
      </c>
      <c r="D317" s="4">
        <v>1119219</v>
      </c>
      <c r="E317" s="4">
        <v>15004</v>
      </c>
      <c r="F317">
        <f t="shared" si="40"/>
        <v>2026</v>
      </c>
      <c r="G317" t="str">
        <f t="shared" si="41"/>
        <v>March</v>
      </c>
      <c r="H317" t="str">
        <f t="shared" si="42"/>
        <v>Thursday</v>
      </c>
      <c r="I317">
        <f t="shared" si="43"/>
        <v>2.7188423556462298</v>
      </c>
      <c r="J317">
        <f t="shared" si="44"/>
        <v>26.828763148375742</v>
      </c>
      <c r="K317">
        <f t="shared" si="45"/>
        <v>0.35966040808655825</v>
      </c>
      <c r="L317">
        <f t="shared" si="46"/>
        <v>0.80411742033128852</v>
      </c>
      <c r="M317">
        <f t="shared" si="47"/>
        <v>0.3386609046201618</v>
      </c>
      <c r="N317">
        <f t="shared" si="48"/>
        <v>39</v>
      </c>
      <c r="O317" t="str">
        <f t="shared" si="49"/>
        <v>Money</v>
      </c>
    </row>
    <row r="318" spans="1:15" hidden="1" x14ac:dyDescent="0.3">
      <c r="A318" t="s">
        <v>347</v>
      </c>
      <c r="B318" s="2">
        <v>43855</v>
      </c>
      <c r="C318" s="3">
        <v>131582778</v>
      </c>
      <c r="D318" s="4">
        <v>2314228</v>
      </c>
      <c r="E318" s="4">
        <v>45743</v>
      </c>
      <c r="F318">
        <f t="shared" si="40"/>
        <v>2020</v>
      </c>
      <c r="G318" t="str">
        <f t="shared" si="41"/>
        <v>January</v>
      </c>
      <c r="H318" t="str">
        <f t="shared" si="42"/>
        <v>Saturday</v>
      </c>
      <c r="I318">
        <f t="shared" si="43"/>
        <v>1.7935257454436779</v>
      </c>
      <c r="J318">
        <f t="shared" si="44"/>
        <v>17.587620775113898</v>
      </c>
      <c r="K318">
        <f t="shared" si="45"/>
        <v>0.34763667932288222</v>
      </c>
      <c r="L318">
        <f t="shared" si="46"/>
        <v>0.80423251928116113</v>
      </c>
      <c r="M318">
        <f t="shared" si="47"/>
        <v>0.3389647853334975</v>
      </c>
      <c r="N318">
        <f t="shared" si="48"/>
        <v>38</v>
      </c>
      <c r="O318" t="str">
        <f t="shared" si="49"/>
        <v>Money</v>
      </c>
    </row>
    <row r="319" spans="1:15" x14ac:dyDescent="0.3">
      <c r="A319" t="s">
        <v>29</v>
      </c>
      <c r="B319" s="2">
        <v>46119</v>
      </c>
      <c r="C319" s="3">
        <v>51790997</v>
      </c>
      <c r="D319" s="4">
        <v>1484672</v>
      </c>
      <c r="E319" s="4">
        <v>14905</v>
      </c>
      <c r="F319">
        <f t="shared" si="40"/>
        <v>2026</v>
      </c>
      <c r="G319" t="str">
        <f t="shared" si="41"/>
        <v>April</v>
      </c>
      <c r="H319" t="str">
        <f t="shared" si="42"/>
        <v>Tuesday</v>
      </c>
      <c r="I319">
        <f t="shared" si="43"/>
        <v>2.8954395297700102</v>
      </c>
      <c r="J319">
        <f t="shared" si="44"/>
        <v>28.666603965936396</v>
      </c>
      <c r="K319">
        <f t="shared" si="45"/>
        <v>0.28779133176370403</v>
      </c>
      <c r="L319">
        <f t="shared" si="46"/>
        <v>0.80400677244271679</v>
      </c>
      <c r="M319">
        <f t="shared" si="47"/>
        <v>0.33846705882919281</v>
      </c>
      <c r="N319">
        <f t="shared" si="48"/>
        <v>19</v>
      </c>
      <c r="O319" t="str">
        <f t="shared" si="49"/>
        <v>Money</v>
      </c>
    </row>
    <row r="320" spans="1:15" hidden="1" x14ac:dyDescent="0.3">
      <c r="A320" t="s">
        <v>69</v>
      </c>
      <c r="B320" s="2">
        <v>45983</v>
      </c>
      <c r="C320" s="3">
        <v>130070298</v>
      </c>
      <c r="D320" s="4">
        <v>2123976</v>
      </c>
      <c r="E320" s="4">
        <v>67684</v>
      </c>
      <c r="F320">
        <f t="shared" si="40"/>
        <v>2025</v>
      </c>
      <c r="G320" t="str">
        <f t="shared" si="41"/>
        <v>November</v>
      </c>
      <c r="H320" t="str">
        <f t="shared" si="42"/>
        <v>Saturday</v>
      </c>
      <c r="I320">
        <f t="shared" si="43"/>
        <v>1.6849811476560159</v>
      </c>
      <c r="J320">
        <f t="shared" si="44"/>
        <v>16.329446711961864</v>
      </c>
      <c r="K320">
        <f t="shared" si="45"/>
        <v>0.52036476459829439</v>
      </c>
      <c r="L320">
        <f t="shared" si="46"/>
        <v>0.80423224733428522</v>
      </c>
      <c r="M320">
        <f t="shared" si="47"/>
        <v>0.33881271625798687</v>
      </c>
      <c r="N320">
        <f t="shared" si="48"/>
        <v>30</v>
      </c>
      <c r="O320" t="str">
        <f t="shared" si="49"/>
        <v>Other</v>
      </c>
    </row>
    <row r="321" spans="1:15" hidden="1" x14ac:dyDescent="0.3">
      <c r="A321" t="s">
        <v>359</v>
      </c>
      <c r="B321" s="2">
        <v>43792</v>
      </c>
      <c r="C321" s="3">
        <v>129923384</v>
      </c>
      <c r="D321" s="4">
        <v>3051292</v>
      </c>
      <c r="E321" s="4">
        <v>94074</v>
      </c>
      <c r="F321">
        <f t="shared" si="40"/>
        <v>2019</v>
      </c>
      <c r="G321" t="str">
        <f t="shared" si="41"/>
        <v>November</v>
      </c>
      <c r="H321" t="str">
        <f t="shared" si="42"/>
        <v>Saturday</v>
      </c>
      <c r="I321">
        <f t="shared" si="43"/>
        <v>2.4209390974607006</v>
      </c>
      <c r="J321">
        <f t="shared" si="44"/>
        <v>23.485318085618829</v>
      </c>
      <c r="K321">
        <f t="shared" si="45"/>
        <v>0.72407288898817468</v>
      </c>
      <c r="L321">
        <f t="shared" si="46"/>
        <v>0.8039758221144282</v>
      </c>
      <c r="M321">
        <f t="shared" si="47"/>
        <v>0.33768842439714875</v>
      </c>
      <c r="N321">
        <f t="shared" si="48"/>
        <v>20</v>
      </c>
      <c r="O321" t="str">
        <f t="shared" si="49"/>
        <v>Other</v>
      </c>
    </row>
    <row r="322" spans="1:15" x14ac:dyDescent="0.3">
      <c r="A322" t="s">
        <v>10</v>
      </c>
      <c r="B322" s="2">
        <v>46171</v>
      </c>
      <c r="C322" s="3">
        <v>230044635</v>
      </c>
      <c r="D322" s="4">
        <v>5129789</v>
      </c>
      <c r="E322" s="4">
        <v>61502</v>
      </c>
      <c r="F322">
        <f t="shared" ref="F322:F385" si="50">YEAR(B322)</f>
        <v>2026</v>
      </c>
      <c r="G322" t="str">
        <f t="shared" ref="G322:G385" si="51">TEXT(B322,"MMMM")</f>
        <v>May</v>
      </c>
      <c r="H322" t="str">
        <f t="shared" ref="H322:H385" si="52">TEXT(B322, "DDDD")</f>
        <v>Friday</v>
      </c>
      <c r="I322">
        <f t="shared" ref="I322:I385" si="53">((D322+E322)/C322)*100</f>
        <v>2.256645107154966</v>
      </c>
      <c r="J322">
        <f t="shared" ref="J322:J385" si="54">(D322/C322)*1000</f>
        <v>22.299102954520109</v>
      </c>
      <c r="K322">
        <f t="shared" ref="K322:K385" si="55">(E322/C322)*1000</f>
        <v>0.26734811702954953</v>
      </c>
      <c r="L322">
        <f t="shared" ref="L322:L385" si="56">CORREL(C322:C820, D322:D820)</f>
        <v>0.80432610599297694</v>
      </c>
      <c r="M322">
        <f t="shared" ref="M322:M385" si="57">CORREL(C322:C820,E322:E820)</f>
        <v>0.3361582134319806</v>
      </c>
      <c r="N322">
        <f t="shared" ref="N322:N385" si="58">LEN(A322)</f>
        <v>44</v>
      </c>
      <c r="O322" t="str">
        <f t="shared" ref="O322:O385" si="59">IF(ISNUMBER(SEARCH("$",A322)), "Money", IF(ISNUMBER(SEARCH("Win",A322)), "Challenge",IF(ISNUMBER(SEARCH("Challenge",A322)), "Challenge",IF(ISNUMBER(SEARCH("Last To Leave",A322)),"Challenge",IF(ISNUMBER(SEARCH("Giving Away", A322)),"Giveaway",IF(ISNUMBER(SEARCH("Stranded",A322)),"Survival", IF(ISNUMBER(SEARCH("Survive",A322)), "Survival", IF(ISNUMBER(SEARCH("Days",A322)),"Endurance","Other"))))))))</f>
        <v>Money</v>
      </c>
    </row>
    <row r="323" spans="1:15" x14ac:dyDescent="0.3">
      <c r="A323" t="s">
        <v>38</v>
      </c>
      <c r="B323" s="2">
        <v>46094</v>
      </c>
      <c r="C323" s="3">
        <v>87493049</v>
      </c>
      <c r="D323" s="4">
        <v>2293405</v>
      </c>
      <c r="E323" s="4">
        <v>21677</v>
      </c>
      <c r="F323">
        <f t="shared" si="50"/>
        <v>2026</v>
      </c>
      <c r="G323" t="str">
        <f t="shared" si="51"/>
        <v>March</v>
      </c>
      <c r="H323" t="str">
        <f t="shared" si="52"/>
        <v>Friday</v>
      </c>
      <c r="I323">
        <f t="shared" si="53"/>
        <v>2.6460181996857832</v>
      </c>
      <c r="J323">
        <f t="shared" si="54"/>
        <v>26.212425172198536</v>
      </c>
      <c r="K323">
        <f t="shared" si="55"/>
        <v>0.24775682465929377</v>
      </c>
      <c r="L323">
        <f t="shared" si="56"/>
        <v>0.80470610509125207</v>
      </c>
      <c r="M323">
        <f t="shared" si="57"/>
        <v>0.33375405647052386</v>
      </c>
      <c r="N323">
        <f t="shared" si="58"/>
        <v>26</v>
      </c>
      <c r="O323" t="str">
        <f t="shared" si="59"/>
        <v>Money</v>
      </c>
    </row>
    <row r="324" spans="1:15" x14ac:dyDescent="0.3">
      <c r="A324" t="s">
        <v>6</v>
      </c>
      <c r="B324" s="2">
        <v>46187</v>
      </c>
      <c r="C324" s="3">
        <v>112979930</v>
      </c>
      <c r="D324" s="4">
        <v>2256693</v>
      </c>
      <c r="E324" s="4">
        <v>21554</v>
      </c>
      <c r="F324">
        <f t="shared" si="50"/>
        <v>2026</v>
      </c>
      <c r="G324" t="str">
        <f t="shared" si="51"/>
        <v>June</v>
      </c>
      <c r="H324" t="str">
        <f t="shared" si="52"/>
        <v>Sunday</v>
      </c>
      <c r="I324">
        <f t="shared" si="53"/>
        <v>2.0165059404798713</v>
      </c>
      <c r="J324">
        <f t="shared" si="54"/>
        <v>19.97428215790185</v>
      </c>
      <c r="K324">
        <f t="shared" si="55"/>
        <v>0.19077724689686035</v>
      </c>
      <c r="L324">
        <f t="shared" si="56"/>
        <v>0.80512825732162119</v>
      </c>
      <c r="M324">
        <f t="shared" si="57"/>
        <v>0.33408504883906526</v>
      </c>
      <c r="N324">
        <f t="shared" si="58"/>
        <v>31</v>
      </c>
      <c r="O324" t="str">
        <f t="shared" si="59"/>
        <v>Money</v>
      </c>
    </row>
    <row r="325" spans="1:15" x14ac:dyDescent="0.3">
      <c r="A325" t="s">
        <v>51</v>
      </c>
      <c r="B325" s="2">
        <v>46047</v>
      </c>
      <c r="C325" s="3">
        <v>174949490</v>
      </c>
      <c r="D325" s="4">
        <v>3817798</v>
      </c>
      <c r="E325" s="4">
        <v>33150</v>
      </c>
      <c r="F325">
        <f t="shared" si="50"/>
        <v>2026</v>
      </c>
      <c r="G325" t="str">
        <f t="shared" si="51"/>
        <v>January</v>
      </c>
      <c r="H325" t="str">
        <f t="shared" si="52"/>
        <v>Sunday</v>
      </c>
      <c r="I325">
        <f t="shared" si="53"/>
        <v>2.2011770368693275</v>
      </c>
      <c r="J325">
        <f t="shared" si="54"/>
        <v>21.822287106981566</v>
      </c>
      <c r="K325">
        <f t="shared" si="55"/>
        <v>0.1894832617117089</v>
      </c>
      <c r="L325">
        <f t="shared" si="56"/>
        <v>0.80511491609161001</v>
      </c>
      <c r="M325">
        <f t="shared" si="57"/>
        <v>0.3344990196129467</v>
      </c>
      <c r="N325">
        <f t="shared" si="58"/>
        <v>22</v>
      </c>
      <c r="O325" t="str">
        <f t="shared" si="59"/>
        <v>Other</v>
      </c>
    </row>
    <row r="326" spans="1:15" x14ac:dyDescent="0.3">
      <c r="A326" t="s">
        <v>21</v>
      </c>
      <c r="B326" s="2">
        <v>46141</v>
      </c>
      <c r="C326" s="3">
        <v>63292424</v>
      </c>
      <c r="D326" s="4">
        <v>1337947</v>
      </c>
      <c r="E326" s="4">
        <v>11721</v>
      </c>
      <c r="F326">
        <f t="shared" si="50"/>
        <v>2026</v>
      </c>
      <c r="G326" t="str">
        <f t="shared" si="51"/>
        <v>April</v>
      </c>
      <c r="H326" t="str">
        <f t="shared" si="52"/>
        <v>Wednesday</v>
      </c>
      <c r="I326">
        <f t="shared" si="53"/>
        <v>2.1324321533332329</v>
      </c>
      <c r="J326">
        <f t="shared" si="54"/>
        <v>21.139133492501408</v>
      </c>
      <c r="K326">
        <f t="shared" si="55"/>
        <v>0.18518804083092158</v>
      </c>
      <c r="L326">
        <f t="shared" si="56"/>
        <v>0.80532343145881091</v>
      </c>
      <c r="M326">
        <f t="shared" si="57"/>
        <v>0.33444670605441629</v>
      </c>
      <c r="N326">
        <f t="shared" si="58"/>
        <v>37</v>
      </c>
      <c r="O326" t="str">
        <f t="shared" si="59"/>
        <v>Money</v>
      </c>
    </row>
    <row r="327" spans="1:15" hidden="1" x14ac:dyDescent="0.3">
      <c r="A327" t="s">
        <v>405</v>
      </c>
      <c r="B327" s="2">
        <v>43518</v>
      </c>
      <c r="C327" s="3">
        <v>125915463</v>
      </c>
      <c r="D327" s="4">
        <v>2045125</v>
      </c>
      <c r="E327" s="4">
        <v>36720</v>
      </c>
      <c r="F327">
        <f t="shared" si="50"/>
        <v>2019</v>
      </c>
      <c r="G327" t="str">
        <f t="shared" si="51"/>
        <v>February</v>
      </c>
      <c r="H327" t="str">
        <f t="shared" si="52"/>
        <v>Friday</v>
      </c>
      <c r="I327">
        <f t="shared" si="53"/>
        <v>1.6533672278201448</v>
      </c>
      <c r="J327">
        <f t="shared" si="54"/>
        <v>16.242048047744539</v>
      </c>
      <c r="K327">
        <f t="shared" si="55"/>
        <v>0.29162423045690583</v>
      </c>
      <c r="L327">
        <f t="shared" si="56"/>
        <v>0.80538958975205632</v>
      </c>
      <c r="M327">
        <f t="shared" si="57"/>
        <v>0.33488312528846526</v>
      </c>
      <c r="N327">
        <f t="shared" si="58"/>
        <v>55</v>
      </c>
      <c r="O327" t="str">
        <f t="shared" si="59"/>
        <v>Challenge</v>
      </c>
    </row>
    <row r="328" spans="1:15" x14ac:dyDescent="0.3">
      <c r="A328" t="s">
        <v>46</v>
      </c>
      <c r="B328" s="2">
        <v>46065</v>
      </c>
      <c r="C328" s="3">
        <v>109837392</v>
      </c>
      <c r="D328" s="4">
        <v>2445299</v>
      </c>
      <c r="E328" s="4">
        <v>17851</v>
      </c>
      <c r="F328">
        <f t="shared" si="50"/>
        <v>2026</v>
      </c>
      <c r="G328" t="str">
        <f t="shared" si="51"/>
        <v>February</v>
      </c>
      <c r="H328" t="str">
        <f t="shared" si="52"/>
        <v>Thursday</v>
      </c>
      <c r="I328">
        <f t="shared" si="53"/>
        <v>2.2425423211068232</v>
      </c>
      <c r="J328">
        <f t="shared" si="54"/>
        <v>22.262901143901889</v>
      </c>
      <c r="K328">
        <f t="shared" si="55"/>
        <v>0.16252206716634349</v>
      </c>
      <c r="L328">
        <f t="shared" si="56"/>
        <v>0.80514500616061313</v>
      </c>
      <c r="M328">
        <f t="shared" si="57"/>
        <v>0.33468543119843175</v>
      </c>
      <c r="N328">
        <f t="shared" si="58"/>
        <v>45</v>
      </c>
      <c r="O328" t="str">
        <f t="shared" si="59"/>
        <v>Other</v>
      </c>
    </row>
    <row r="329" spans="1:15" hidden="1" x14ac:dyDescent="0.3">
      <c r="A329" t="s">
        <v>387</v>
      </c>
      <c r="B329" s="2">
        <v>43622</v>
      </c>
      <c r="C329" s="3">
        <v>124889171</v>
      </c>
      <c r="D329" s="4">
        <v>2392781</v>
      </c>
      <c r="E329" s="4">
        <v>65737</v>
      </c>
      <c r="F329">
        <f t="shared" si="50"/>
        <v>2019</v>
      </c>
      <c r="G329" t="str">
        <f t="shared" si="51"/>
        <v>June</v>
      </c>
      <c r="H329" t="str">
        <f t="shared" si="52"/>
        <v>Thursday</v>
      </c>
      <c r="I329">
        <f t="shared" si="53"/>
        <v>1.9685597881020442</v>
      </c>
      <c r="J329">
        <f t="shared" si="54"/>
        <v>19.159235191015881</v>
      </c>
      <c r="K329">
        <f t="shared" si="55"/>
        <v>0.52636269000456415</v>
      </c>
      <c r="L329">
        <f t="shared" si="56"/>
        <v>0.80532774080804981</v>
      </c>
      <c r="M329">
        <f t="shared" si="57"/>
        <v>0.33522237726868565</v>
      </c>
      <c r="N329">
        <f t="shared" si="58"/>
        <v>33</v>
      </c>
      <c r="O329" t="str">
        <f t="shared" si="59"/>
        <v>Money</v>
      </c>
    </row>
    <row r="330" spans="1:15" hidden="1" x14ac:dyDescent="0.3">
      <c r="A330" t="s">
        <v>407</v>
      </c>
      <c r="B330" s="2">
        <v>43506</v>
      </c>
      <c r="C330" s="3">
        <v>124194580</v>
      </c>
      <c r="D330" s="4">
        <v>2355769</v>
      </c>
      <c r="E330" s="4">
        <v>132982</v>
      </c>
      <c r="F330">
        <f t="shared" si="50"/>
        <v>2019</v>
      </c>
      <c r="G330" t="str">
        <f t="shared" si="51"/>
        <v>February</v>
      </c>
      <c r="H330" t="str">
        <f t="shared" si="52"/>
        <v>Sunday</v>
      </c>
      <c r="I330">
        <f t="shared" si="53"/>
        <v>2.003912731135288</v>
      </c>
      <c r="J330">
        <f t="shared" si="54"/>
        <v>18.968372049730348</v>
      </c>
      <c r="K330">
        <f t="shared" si="55"/>
        <v>1.0707552616225282</v>
      </c>
      <c r="L330">
        <f t="shared" si="56"/>
        <v>0.80522624671995424</v>
      </c>
      <c r="M330">
        <f t="shared" si="57"/>
        <v>0.33413339225601757</v>
      </c>
      <c r="N330">
        <f t="shared" si="58"/>
        <v>42</v>
      </c>
      <c r="O330" t="str">
        <f t="shared" si="59"/>
        <v>Other</v>
      </c>
    </row>
    <row r="331" spans="1:15" hidden="1" x14ac:dyDescent="0.3">
      <c r="A331" t="s">
        <v>399</v>
      </c>
      <c r="B331" s="2">
        <v>43553</v>
      </c>
      <c r="C331" s="3">
        <v>122714114</v>
      </c>
      <c r="D331" s="4">
        <v>2094099</v>
      </c>
      <c r="E331" s="4">
        <v>44675</v>
      </c>
      <c r="F331">
        <f t="shared" si="50"/>
        <v>2019</v>
      </c>
      <c r="G331" t="str">
        <f t="shared" si="51"/>
        <v>March</v>
      </c>
      <c r="H331" t="str">
        <f t="shared" si="52"/>
        <v>Friday</v>
      </c>
      <c r="I331">
        <f t="shared" si="53"/>
        <v>1.7428916122883795</v>
      </c>
      <c r="J331">
        <f t="shared" si="54"/>
        <v>17.064858570384168</v>
      </c>
      <c r="K331">
        <f t="shared" si="55"/>
        <v>0.36405755249962524</v>
      </c>
      <c r="L331">
        <f t="shared" si="56"/>
        <v>0.8051124727600143</v>
      </c>
      <c r="M331">
        <f t="shared" si="57"/>
        <v>0.33287801147656509</v>
      </c>
      <c r="N331">
        <f t="shared" si="58"/>
        <v>43</v>
      </c>
      <c r="O331" t="str">
        <f t="shared" si="59"/>
        <v>Challenge</v>
      </c>
    </row>
    <row r="332" spans="1:15" hidden="1" x14ac:dyDescent="0.3">
      <c r="A332" t="s">
        <v>140</v>
      </c>
      <c r="B332" s="2">
        <v>45730</v>
      </c>
      <c r="C332" s="3">
        <v>122705506</v>
      </c>
      <c r="D332" s="4">
        <v>2643532</v>
      </c>
      <c r="E332" s="4">
        <v>7471</v>
      </c>
      <c r="F332">
        <f t="shared" si="50"/>
        <v>2025</v>
      </c>
      <c r="G332" t="str">
        <f t="shared" si="51"/>
        <v>March</v>
      </c>
      <c r="H332" t="str">
        <f t="shared" si="52"/>
        <v>Friday</v>
      </c>
      <c r="I332">
        <f t="shared" si="53"/>
        <v>2.1604596944492451</v>
      </c>
      <c r="J332">
        <f t="shared" si="54"/>
        <v>21.543711331095444</v>
      </c>
      <c r="K332">
        <f t="shared" si="55"/>
        <v>6.0885613397005996E-2</v>
      </c>
      <c r="L332">
        <f t="shared" si="56"/>
        <v>0.80490272717264644</v>
      </c>
      <c r="M332">
        <f t="shared" si="57"/>
        <v>0.33236711368153538</v>
      </c>
      <c r="N332">
        <f t="shared" si="58"/>
        <v>53</v>
      </c>
      <c r="O332" t="str">
        <f t="shared" si="59"/>
        <v>Other</v>
      </c>
    </row>
    <row r="333" spans="1:15" hidden="1" x14ac:dyDescent="0.3">
      <c r="A333" t="s">
        <v>448</v>
      </c>
      <c r="B333" s="2">
        <v>43340</v>
      </c>
      <c r="C333" s="3">
        <v>122547732</v>
      </c>
      <c r="D333" s="4">
        <v>2498615</v>
      </c>
      <c r="E333" s="4">
        <v>66971</v>
      </c>
      <c r="F333">
        <f t="shared" si="50"/>
        <v>2018</v>
      </c>
      <c r="G333" t="str">
        <f t="shared" si="51"/>
        <v>August</v>
      </c>
      <c r="H333" t="str">
        <f t="shared" si="52"/>
        <v>Tuesday</v>
      </c>
      <c r="I333">
        <f t="shared" si="53"/>
        <v>2.0935401725753686</v>
      </c>
      <c r="J333">
        <f t="shared" si="54"/>
        <v>20.388912623858268</v>
      </c>
      <c r="K333">
        <f t="shared" si="55"/>
        <v>0.54648910189541489</v>
      </c>
      <c r="L333">
        <f t="shared" si="56"/>
        <v>0.80503206963377116</v>
      </c>
      <c r="M333">
        <f t="shared" si="57"/>
        <v>0.33350035806565403</v>
      </c>
      <c r="N333">
        <f t="shared" si="58"/>
        <v>68</v>
      </c>
      <c r="O333" t="str">
        <f t="shared" si="59"/>
        <v>Other</v>
      </c>
    </row>
    <row r="334" spans="1:15" hidden="1" x14ac:dyDescent="0.3">
      <c r="A334" t="s">
        <v>110</v>
      </c>
      <c r="B334" s="2">
        <v>45849</v>
      </c>
      <c r="C334" s="3">
        <v>122286740</v>
      </c>
      <c r="D334" s="4">
        <v>1974694</v>
      </c>
      <c r="E334" s="4">
        <v>16879</v>
      </c>
      <c r="F334">
        <f t="shared" si="50"/>
        <v>2025</v>
      </c>
      <c r="G334" t="str">
        <f t="shared" si="51"/>
        <v>July</v>
      </c>
      <c r="H334" t="str">
        <f t="shared" si="52"/>
        <v>Friday</v>
      </c>
      <c r="I334">
        <f t="shared" si="53"/>
        <v>1.6286091198440649</v>
      </c>
      <c r="J334">
        <f t="shared" si="54"/>
        <v>16.148063150591796</v>
      </c>
      <c r="K334">
        <f t="shared" si="55"/>
        <v>0.138028047848851</v>
      </c>
      <c r="L334">
        <f t="shared" si="56"/>
        <v>0.80504187902164037</v>
      </c>
      <c r="M334">
        <f t="shared" si="57"/>
        <v>0.33237124349379871</v>
      </c>
      <c r="N334">
        <f t="shared" si="58"/>
        <v>12</v>
      </c>
      <c r="O334" t="str">
        <f t="shared" si="59"/>
        <v>Other</v>
      </c>
    </row>
    <row r="335" spans="1:15" hidden="1" x14ac:dyDescent="0.3">
      <c r="A335" t="s">
        <v>74</v>
      </c>
      <c r="B335" s="2">
        <v>45969</v>
      </c>
      <c r="C335" s="3">
        <v>122228146</v>
      </c>
      <c r="D335" s="4">
        <v>2001300</v>
      </c>
      <c r="E335" s="4">
        <v>85073</v>
      </c>
      <c r="F335">
        <f t="shared" si="50"/>
        <v>2025</v>
      </c>
      <c r="G335" t="str">
        <f t="shared" si="51"/>
        <v>November</v>
      </c>
      <c r="H335" t="str">
        <f t="shared" si="52"/>
        <v>Saturday</v>
      </c>
      <c r="I335">
        <f t="shared" si="53"/>
        <v>1.7069497233476814</v>
      </c>
      <c r="J335">
        <f t="shared" si="54"/>
        <v>16.373479149393301</v>
      </c>
      <c r="K335">
        <f t="shared" si="55"/>
        <v>0.69601808408351373</v>
      </c>
      <c r="L335">
        <f t="shared" si="56"/>
        <v>0.80480376649048702</v>
      </c>
      <c r="M335">
        <f t="shared" si="57"/>
        <v>0.33299747549023939</v>
      </c>
      <c r="N335">
        <f t="shared" si="58"/>
        <v>37</v>
      </c>
      <c r="O335" t="str">
        <f t="shared" si="59"/>
        <v>Other</v>
      </c>
    </row>
    <row r="336" spans="1:15" hidden="1" x14ac:dyDescent="0.3">
      <c r="A336" t="s">
        <v>419</v>
      </c>
      <c r="B336" s="2">
        <v>43453</v>
      </c>
      <c r="C336" s="3">
        <v>120274022</v>
      </c>
      <c r="D336" s="4">
        <v>2119787</v>
      </c>
      <c r="E336" s="4">
        <v>73849</v>
      </c>
      <c r="F336">
        <f t="shared" si="50"/>
        <v>2018</v>
      </c>
      <c r="G336" t="str">
        <f t="shared" si="51"/>
        <v>December</v>
      </c>
      <c r="H336" t="str">
        <f t="shared" si="52"/>
        <v>Wednesday</v>
      </c>
      <c r="I336">
        <f t="shared" si="53"/>
        <v>1.8238651734786089</v>
      </c>
      <c r="J336">
        <f t="shared" si="54"/>
        <v>17.624645494934892</v>
      </c>
      <c r="K336">
        <f t="shared" si="55"/>
        <v>0.61400623985119585</v>
      </c>
      <c r="L336">
        <f t="shared" si="56"/>
        <v>0.8045685288066684</v>
      </c>
      <c r="M336">
        <f t="shared" si="57"/>
        <v>0.33157348929624858</v>
      </c>
      <c r="N336">
        <f t="shared" si="58"/>
        <v>47</v>
      </c>
      <c r="O336" t="str">
        <f t="shared" si="59"/>
        <v>Challenge</v>
      </c>
    </row>
    <row r="337" spans="1:15" hidden="1" x14ac:dyDescent="0.3">
      <c r="A337" t="s">
        <v>364</v>
      </c>
      <c r="B337" s="2">
        <v>43763</v>
      </c>
      <c r="C337" s="3">
        <v>120062594</v>
      </c>
      <c r="D337" s="4">
        <v>4544877</v>
      </c>
      <c r="E337" s="4">
        <v>160027</v>
      </c>
      <c r="F337">
        <f t="shared" si="50"/>
        <v>2019</v>
      </c>
      <c r="G337" t="str">
        <f t="shared" si="51"/>
        <v>October</v>
      </c>
      <c r="H337" t="str">
        <f t="shared" si="52"/>
        <v>Friday</v>
      </c>
      <c r="I337">
        <f t="shared" si="53"/>
        <v>3.9187092692666625</v>
      </c>
      <c r="J337">
        <f t="shared" si="54"/>
        <v>37.854229602935284</v>
      </c>
      <c r="K337">
        <f t="shared" si="55"/>
        <v>1.3328630897313447</v>
      </c>
      <c r="L337">
        <f t="shared" si="56"/>
        <v>0.80438602787254243</v>
      </c>
      <c r="M337">
        <f t="shared" si="57"/>
        <v>0.33033175106082124</v>
      </c>
      <c r="N337">
        <f t="shared" si="58"/>
        <v>51</v>
      </c>
      <c r="O337" t="str">
        <f t="shared" si="59"/>
        <v>Other</v>
      </c>
    </row>
    <row r="338" spans="1:15" hidden="1" x14ac:dyDescent="0.3">
      <c r="A338" t="s">
        <v>411</v>
      </c>
      <c r="B338" s="2">
        <v>43483</v>
      </c>
      <c r="C338" s="3">
        <v>120043336</v>
      </c>
      <c r="D338" s="4">
        <v>1737386</v>
      </c>
      <c r="E338" s="4">
        <v>62262</v>
      </c>
      <c r="F338">
        <f t="shared" si="50"/>
        <v>2019</v>
      </c>
      <c r="G338" t="str">
        <f t="shared" si="51"/>
        <v>January</v>
      </c>
      <c r="H338" t="str">
        <f t="shared" si="52"/>
        <v>Friday</v>
      </c>
      <c r="I338">
        <f t="shared" si="53"/>
        <v>1.4991652681161742</v>
      </c>
      <c r="J338">
        <f t="shared" si="54"/>
        <v>14.472989987549163</v>
      </c>
      <c r="K338">
        <f t="shared" si="55"/>
        <v>0.51866269361258011</v>
      </c>
      <c r="L338">
        <f t="shared" si="56"/>
        <v>0.80876114924080067</v>
      </c>
      <c r="M338">
        <f t="shared" si="57"/>
        <v>0.32995869192064703</v>
      </c>
      <c r="N338">
        <f t="shared" si="58"/>
        <v>40</v>
      </c>
      <c r="O338" t="str">
        <f t="shared" si="59"/>
        <v>Other</v>
      </c>
    </row>
    <row r="339" spans="1:15" hidden="1" x14ac:dyDescent="0.3">
      <c r="A339" t="s">
        <v>77</v>
      </c>
      <c r="B339" s="2">
        <v>45961</v>
      </c>
      <c r="C339" s="3">
        <v>119577779</v>
      </c>
      <c r="D339" s="4">
        <v>1706186</v>
      </c>
      <c r="E339" s="4">
        <v>12739</v>
      </c>
      <c r="F339">
        <f t="shared" si="50"/>
        <v>2025</v>
      </c>
      <c r="G339" t="str">
        <f t="shared" si="51"/>
        <v>October</v>
      </c>
      <c r="H339" t="str">
        <f t="shared" si="52"/>
        <v>Friday</v>
      </c>
      <c r="I339">
        <f t="shared" si="53"/>
        <v>1.4374953393305623</v>
      </c>
      <c r="J339">
        <f t="shared" si="54"/>
        <v>14.268420222121703</v>
      </c>
      <c r="K339">
        <f t="shared" si="55"/>
        <v>0.10653317118392039</v>
      </c>
      <c r="L339">
        <f t="shared" si="56"/>
        <v>0.80852097938509215</v>
      </c>
      <c r="M339">
        <f t="shared" si="57"/>
        <v>0.32889402179130606</v>
      </c>
      <c r="N339">
        <f t="shared" si="58"/>
        <v>38</v>
      </c>
      <c r="O339" t="str">
        <f t="shared" si="59"/>
        <v>Other</v>
      </c>
    </row>
    <row r="340" spans="1:15" hidden="1" x14ac:dyDescent="0.3">
      <c r="A340" t="s">
        <v>104</v>
      </c>
      <c r="B340" s="2">
        <v>45870</v>
      </c>
      <c r="C340" s="3">
        <v>116976472</v>
      </c>
      <c r="D340" s="4">
        <v>2426331</v>
      </c>
      <c r="E340" s="4">
        <v>47020</v>
      </c>
      <c r="F340">
        <f t="shared" si="50"/>
        <v>2025</v>
      </c>
      <c r="G340" t="str">
        <f t="shared" si="51"/>
        <v>August</v>
      </c>
      <c r="H340" t="str">
        <f t="shared" si="52"/>
        <v>Friday</v>
      </c>
      <c r="I340">
        <f t="shared" si="53"/>
        <v>2.1144004069467917</v>
      </c>
      <c r="J340">
        <f t="shared" si="54"/>
        <v>20.742042895600409</v>
      </c>
      <c r="K340">
        <f t="shared" si="55"/>
        <v>0.40196117386751073</v>
      </c>
      <c r="L340">
        <f t="shared" si="56"/>
        <v>0.80828268906475997</v>
      </c>
      <c r="M340">
        <f t="shared" si="57"/>
        <v>0.32967534234723095</v>
      </c>
      <c r="N340">
        <f t="shared" si="58"/>
        <v>52</v>
      </c>
      <c r="O340" t="str">
        <f t="shared" si="59"/>
        <v>Other</v>
      </c>
    </row>
    <row r="341" spans="1:15" hidden="1" x14ac:dyDescent="0.3">
      <c r="A341" t="s">
        <v>378</v>
      </c>
      <c r="B341" s="2">
        <v>43687</v>
      </c>
      <c r="C341" s="3">
        <v>116258994</v>
      </c>
      <c r="D341" s="4">
        <v>2869022</v>
      </c>
      <c r="E341" s="4">
        <v>60986</v>
      </c>
      <c r="F341">
        <f t="shared" si="50"/>
        <v>2019</v>
      </c>
      <c r="G341" t="str">
        <f t="shared" si="51"/>
        <v>August</v>
      </c>
      <c r="H341" t="str">
        <f t="shared" si="52"/>
        <v>Saturday</v>
      </c>
      <c r="I341">
        <f t="shared" si="53"/>
        <v>2.5202420038143458</v>
      </c>
      <c r="J341">
        <f t="shared" si="54"/>
        <v>24.677849870264662</v>
      </c>
      <c r="K341">
        <f t="shared" si="55"/>
        <v>0.52457016787879651</v>
      </c>
      <c r="L341">
        <f t="shared" si="56"/>
        <v>0.80835334655728086</v>
      </c>
      <c r="M341">
        <f t="shared" si="57"/>
        <v>0.32904109425521166</v>
      </c>
      <c r="N341">
        <f t="shared" si="58"/>
        <v>60</v>
      </c>
      <c r="O341" t="str">
        <f t="shared" si="59"/>
        <v>Other</v>
      </c>
    </row>
    <row r="342" spans="1:15" hidden="1" x14ac:dyDescent="0.3">
      <c r="A342" t="s">
        <v>136</v>
      </c>
      <c r="B342" s="2">
        <v>45741</v>
      </c>
      <c r="C342" s="3">
        <v>115898146</v>
      </c>
      <c r="D342" s="4">
        <v>2015808</v>
      </c>
      <c r="E342" s="4">
        <v>10562</v>
      </c>
      <c r="F342">
        <f t="shared" si="50"/>
        <v>2025</v>
      </c>
      <c r="G342" t="str">
        <f t="shared" si="51"/>
        <v>March</v>
      </c>
      <c r="H342" t="str">
        <f t="shared" si="52"/>
        <v>Tuesday</v>
      </c>
      <c r="I342">
        <f t="shared" si="53"/>
        <v>1.7484058804529972</v>
      </c>
      <c r="J342">
        <f t="shared" si="54"/>
        <v>17.392927062008393</v>
      </c>
      <c r="K342">
        <f t="shared" si="55"/>
        <v>9.1131742521575798E-2</v>
      </c>
      <c r="L342">
        <f t="shared" si="56"/>
        <v>0.80895343527064112</v>
      </c>
      <c r="M342">
        <f t="shared" si="57"/>
        <v>0.3280362345068763</v>
      </c>
      <c r="N342">
        <f t="shared" si="58"/>
        <v>35</v>
      </c>
      <c r="O342" t="str">
        <f t="shared" si="59"/>
        <v>Challenge</v>
      </c>
    </row>
    <row r="343" spans="1:15" hidden="1" x14ac:dyDescent="0.3">
      <c r="A343" t="s">
        <v>133</v>
      </c>
      <c r="B343" s="2">
        <v>45758</v>
      </c>
      <c r="C343" s="3">
        <v>115433546</v>
      </c>
      <c r="D343" s="4">
        <v>4300044</v>
      </c>
      <c r="E343" s="4">
        <v>27577</v>
      </c>
      <c r="F343">
        <f t="shared" si="50"/>
        <v>2025</v>
      </c>
      <c r="G343" t="str">
        <f t="shared" si="51"/>
        <v>April</v>
      </c>
      <c r="H343" t="str">
        <f t="shared" si="52"/>
        <v>Friday</v>
      </c>
      <c r="I343">
        <f t="shared" si="53"/>
        <v>3.7490150393543309</v>
      </c>
      <c r="J343">
        <f t="shared" si="54"/>
        <v>37.251251035812416</v>
      </c>
      <c r="K343">
        <f t="shared" si="55"/>
        <v>0.23889935773089738</v>
      </c>
      <c r="L343">
        <f t="shared" si="56"/>
        <v>0.8087887129989112</v>
      </c>
      <c r="M343">
        <f t="shared" si="57"/>
        <v>0.32888410737459101</v>
      </c>
      <c r="N343">
        <f t="shared" si="58"/>
        <v>24</v>
      </c>
      <c r="O343" t="str">
        <f t="shared" si="59"/>
        <v>Other</v>
      </c>
    </row>
    <row r="344" spans="1:15" hidden="1" x14ac:dyDescent="0.3">
      <c r="A344" t="s">
        <v>400</v>
      </c>
      <c r="B344" s="2">
        <v>43548</v>
      </c>
      <c r="C344" s="3">
        <v>114495087</v>
      </c>
      <c r="D344" s="4">
        <v>3627724</v>
      </c>
      <c r="E344" s="4">
        <v>77544</v>
      </c>
      <c r="F344">
        <f t="shared" si="50"/>
        <v>2019</v>
      </c>
      <c r="G344" t="str">
        <f t="shared" si="51"/>
        <v>March</v>
      </c>
      <c r="H344" t="str">
        <f t="shared" si="52"/>
        <v>Sunday</v>
      </c>
      <c r="I344">
        <f t="shared" si="53"/>
        <v>3.2361807804032674</v>
      </c>
      <c r="J344">
        <f t="shared" si="54"/>
        <v>31.68453856889073</v>
      </c>
      <c r="K344">
        <f t="shared" si="55"/>
        <v>0.67726923514194104</v>
      </c>
      <c r="L344">
        <f t="shared" si="56"/>
        <v>0.81288011932668103</v>
      </c>
      <c r="M344">
        <f t="shared" si="57"/>
        <v>0.32893284601232164</v>
      </c>
      <c r="N344">
        <f t="shared" si="58"/>
        <v>45</v>
      </c>
      <c r="O344" t="str">
        <f t="shared" si="59"/>
        <v>Money</v>
      </c>
    </row>
    <row r="345" spans="1:15" hidden="1" x14ac:dyDescent="0.3">
      <c r="A345" t="s">
        <v>113</v>
      </c>
      <c r="B345" s="2">
        <v>45838</v>
      </c>
      <c r="C345" s="3">
        <v>113584467</v>
      </c>
      <c r="D345" s="4">
        <v>1857325</v>
      </c>
      <c r="E345" s="4">
        <v>6873</v>
      </c>
      <c r="F345">
        <f t="shared" si="50"/>
        <v>2025</v>
      </c>
      <c r="G345" t="str">
        <f t="shared" si="51"/>
        <v>June</v>
      </c>
      <c r="H345" t="str">
        <f t="shared" si="52"/>
        <v>Monday</v>
      </c>
      <c r="I345">
        <f t="shared" si="53"/>
        <v>1.6412437802785129</v>
      </c>
      <c r="J345">
        <f t="shared" si="54"/>
        <v>16.351927768433338</v>
      </c>
      <c r="K345">
        <f t="shared" si="55"/>
        <v>6.0510034351792127E-2</v>
      </c>
      <c r="L345">
        <f t="shared" si="56"/>
        <v>0.8151685658305462</v>
      </c>
      <c r="M345">
        <f t="shared" si="57"/>
        <v>0.32768083063643033</v>
      </c>
      <c r="N345">
        <f t="shared" si="58"/>
        <v>22</v>
      </c>
      <c r="O345" t="str">
        <f t="shared" si="59"/>
        <v>Other</v>
      </c>
    </row>
    <row r="346" spans="1:15" x14ac:dyDescent="0.3">
      <c r="A346" t="s">
        <v>36</v>
      </c>
      <c r="B346" s="2">
        <v>46101</v>
      </c>
      <c r="C346" s="3">
        <v>127897654</v>
      </c>
      <c r="D346" s="4">
        <v>2277697</v>
      </c>
      <c r="E346" s="4">
        <v>19695</v>
      </c>
      <c r="F346">
        <f t="shared" si="50"/>
        <v>2026</v>
      </c>
      <c r="G346" t="str">
        <f t="shared" si="51"/>
        <v>March</v>
      </c>
      <c r="H346" t="str">
        <f t="shared" si="52"/>
        <v>Friday</v>
      </c>
      <c r="I346">
        <f t="shared" si="53"/>
        <v>1.7962737612059718</v>
      </c>
      <c r="J346">
        <f t="shared" si="54"/>
        <v>17.808747297272554</v>
      </c>
      <c r="K346">
        <f t="shared" si="55"/>
        <v>0.15399031478716568</v>
      </c>
      <c r="L346">
        <f t="shared" si="56"/>
        <v>0.81498917904855683</v>
      </c>
      <c r="M346">
        <f t="shared" si="57"/>
        <v>0.32869005132666557</v>
      </c>
      <c r="N346">
        <f t="shared" si="58"/>
        <v>30</v>
      </c>
      <c r="O346" t="str">
        <f t="shared" si="59"/>
        <v>Money</v>
      </c>
    </row>
    <row r="347" spans="1:15" hidden="1" x14ac:dyDescent="0.3">
      <c r="A347" t="s">
        <v>81</v>
      </c>
      <c r="B347" s="2">
        <v>45944</v>
      </c>
      <c r="C347" s="3">
        <v>112744014</v>
      </c>
      <c r="D347" s="4">
        <v>3021978</v>
      </c>
      <c r="E347" s="4">
        <v>69428</v>
      </c>
      <c r="F347">
        <f t="shared" si="50"/>
        <v>2025</v>
      </c>
      <c r="G347" t="str">
        <f t="shared" si="51"/>
        <v>October</v>
      </c>
      <c r="H347" t="str">
        <f t="shared" si="52"/>
        <v>Tuesday</v>
      </c>
      <c r="I347">
        <f t="shared" si="53"/>
        <v>2.7419690769569369</v>
      </c>
      <c r="J347">
        <f t="shared" si="54"/>
        <v>26.803888674745963</v>
      </c>
      <c r="K347">
        <f t="shared" si="55"/>
        <v>0.61580209482341119</v>
      </c>
      <c r="L347">
        <f t="shared" si="56"/>
        <v>0.81481838028540143</v>
      </c>
      <c r="M347">
        <f t="shared" si="57"/>
        <v>0.32912906713528151</v>
      </c>
      <c r="N347">
        <f t="shared" si="58"/>
        <v>28</v>
      </c>
      <c r="O347" t="str">
        <f t="shared" si="59"/>
        <v>Money</v>
      </c>
    </row>
    <row r="348" spans="1:15" hidden="1" x14ac:dyDescent="0.3">
      <c r="A348" t="s">
        <v>116</v>
      </c>
      <c r="B348" s="2">
        <v>45827</v>
      </c>
      <c r="C348" s="3">
        <v>111887383</v>
      </c>
      <c r="D348" s="4">
        <v>2602013</v>
      </c>
      <c r="E348" s="4">
        <v>14595</v>
      </c>
      <c r="F348">
        <f t="shared" si="50"/>
        <v>2025</v>
      </c>
      <c r="G348" t="str">
        <f t="shared" si="51"/>
        <v>June</v>
      </c>
      <c r="H348" t="str">
        <f t="shared" si="52"/>
        <v>Thursday</v>
      </c>
      <c r="I348">
        <f t="shared" si="53"/>
        <v>2.3386086347197876</v>
      </c>
      <c r="J348">
        <f t="shared" si="54"/>
        <v>23.255642684930791</v>
      </c>
      <c r="K348">
        <f t="shared" si="55"/>
        <v>0.13044366226708512</v>
      </c>
      <c r="L348">
        <f t="shared" si="56"/>
        <v>0.81589853167068882</v>
      </c>
      <c r="M348">
        <f t="shared" si="57"/>
        <v>0.3279972319646659</v>
      </c>
      <c r="N348">
        <f t="shared" si="58"/>
        <v>17</v>
      </c>
      <c r="O348" t="str">
        <f t="shared" si="59"/>
        <v>Money</v>
      </c>
    </row>
    <row r="349" spans="1:15" x14ac:dyDescent="0.3">
      <c r="A349" t="s">
        <v>54</v>
      </c>
      <c r="B349" s="2">
        <v>46035</v>
      </c>
      <c r="C349" s="3">
        <v>1220368372</v>
      </c>
      <c r="D349" s="4">
        <v>6780422</v>
      </c>
      <c r="E349" s="4">
        <v>180100</v>
      </c>
      <c r="F349">
        <f t="shared" si="50"/>
        <v>2026</v>
      </c>
      <c r="G349" t="str">
        <f t="shared" si="51"/>
        <v>January</v>
      </c>
      <c r="H349" t="str">
        <f t="shared" si="52"/>
        <v>Tuesday</v>
      </c>
      <c r="I349">
        <f t="shared" si="53"/>
        <v>0.57036237251812361</v>
      </c>
      <c r="J349">
        <f t="shared" si="54"/>
        <v>5.5560453348097756</v>
      </c>
      <c r="K349">
        <f t="shared" si="55"/>
        <v>0.14757839037146073</v>
      </c>
      <c r="L349">
        <f t="shared" si="56"/>
        <v>0.81635353700077096</v>
      </c>
      <c r="M349">
        <f t="shared" si="57"/>
        <v>0.32859070902729098</v>
      </c>
      <c r="N349">
        <f t="shared" si="58"/>
        <v>23</v>
      </c>
      <c r="O349" t="str">
        <f t="shared" si="59"/>
        <v>Other</v>
      </c>
    </row>
    <row r="350" spans="1:15" hidden="1" x14ac:dyDescent="0.3">
      <c r="A350" t="s">
        <v>286</v>
      </c>
      <c r="B350" s="2">
        <v>44548</v>
      </c>
      <c r="C350" s="3">
        <v>110994478</v>
      </c>
      <c r="D350" s="4">
        <v>3648948</v>
      </c>
      <c r="E350" s="4">
        <v>116175</v>
      </c>
      <c r="F350">
        <f t="shared" si="50"/>
        <v>2021</v>
      </c>
      <c r="G350" t="str">
        <f t="shared" si="51"/>
        <v>December</v>
      </c>
      <c r="H350" t="str">
        <f t="shared" si="52"/>
        <v>Saturday</v>
      </c>
      <c r="I350">
        <f t="shared" si="53"/>
        <v>3.3921714555925928</v>
      </c>
      <c r="J350">
        <f t="shared" si="54"/>
        <v>32.875040864645534</v>
      </c>
      <c r="K350">
        <f t="shared" si="55"/>
        <v>1.0466736912803896</v>
      </c>
      <c r="L350">
        <f t="shared" si="56"/>
        <v>0.82553161125277541</v>
      </c>
      <c r="M350">
        <f t="shared" si="57"/>
        <v>0.2582561273117111</v>
      </c>
      <c r="N350">
        <f t="shared" si="58"/>
        <v>32</v>
      </c>
      <c r="O350" t="str">
        <f t="shared" si="59"/>
        <v>Money</v>
      </c>
    </row>
    <row r="351" spans="1:15" hidden="1" x14ac:dyDescent="0.3">
      <c r="A351" t="s">
        <v>93</v>
      </c>
      <c r="B351" s="2">
        <v>45912</v>
      </c>
      <c r="C351" s="3">
        <v>110434791</v>
      </c>
      <c r="D351" s="4">
        <v>2777737</v>
      </c>
      <c r="E351" s="4">
        <v>7989</v>
      </c>
      <c r="F351">
        <f t="shared" si="50"/>
        <v>2025</v>
      </c>
      <c r="G351" t="str">
        <f t="shared" si="51"/>
        <v>September</v>
      </c>
      <c r="H351" t="str">
        <f t="shared" si="52"/>
        <v>Friday</v>
      </c>
      <c r="I351">
        <f t="shared" si="53"/>
        <v>2.5225076036047374</v>
      </c>
      <c r="J351">
        <f t="shared" si="54"/>
        <v>25.152734702961496</v>
      </c>
      <c r="K351">
        <f t="shared" si="55"/>
        <v>7.2341333085875092E-2</v>
      </c>
      <c r="L351">
        <f t="shared" si="56"/>
        <v>0.82798063244666276</v>
      </c>
      <c r="M351">
        <f t="shared" si="57"/>
        <v>0.2557170313624112</v>
      </c>
      <c r="N351">
        <f t="shared" si="58"/>
        <v>21</v>
      </c>
      <c r="O351" t="str">
        <f t="shared" si="59"/>
        <v>Other</v>
      </c>
    </row>
    <row r="352" spans="1:15" x14ac:dyDescent="0.3">
      <c r="A352" t="s">
        <v>37</v>
      </c>
      <c r="B352" s="2">
        <v>46098</v>
      </c>
      <c r="C352" s="3">
        <v>99528244</v>
      </c>
      <c r="D352" s="4">
        <v>1892392</v>
      </c>
      <c r="E352" s="4">
        <v>13433</v>
      </c>
      <c r="F352">
        <f t="shared" si="50"/>
        <v>2026</v>
      </c>
      <c r="G352" t="str">
        <f t="shared" si="51"/>
        <v>March</v>
      </c>
      <c r="H352" t="str">
        <f t="shared" si="52"/>
        <v>Tuesday</v>
      </c>
      <c r="I352">
        <f t="shared" si="53"/>
        <v>1.9148584596750247</v>
      </c>
      <c r="J352">
        <f t="shared" si="54"/>
        <v>19.013617883180981</v>
      </c>
      <c r="K352">
        <f t="shared" si="55"/>
        <v>0.13496671356926584</v>
      </c>
      <c r="L352">
        <f t="shared" si="56"/>
        <v>0.82857826872410567</v>
      </c>
      <c r="M352">
        <f t="shared" si="57"/>
        <v>0.25677014881307669</v>
      </c>
      <c r="N352">
        <f t="shared" si="58"/>
        <v>29</v>
      </c>
      <c r="O352" t="str">
        <f t="shared" si="59"/>
        <v>Money</v>
      </c>
    </row>
    <row r="353" spans="1:15" hidden="1" x14ac:dyDescent="0.3">
      <c r="A353" t="s">
        <v>372</v>
      </c>
      <c r="B353" s="2">
        <v>43708</v>
      </c>
      <c r="C353" s="3">
        <v>109684165</v>
      </c>
      <c r="D353" s="4">
        <v>2595675</v>
      </c>
      <c r="E353" s="4">
        <v>56541</v>
      </c>
      <c r="F353">
        <f t="shared" si="50"/>
        <v>2019</v>
      </c>
      <c r="G353" t="str">
        <f t="shared" si="51"/>
        <v>August</v>
      </c>
      <c r="H353" t="str">
        <f t="shared" si="52"/>
        <v>Saturday</v>
      </c>
      <c r="I353">
        <f t="shared" si="53"/>
        <v>2.4180482205430476</v>
      </c>
      <c r="J353">
        <f t="shared" si="54"/>
        <v>23.664993027936166</v>
      </c>
      <c r="K353">
        <f t="shared" si="55"/>
        <v>0.51548917749430834</v>
      </c>
      <c r="L353">
        <f t="shared" si="56"/>
        <v>0.82847886967350159</v>
      </c>
      <c r="M353">
        <f t="shared" si="57"/>
        <v>0.25741279548886531</v>
      </c>
      <c r="N353">
        <f t="shared" si="58"/>
        <v>44</v>
      </c>
      <c r="O353" t="str">
        <f t="shared" si="59"/>
        <v>Money</v>
      </c>
    </row>
    <row r="354" spans="1:15" hidden="1" x14ac:dyDescent="0.3">
      <c r="A354" t="s">
        <v>101</v>
      </c>
      <c r="B354" s="2">
        <v>45877</v>
      </c>
      <c r="C354" s="3">
        <v>108871368</v>
      </c>
      <c r="D354" s="4">
        <v>2930453</v>
      </c>
      <c r="E354" s="4">
        <v>12784</v>
      </c>
      <c r="F354">
        <f t="shared" si="50"/>
        <v>2025</v>
      </c>
      <c r="G354" t="str">
        <f t="shared" si="51"/>
        <v>August</v>
      </c>
      <c r="H354" t="str">
        <f t="shared" si="52"/>
        <v>Friday</v>
      </c>
      <c r="I354">
        <f t="shared" si="53"/>
        <v>2.7034077499604856</v>
      </c>
      <c r="J354">
        <f t="shared" si="54"/>
        <v>26.916654523896494</v>
      </c>
      <c r="K354">
        <f t="shared" si="55"/>
        <v>0.11742297570836072</v>
      </c>
      <c r="L354">
        <f t="shared" si="56"/>
        <v>0.82884386485811079</v>
      </c>
      <c r="M354">
        <f t="shared" si="57"/>
        <v>0.25611210273857149</v>
      </c>
      <c r="N354">
        <f t="shared" si="58"/>
        <v>37</v>
      </c>
      <c r="O354" t="str">
        <f t="shared" si="59"/>
        <v>Other</v>
      </c>
    </row>
    <row r="355" spans="1:15" hidden="1" x14ac:dyDescent="0.3">
      <c r="A355" t="s">
        <v>287</v>
      </c>
      <c r="B355" s="2">
        <v>44546</v>
      </c>
      <c r="C355" s="3">
        <v>107154592</v>
      </c>
      <c r="D355" s="4">
        <v>3130083</v>
      </c>
      <c r="E355" s="4">
        <v>83327</v>
      </c>
      <c r="F355">
        <f t="shared" si="50"/>
        <v>2021</v>
      </c>
      <c r="G355" t="str">
        <f t="shared" si="51"/>
        <v>December</v>
      </c>
      <c r="H355" t="str">
        <f t="shared" si="52"/>
        <v>Thursday</v>
      </c>
      <c r="I355">
        <f t="shared" si="53"/>
        <v>2.9988542161590237</v>
      </c>
      <c r="J355">
        <f t="shared" si="54"/>
        <v>29.210908665491445</v>
      </c>
      <c r="K355">
        <f t="shared" si="55"/>
        <v>0.77763349609879528</v>
      </c>
      <c r="L355">
        <f t="shared" si="56"/>
        <v>0.82980112469099254</v>
      </c>
      <c r="M355">
        <f t="shared" si="57"/>
        <v>0.25685387309538116</v>
      </c>
      <c r="N355">
        <f t="shared" si="58"/>
        <v>46</v>
      </c>
      <c r="O355" t="str">
        <f t="shared" si="59"/>
        <v>Money</v>
      </c>
    </row>
    <row r="356" spans="1:15" hidden="1" x14ac:dyDescent="0.3">
      <c r="A356" t="s">
        <v>421</v>
      </c>
      <c r="B356" s="2">
        <v>43446</v>
      </c>
      <c r="C356" s="3">
        <v>106944598</v>
      </c>
      <c r="D356" s="4">
        <v>2160552</v>
      </c>
      <c r="E356" s="4">
        <v>94349</v>
      </c>
      <c r="F356">
        <f t="shared" si="50"/>
        <v>2018</v>
      </c>
      <c r="G356" t="str">
        <f t="shared" si="51"/>
        <v>December</v>
      </c>
      <c r="H356" t="str">
        <f t="shared" si="52"/>
        <v>Wednesday</v>
      </c>
      <c r="I356">
        <f t="shared" si="53"/>
        <v>2.1084758297001591</v>
      </c>
      <c r="J356">
        <f t="shared" si="54"/>
        <v>20.20253514815213</v>
      </c>
      <c r="K356">
        <f t="shared" si="55"/>
        <v>0.88222314884946318</v>
      </c>
      <c r="L356">
        <f t="shared" si="56"/>
        <v>0.83127806086119704</v>
      </c>
      <c r="M356">
        <f t="shared" si="57"/>
        <v>0.2548448350389344</v>
      </c>
      <c r="N356">
        <f t="shared" si="58"/>
        <v>48</v>
      </c>
      <c r="O356" t="str">
        <f t="shared" si="59"/>
        <v>Money</v>
      </c>
    </row>
    <row r="357" spans="1:15" hidden="1" x14ac:dyDescent="0.3">
      <c r="A357" t="s">
        <v>102</v>
      </c>
      <c r="B357" s="2">
        <v>45874</v>
      </c>
      <c r="C357" s="3">
        <v>105858021</v>
      </c>
      <c r="D357" s="4">
        <v>1641823</v>
      </c>
      <c r="E357" s="4">
        <v>6968</v>
      </c>
      <c r="F357">
        <f t="shared" si="50"/>
        <v>2025</v>
      </c>
      <c r="G357" t="str">
        <f t="shared" si="51"/>
        <v>August</v>
      </c>
      <c r="H357" t="str">
        <f t="shared" si="52"/>
        <v>Tuesday</v>
      </c>
      <c r="I357">
        <f t="shared" si="53"/>
        <v>1.5575494274543447</v>
      </c>
      <c r="J357">
        <f t="shared" si="54"/>
        <v>15.509670259186121</v>
      </c>
      <c r="K357">
        <f t="shared" si="55"/>
        <v>6.5824015357324697E-2</v>
      </c>
      <c r="L357">
        <f t="shared" si="56"/>
        <v>0.83125921687519422</v>
      </c>
      <c r="M357">
        <f t="shared" si="57"/>
        <v>0.25261280554252419</v>
      </c>
      <c r="N357">
        <f t="shared" si="58"/>
        <v>18</v>
      </c>
      <c r="O357" t="str">
        <f t="shared" si="59"/>
        <v>Other</v>
      </c>
    </row>
    <row r="358" spans="1:15" hidden="1" x14ac:dyDescent="0.3">
      <c r="A358" t="s">
        <v>355</v>
      </c>
      <c r="B358" s="2">
        <v>43806</v>
      </c>
      <c r="C358" s="3">
        <v>105207536</v>
      </c>
      <c r="D358" s="4">
        <v>1963659</v>
      </c>
      <c r="E358" s="4">
        <v>48631</v>
      </c>
      <c r="F358">
        <f t="shared" si="50"/>
        <v>2019</v>
      </c>
      <c r="G358" t="str">
        <f t="shared" si="51"/>
        <v>December</v>
      </c>
      <c r="H358" t="str">
        <f t="shared" si="52"/>
        <v>Saturday</v>
      </c>
      <c r="I358">
        <f t="shared" si="53"/>
        <v>1.9126861786783029</v>
      </c>
      <c r="J358">
        <f t="shared" si="54"/>
        <v>18.664623036129274</v>
      </c>
      <c r="K358">
        <f t="shared" si="55"/>
        <v>0.46223875065375541</v>
      </c>
      <c r="L358">
        <f t="shared" si="56"/>
        <v>0.83101802200591657</v>
      </c>
      <c r="M358">
        <f t="shared" si="57"/>
        <v>0.25364571771101702</v>
      </c>
      <c r="N358">
        <f t="shared" si="58"/>
        <v>45</v>
      </c>
      <c r="O358" t="str">
        <f t="shared" si="59"/>
        <v>Money</v>
      </c>
    </row>
    <row r="359" spans="1:15" x14ac:dyDescent="0.3">
      <c r="A359" t="s">
        <v>25</v>
      </c>
      <c r="B359" s="2">
        <v>46133</v>
      </c>
      <c r="C359" s="3">
        <v>131784458</v>
      </c>
      <c r="D359" s="4">
        <v>2139059</v>
      </c>
      <c r="E359" s="4">
        <v>17718</v>
      </c>
      <c r="F359">
        <f t="shared" si="50"/>
        <v>2026</v>
      </c>
      <c r="G359" t="str">
        <f t="shared" si="51"/>
        <v>April</v>
      </c>
      <c r="H359" t="str">
        <f t="shared" si="52"/>
        <v>Tuesday</v>
      </c>
      <c r="I359">
        <f t="shared" si="53"/>
        <v>1.6365943547000057</v>
      </c>
      <c r="J359">
        <f t="shared" si="54"/>
        <v>16.231496736891387</v>
      </c>
      <c r="K359">
        <f t="shared" si="55"/>
        <v>0.13444681010867002</v>
      </c>
      <c r="L359">
        <f t="shared" si="56"/>
        <v>0.83088643187386513</v>
      </c>
      <c r="M359">
        <f t="shared" si="57"/>
        <v>0.25264781900704325</v>
      </c>
      <c r="N359">
        <f t="shared" si="58"/>
        <v>26</v>
      </c>
      <c r="O359" t="str">
        <f t="shared" si="59"/>
        <v>Challenge</v>
      </c>
    </row>
    <row r="360" spans="1:15" hidden="1" x14ac:dyDescent="0.3">
      <c r="A360" t="s">
        <v>423</v>
      </c>
      <c r="B360" s="2">
        <v>43441</v>
      </c>
      <c r="C360" s="3">
        <v>103404961</v>
      </c>
      <c r="D360" s="4">
        <v>1887609</v>
      </c>
      <c r="E360" s="4">
        <v>62894</v>
      </c>
      <c r="F360">
        <f t="shared" si="50"/>
        <v>2018</v>
      </c>
      <c r="G360" t="str">
        <f t="shared" si="51"/>
        <v>December</v>
      </c>
      <c r="H360" t="str">
        <f t="shared" si="52"/>
        <v>Friday</v>
      </c>
      <c r="I360">
        <f t="shared" si="53"/>
        <v>1.8862760366013773</v>
      </c>
      <c r="J360">
        <f t="shared" si="54"/>
        <v>18.254530360492087</v>
      </c>
      <c r="K360">
        <f t="shared" si="55"/>
        <v>0.6082300055216886</v>
      </c>
      <c r="L360">
        <f t="shared" si="56"/>
        <v>0.8304511909740091</v>
      </c>
      <c r="M360">
        <f t="shared" si="57"/>
        <v>0.25320145565422086</v>
      </c>
      <c r="N360">
        <f t="shared" si="58"/>
        <v>55</v>
      </c>
      <c r="O360" t="str">
        <f t="shared" si="59"/>
        <v>Other</v>
      </c>
    </row>
    <row r="361" spans="1:15" hidden="1" x14ac:dyDescent="0.3">
      <c r="A361" t="s">
        <v>415</v>
      </c>
      <c r="B361" s="2">
        <v>43473</v>
      </c>
      <c r="C361" s="3">
        <v>103355756</v>
      </c>
      <c r="D361" s="4">
        <v>1688404</v>
      </c>
      <c r="E361" s="4">
        <v>44314</v>
      </c>
      <c r="F361">
        <f t="shared" si="50"/>
        <v>2019</v>
      </c>
      <c r="G361" t="str">
        <f t="shared" si="51"/>
        <v>January</v>
      </c>
      <c r="H361" t="str">
        <f t="shared" si="52"/>
        <v>Tuesday</v>
      </c>
      <c r="I361">
        <f t="shared" si="53"/>
        <v>1.6764600899440958</v>
      </c>
      <c r="J361">
        <f t="shared" si="54"/>
        <v>16.335848774595583</v>
      </c>
      <c r="K361">
        <f t="shared" si="55"/>
        <v>0.42875212484537384</v>
      </c>
      <c r="L361">
        <f t="shared" si="56"/>
        <v>0.83030050659565424</v>
      </c>
      <c r="M361">
        <f t="shared" si="57"/>
        <v>0.25173734983458129</v>
      </c>
      <c r="N361">
        <f t="shared" si="58"/>
        <v>37</v>
      </c>
      <c r="O361" t="str">
        <f t="shared" si="59"/>
        <v>Other</v>
      </c>
    </row>
    <row r="362" spans="1:15" hidden="1" x14ac:dyDescent="0.3">
      <c r="A362" t="s">
        <v>394</v>
      </c>
      <c r="B362" s="2">
        <v>43582</v>
      </c>
      <c r="C362" s="3">
        <v>101097608</v>
      </c>
      <c r="D362" s="4">
        <v>1856966</v>
      </c>
      <c r="E362" s="4">
        <v>41059</v>
      </c>
      <c r="F362">
        <f t="shared" si="50"/>
        <v>2019</v>
      </c>
      <c r="G362" t="str">
        <f t="shared" si="51"/>
        <v>April</v>
      </c>
      <c r="H362" t="str">
        <f t="shared" si="52"/>
        <v>Saturday</v>
      </c>
      <c r="I362">
        <f t="shared" si="53"/>
        <v>1.8774183064746695</v>
      </c>
      <c r="J362">
        <f t="shared" si="54"/>
        <v>18.368050804921118</v>
      </c>
      <c r="K362">
        <f t="shared" si="55"/>
        <v>0.40613225982557372</v>
      </c>
      <c r="L362">
        <f t="shared" si="56"/>
        <v>0.83007736664605392</v>
      </c>
      <c r="M362">
        <f t="shared" si="57"/>
        <v>0.2508997924101915</v>
      </c>
      <c r="N362">
        <f t="shared" si="58"/>
        <v>41</v>
      </c>
      <c r="O362" t="str">
        <f t="shared" si="59"/>
        <v>Other</v>
      </c>
    </row>
    <row r="363" spans="1:15" hidden="1" x14ac:dyDescent="0.3">
      <c r="A363" t="s">
        <v>58</v>
      </c>
      <c r="B363" s="2">
        <v>46017</v>
      </c>
      <c r="C363" s="3">
        <v>99971748</v>
      </c>
      <c r="D363" s="4">
        <v>2788075</v>
      </c>
      <c r="E363" s="4">
        <v>41215</v>
      </c>
      <c r="F363">
        <f t="shared" si="50"/>
        <v>2025</v>
      </c>
      <c r="G363" t="str">
        <f t="shared" si="51"/>
        <v>December</v>
      </c>
      <c r="H363" t="str">
        <f t="shared" si="52"/>
        <v>Friday</v>
      </c>
      <c r="I363">
        <f t="shared" si="53"/>
        <v>2.830089556901616</v>
      </c>
      <c r="J363">
        <f t="shared" si="54"/>
        <v>27.888629095492057</v>
      </c>
      <c r="K363">
        <f t="shared" si="55"/>
        <v>0.41226647352410001</v>
      </c>
      <c r="L363">
        <f t="shared" si="56"/>
        <v>0.82993990517442784</v>
      </c>
      <c r="M363">
        <f t="shared" si="57"/>
        <v>0.25020633182573399</v>
      </c>
      <c r="N363">
        <f t="shared" si="58"/>
        <v>32</v>
      </c>
      <c r="O363" t="str">
        <f t="shared" si="59"/>
        <v>Other</v>
      </c>
    </row>
    <row r="364" spans="1:15" x14ac:dyDescent="0.3">
      <c r="A364" t="s">
        <v>55</v>
      </c>
      <c r="B364" s="2">
        <v>46031</v>
      </c>
      <c r="C364" s="3">
        <v>103677747</v>
      </c>
      <c r="D364" s="4">
        <v>2034248</v>
      </c>
      <c r="E364" s="4">
        <v>13834</v>
      </c>
      <c r="F364">
        <f t="shared" si="50"/>
        <v>2026</v>
      </c>
      <c r="G364" t="str">
        <f t="shared" si="51"/>
        <v>January</v>
      </c>
      <c r="H364" t="str">
        <f t="shared" si="52"/>
        <v>Friday</v>
      </c>
      <c r="I364">
        <f t="shared" si="53"/>
        <v>1.9754306582298709</v>
      </c>
      <c r="J364">
        <f t="shared" si="54"/>
        <v>19.620873898812636</v>
      </c>
      <c r="K364">
        <f t="shared" si="55"/>
        <v>0.13343268348607151</v>
      </c>
      <c r="L364">
        <f t="shared" si="56"/>
        <v>0.83101513573564378</v>
      </c>
      <c r="M364">
        <f t="shared" si="57"/>
        <v>0.24951471838035619</v>
      </c>
      <c r="N364">
        <f t="shared" si="58"/>
        <v>14</v>
      </c>
      <c r="O364" t="str">
        <f t="shared" si="59"/>
        <v>Other</v>
      </c>
    </row>
    <row r="365" spans="1:15" hidden="1" x14ac:dyDescent="0.3">
      <c r="A365" t="s">
        <v>437</v>
      </c>
      <c r="B365" s="2">
        <v>43385</v>
      </c>
      <c r="C365" s="3">
        <v>99268434</v>
      </c>
      <c r="D365" s="4">
        <v>1679378</v>
      </c>
      <c r="E365" s="4">
        <v>58872</v>
      </c>
      <c r="F365">
        <f t="shared" si="50"/>
        <v>2018</v>
      </c>
      <c r="G365" t="str">
        <f t="shared" si="51"/>
        <v>October</v>
      </c>
      <c r="H365" t="str">
        <f t="shared" si="52"/>
        <v>Friday</v>
      </c>
      <c r="I365">
        <f t="shared" si="53"/>
        <v>1.751060160775781</v>
      </c>
      <c r="J365">
        <f t="shared" si="54"/>
        <v>16.917542992569018</v>
      </c>
      <c r="K365">
        <f t="shared" si="55"/>
        <v>0.5930586151887921</v>
      </c>
      <c r="L365">
        <f t="shared" si="56"/>
        <v>0.83095645789039474</v>
      </c>
      <c r="M365">
        <f t="shared" si="57"/>
        <v>0.25009811681101246</v>
      </c>
      <c r="N365">
        <f t="shared" si="58"/>
        <v>45</v>
      </c>
      <c r="O365" t="str">
        <f t="shared" si="59"/>
        <v>Money</v>
      </c>
    </row>
    <row r="366" spans="1:15" hidden="1" x14ac:dyDescent="0.3">
      <c r="A366" t="s">
        <v>384</v>
      </c>
      <c r="B366" s="2">
        <v>43631</v>
      </c>
      <c r="C366" s="3">
        <v>98863805</v>
      </c>
      <c r="D366" s="4">
        <v>2398356</v>
      </c>
      <c r="E366" s="4">
        <v>76093</v>
      </c>
      <c r="F366">
        <f t="shared" si="50"/>
        <v>2019</v>
      </c>
      <c r="G366" t="str">
        <f t="shared" si="51"/>
        <v>June</v>
      </c>
      <c r="H366" t="str">
        <f t="shared" si="52"/>
        <v>Saturday</v>
      </c>
      <c r="I366">
        <f t="shared" si="53"/>
        <v>2.502886673236985</v>
      </c>
      <c r="J366">
        <f t="shared" si="54"/>
        <v>24.259191723401702</v>
      </c>
      <c r="K366">
        <f t="shared" si="55"/>
        <v>0.76967500896814556</v>
      </c>
      <c r="L366">
        <f t="shared" si="56"/>
        <v>0.8307693594316895</v>
      </c>
      <c r="M366">
        <f t="shared" si="57"/>
        <v>0.2487947467820848</v>
      </c>
      <c r="N366">
        <f t="shared" si="58"/>
        <v>37</v>
      </c>
      <c r="O366" t="str">
        <f t="shared" si="59"/>
        <v>Other</v>
      </c>
    </row>
    <row r="367" spans="1:15" hidden="1" x14ac:dyDescent="0.3">
      <c r="A367" t="s">
        <v>456</v>
      </c>
      <c r="B367" s="2">
        <v>43295</v>
      </c>
      <c r="C367" s="3">
        <v>98810884</v>
      </c>
      <c r="D367" s="4">
        <v>2141601</v>
      </c>
      <c r="E367" s="4">
        <v>59212</v>
      </c>
      <c r="F367">
        <f t="shared" si="50"/>
        <v>2018</v>
      </c>
      <c r="G367" t="str">
        <f t="shared" si="51"/>
        <v>July</v>
      </c>
      <c r="H367" t="str">
        <f t="shared" si="52"/>
        <v>Saturday</v>
      </c>
      <c r="I367">
        <f t="shared" si="53"/>
        <v>2.2272981587736833</v>
      </c>
      <c r="J367">
        <f t="shared" si="54"/>
        <v>21.673735860919937</v>
      </c>
      <c r="K367">
        <f t="shared" si="55"/>
        <v>0.59924572681689603</v>
      </c>
      <c r="L367">
        <f t="shared" si="56"/>
        <v>0.83122675294225545</v>
      </c>
      <c r="M367">
        <f t="shared" si="57"/>
        <v>0.24704730435861777</v>
      </c>
      <c r="N367">
        <f t="shared" si="58"/>
        <v>37</v>
      </c>
      <c r="O367" t="str">
        <f t="shared" si="59"/>
        <v>Money</v>
      </c>
    </row>
    <row r="368" spans="1:15" hidden="1" x14ac:dyDescent="0.3">
      <c r="A368" t="s">
        <v>432</v>
      </c>
      <c r="B368" s="2">
        <v>43406</v>
      </c>
      <c r="C368" s="3">
        <v>97944535</v>
      </c>
      <c r="D368" s="4">
        <v>1720321</v>
      </c>
      <c r="E368" s="4">
        <v>73488</v>
      </c>
      <c r="F368">
        <f t="shared" si="50"/>
        <v>2018</v>
      </c>
      <c r="G368" t="str">
        <f t="shared" si="51"/>
        <v>November</v>
      </c>
      <c r="H368" t="str">
        <f t="shared" si="52"/>
        <v>Friday</v>
      </c>
      <c r="I368">
        <f t="shared" si="53"/>
        <v>1.8314538937777385</v>
      </c>
      <c r="J368">
        <f t="shared" si="54"/>
        <v>17.564236738680723</v>
      </c>
      <c r="K368">
        <f t="shared" si="55"/>
        <v>0.75030219909666218</v>
      </c>
      <c r="L368">
        <f t="shared" si="56"/>
        <v>0.83136703581572335</v>
      </c>
      <c r="M368">
        <f t="shared" si="57"/>
        <v>0.24570533212393539</v>
      </c>
      <c r="N368">
        <f t="shared" si="58"/>
        <v>47</v>
      </c>
      <c r="O368" t="str">
        <f t="shared" si="59"/>
        <v>Challenge</v>
      </c>
    </row>
    <row r="369" spans="1:15" hidden="1" x14ac:dyDescent="0.3">
      <c r="A369" t="s">
        <v>458</v>
      </c>
      <c r="B369" s="2">
        <v>43281</v>
      </c>
      <c r="C369" s="3">
        <v>97908709</v>
      </c>
      <c r="D369" s="4">
        <v>1790587</v>
      </c>
      <c r="E369" s="4">
        <v>53824</v>
      </c>
      <c r="F369">
        <f t="shared" si="50"/>
        <v>2018</v>
      </c>
      <c r="G369" t="str">
        <f t="shared" si="51"/>
        <v>June</v>
      </c>
      <c r="H369" t="str">
        <f t="shared" si="52"/>
        <v>Saturday</v>
      </c>
      <c r="I369">
        <f t="shared" si="53"/>
        <v>1.8838068838186803</v>
      </c>
      <c r="J369">
        <f t="shared" si="54"/>
        <v>18.288332246317331</v>
      </c>
      <c r="K369">
        <f t="shared" si="55"/>
        <v>0.54973659186947299</v>
      </c>
      <c r="L369">
        <f t="shared" si="56"/>
        <v>0.83120867125288689</v>
      </c>
      <c r="M369">
        <f t="shared" si="57"/>
        <v>0.24400271795383566</v>
      </c>
      <c r="N369">
        <f t="shared" si="58"/>
        <v>46</v>
      </c>
      <c r="O369" t="str">
        <f t="shared" si="59"/>
        <v>Other</v>
      </c>
    </row>
    <row r="370" spans="1:15" hidden="1" x14ac:dyDescent="0.3">
      <c r="A370" t="s">
        <v>88</v>
      </c>
      <c r="B370" s="2">
        <v>45926</v>
      </c>
      <c r="C370" s="3">
        <v>97861858</v>
      </c>
      <c r="D370" s="4">
        <v>2594377</v>
      </c>
      <c r="E370" s="4">
        <v>9423</v>
      </c>
      <c r="F370">
        <f t="shared" si="50"/>
        <v>2025</v>
      </c>
      <c r="G370" t="str">
        <f t="shared" si="51"/>
        <v>September</v>
      </c>
      <c r="H370" t="str">
        <f t="shared" si="52"/>
        <v>Friday</v>
      </c>
      <c r="I370">
        <f t="shared" si="53"/>
        <v>2.6606893157495537</v>
      </c>
      <c r="J370">
        <f t="shared" si="54"/>
        <v>26.510604366412093</v>
      </c>
      <c r="K370">
        <f t="shared" si="55"/>
        <v>9.6288791083447442E-2</v>
      </c>
      <c r="L370">
        <f t="shared" si="56"/>
        <v>0.83108347161715623</v>
      </c>
      <c r="M370">
        <f t="shared" si="57"/>
        <v>0.24280848807545627</v>
      </c>
      <c r="N370">
        <f t="shared" si="58"/>
        <v>32</v>
      </c>
      <c r="O370" t="str">
        <f t="shared" si="59"/>
        <v>Other</v>
      </c>
    </row>
    <row r="371" spans="1:15" x14ac:dyDescent="0.3">
      <c r="A371" t="s">
        <v>15</v>
      </c>
      <c r="B371" s="2">
        <v>46157</v>
      </c>
      <c r="C371" s="3">
        <v>634740319</v>
      </c>
      <c r="D371" s="4">
        <v>3494242</v>
      </c>
      <c r="E371" s="4">
        <v>83407</v>
      </c>
      <c r="F371">
        <f t="shared" si="50"/>
        <v>2026</v>
      </c>
      <c r="G371" t="str">
        <f t="shared" si="51"/>
        <v>May</v>
      </c>
      <c r="H371" t="str">
        <f t="shared" si="52"/>
        <v>Friday</v>
      </c>
      <c r="I371">
        <f t="shared" si="53"/>
        <v>0.56363978983348617</v>
      </c>
      <c r="J371">
        <f t="shared" si="54"/>
        <v>5.5049945551040373</v>
      </c>
      <c r="K371">
        <f t="shared" si="55"/>
        <v>0.13140334323082445</v>
      </c>
      <c r="L371">
        <f t="shared" si="56"/>
        <v>0.83192350907903956</v>
      </c>
      <c r="M371">
        <f t="shared" si="57"/>
        <v>0.24354868906785707</v>
      </c>
      <c r="N371">
        <f t="shared" si="58"/>
        <v>26</v>
      </c>
      <c r="O371" t="str">
        <f t="shared" si="59"/>
        <v>Money</v>
      </c>
    </row>
    <row r="372" spans="1:15" hidden="1" x14ac:dyDescent="0.3">
      <c r="A372" t="s">
        <v>125</v>
      </c>
      <c r="B372" s="2">
        <v>45784</v>
      </c>
      <c r="C372" s="3">
        <v>94908731</v>
      </c>
      <c r="D372" s="4">
        <v>4451679</v>
      </c>
      <c r="E372" s="4">
        <v>172532</v>
      </c>
      <c r="F372">
        <f t="shared" si="50"/>
        <v>2025</v>
      </c>
      <c r="G372" t="str">
        <f t="shared" si="51"/>
        <v>May</v>
      </c>
      <c r="H372" t="str">
        <f t="shared" si="52"/>
        <v>Wednesday</v>
      </c>
      <c r="I372">
        <f t="shared" si="53"/>
        <v>4.8722714457113545</v>
      </c>
      <c r="J372">
        <f t="shared" si="54"/>
        <v>46.904841663092093</v>
      </c>
      <c r="K372">
        <f t="shared" si="55"/>
        <v>1.8178727940214479</v>
      </c>
      <c r="L372">
        <f t="shared" si="56"/>
        <v>0.83811703246221469</v>
      </c>
      <c r="M372">
        <f t="shared" si="57"/>
        <v>0.2259790667966082</v>
      </c>
      <c r="N372">
        <f t="shared" si="58"/>
        <v>24</v>
      </c>
      <c r="O372" t="str">
        <f t="shared" si="59"/>
        <v>Money</v>
      </c>
    </row>
    <row r="373" spans="1:15" hidden="1" x14ac:dyDescent="0.3">
      <c r="A373" t="s">
        <v>395</v>
      </c>
      <c r="B373" s="2">
        <v>43575</v>
      </c>
      <c r="C373" s="3">
        <v>94898871</v>
      </c>
      <c r="D373" s="4">
        <v>1796229</v>
      </c>
      <c r="E373" s="4">
        <v>90261</v>
      </c>
      <c r="F373">
        <f t="shared" si="50"/>
        <v>2019</v>
      </c>
      <c r="G373" t="str">
        <f t="shared" si="51"/>
        <v>April</v>
      </c>
      <c r="H373" t="str">
        <f t="shared" si="52"/>
        <v>Saturday</v>
      </c>
      <c r="I373">
        <f t="shared" si="53"/>
        <v>1.987895093082825</v>
      </c>
      <c r="J373">
        <f t="shared" si="54"/>
        <v>18.92782265028211</v>
      </c>
      <c r="K373">
        <f t="shared" si="55"/>
        <v>0.95112828054614051</v>
      </c>
      <c r="L373">
        <f t="shared" si="56"/>
        <v>0.8456530457569138</v>
      </c>
      <c r="M373">
        <f t="shared" si="57"/>
        <v>0.22389509360843474</v>
      </c>
      <c r="N373">
        <f t="shared" si="58"/>
        <v>46</v>
      </c>
      <c r="O373" t="str">
        <f t="shared" si="59"/>
        <v>Challenge</v>
      </c>
    </row>
    <row r="374" spans="1:15" hidden="1" x14ac:dyDescent="0.3">
      <c r="A374" t="s">
        <v>381</v>
      </c>
      <c r="B374" s="2">
        <v>43658</v>
      </c>
      <c r="C374" s="3">
        <v>93889459</v>
      </c>
      <c r="D374" s="4">
        <v>1709022</v>
      </c>
      <c r="E374" s="4">
        <v>56839</v>
      </c>
      <c r="F374">
        <f t="shared" si="50"/>
        <v>2019</v>
      </c>
      <c r="G374" t="str">
        <f t="shared" si="51"/>
        <v>July</v>
      </c>
      <c r="H374" t="str">
        <f t="shared" si="52"/>
        <v>Friday</v>
      </c>
      <c r="I374">
        <f t="shared" si="53"/>
        <v>1.8807872777283761</v>
      </c>
      <c r="J374">
        <f t="shared" si="54"/>
        <v>18.202490654462075</v>
      </c>
      <c r="K374">
        <f t="shared" si="55"/>
        <v>0.60538212282168968</v>
      </c>
      <c r="L374">
        <f t="shared" si="56"/>
        <v>0.8455637874982137</v>
      </c>
      <c r="M374">
        <f t="shared" si="57"/>
        <v>0.2215608526758602</v>
      </c>
      <c r="N374">
        <f t="shared" si="58"/>
        <v>33</v>
      </c>
      <c r="O374" t="str">
        <f t="shared" si="59"/>
        <v>Other</v>
      </c>
    </row>
    <row r="375" spans="1:15" hidden="1" x14ac:dyDescent="0.3">
      <c r="A375" t="s">
        <v>371</v>
      </c>
      <c r="B375" s="2">
        <v>43714</v>
      </c>
      <c r="C375" s="3">
        <v>93344743</v>
      </c>
      <c r="D375" s="4">
        <v>1762098</v>
      </c>
      <c r="E375" s="4">
        <v>34741</v>
      </c>
      <c r="F375">
        <f t="shared" si="50"/>
        <v>2019</v>
      </c>
      <c r="G375" t="str">
        <f t="shared" si="51"/>
        <v>September</v>
      </c>
      <c r="H375" t="str">
        <f t="shared" si="52"/>
        <v>Friday</v>
      </c>
      <c r="I375">
        <f t="shared" si="53"/>
        <v>1.9249493246770202</v>
      </c>
      <c r="J375">
        <f t="shared" si="54"/>
        <v>18.877313744385155</v>
      </c>
      <c r="K375">
        <f t="shared" si="55"/>
        <v>0.37217950238504593</v>
      </c>
      <c r="L375">
        <f t="shared" si="56"/>
        <v>0.8454367379471549</v>
      </c>
      <c r="M375">
        <f t="shared" si="57"/>
        <v>0.22010316865941429</v>
      </c>
      <c r="N375">
        <f t="shared" si="58"/>
        <v>39</v>
      </c>
      <c r="O375" t="str">
        <f t="shared" si="59"/>
        <v>Other</v>
      </c>
    </row>
    <row r="376" spans="1:15" hidden="1" x14ac:dyDescent="0.3">
      <c r="A376" t="s">
        <v>68</v>
      </c>
      <c r="B376" s="2">
        <v>45986</v>
      </c>
      <c r="C376" s="3">
        <v>93340549</v>
      </c>
      <c r="D376" s="4">
        <v>1884208</v>
      </c>
      <c r="E376" s="4">
        <v>8761</v>
      </c>
      <c r="F376">
        <f t="shared" si="50"/>
        <v>2025</v>
      </c>
      <c r="G376" t="str">
        <f t="shared" si="51"/>
        <v>November</v>
      </c>
      <c r="H376" t="str">
        <f t="shared" si="52"/>
        <v>Tuesday</v>
      </c>
      <c r="I376">
        <f t="shared" si="53"/>
        <v>2.0280242834226314</v>
      </c>
      <c r="J376">
        <f t="shared" si="54"/>
        <v>20.186382233513541</v>
      </c>
      <c r="K376">
        <f t="shared" si="55"/>
        <v>9.3860600712772746E-2</v>
      </c>
      <c r="L376">
        <f t="shared" si="56"/>
        <v>0.84534832032554097</v>
      </c>
      <c r="M376">
        <f t="shared" si="57"/>
        <v>0.21951086583555432</v>
      </c>
      <c r="N376">
        <f t="shared" si="58"/>
        <v>34</v>
      </c>
      <c r="O376" t="str">
        <f t="shared" si="59"/>
        <v>Other</v>
      </c>
    </row>
    <row r="377" spans="1:15" hidden="1" x14ac:dyDescent="0.3">
      <c r="A377" t="s">
        <v>83</v>
      </c>
      <c r="B377" s="2">
        <v>45940</v>
      </c>
      <c r="C377" s="3">
        <v>92525126</v>
      </c>
      <c r="D377" s="4">
        <v>2355961</v>
      </c>
      <c r="E377" s="4">
        <v>13105</v>
      </c>
      <c r="F377">
        <f t="shared" si="50"/>
        <v>2025</v>
      </c>
      <c r="G377" t="str">
        <f t="shared" si="51"/>
        <v>October</v>
      </c>
      <c r="H377" t="str">
        <f t="shared" si="52"/>
        <v>Friday</v>
      </c>
      <c r="I377">
        <f t="shared" si="53"/>
        <v>2.5604569292885913</v>
      </c>
      <c r="J377">
        <f t="shared" si="54"/>
        <v>25.462932090468055</v>
      </c>
      <c r="K377">
        <f t="shared" si="55"/>
        <v>0.14163720241785999</v>
      </c>
      <c r="L377">
        <f t="shared" si="56"/>
        <v>0.84535200917628339</v>
      </c>
      <c r="M377">
        <f t="shared" si="57"/>
        <v>0.22024637842066327</v>
      </c>
      <c r="N377">
        <f t="shared" si="58"/>
        <v>24</v>
      </c>
      <c r="O377" t="str">
        <f t="shared" si="59"/>
        <v>Challenge</v>
      </c>
    </row>
    <row r="378" spans="1:15" x14ac:dyDescent="0.3">
      <c r="A378" t="s">
        <v>41</v>
      </c>
      <c r="B378" s="2">
        <v>46087</v>
      </c>
      <c r="C378" s="3">
        <v>90026599</v>
      </c>
      <c r="D378" s="4">
        <v>2300242</v>
      </c>
      <c r="E378" s="4">
        <v>11347</v>
      </c>
      <c r="F378">
        <f t="shared" si="50"/>
        <v>2026</v>
      </c>
      <c r="G378" t="str">
        <f t="shared" si="51"/>
        <v>March</v>
      </c>
      <c r="H378" t="str">
        <f t="shared" si="52"/>
        <v>Friday</v>
      </c>
      <c r="I378">
        <f t="shared" si="53"/>
        <v>2.5676733606253417</v>
      </c>
      <c r="J378">
        <f t="shared" si="54"/>
        <v>25.550693079053225</v>
      </c>
      <c r="K378">
        <f t="shared" si="55"/>
        <v>0.12604052720018891</v>
      </c>
      <c r="L378">
        <f t="shared" si="56"/>
        <v>0.84599309181980864</v>
      </c>
      <c r="M378">
        <f t="shared" si="57"/>
        <v>0.22072800088318051</v>
      </c>
      <c r="N378">
        <f t="shared" si="58"/>
        <v>38</v>
      </c>
      <c r="O378" t="str">
        <f t="shared" si="59"/>
        <v>Other</v>
      </c>
    </row>
    <row r="379" spans="1:15" hidden="1" x14ac:dyDescent="0.3">
      <c r="A379" t="s">
        <v>404</v>
      </c>
      <c r="B379" s="2">
        <v>43524</v>
      </c>
      <c r="C379" s="3">
        <v>89556234</v>
      </c>
      <c r="D379" s="4">
        <v>2235312</v>
      </c>
      <c r="E379" s="4">
        <v>110975</v>
      </c>
      <c r="F379">
        <f t="shared" si="50"/>
        <v>2019</v>
      </c>
      <c r="G379" t="str">
        <f t="shared" si="51"/>
        <v>February</v>
      </c>
      <c r="H379" t="str">
        <f t="shared" si="52"/>
        <v>Thursday</v>
      </c>
      <c r="I379">
        <f t="shared" si="53"/>
        <v>2.6199036015739563</v>
      </c>
      <c r="J379">
        <f t="shared" si="54"/>
        <v>24.95987046529893</v>
      </c>
      <c r="K379">
        <f t="shared" si="55"/>
        <v>1.2391655504406316</v>
      </c>
      <c r="L379">
        <f t="shared" si="56"/>
        <v>0.84662735531864886</v>
      </c>
      <c r="M379">
        <f t="shared" si="57"/>
        <v>0.22128828434987657</v>
      </c>
      <c r="N379">
        <f t="shared" si="58"/>
        <v>28</v>
      </c>
      <c r="O379" t="str">
        <f t="shared" si="59"/>
        <v>Other</v>
      </c>
    </row>
    <row r="380" spans="1:15" hidden="1" x14ac:dyDescent="0.3">
      <c r="A380" t="s">
        <v>324</v>
      </c>
      <c r="B380" s="2">
        <v>44079</v>
      </c>
      <c r="C380" s="3">
        <v>87901171</v>
      </c>
      <c r="D380" s="4">
        <v>2644276</v>
      </c>
      <c r="E380" s="4">
        <v>119447</v>
      </c>
      <c r="F380">
        <f t="shared" si="50"/>
        <v>2020</v>
      </c>
      <c r="G380" t="str">
        <f t="shared" si="51"/>
        <v>September</v>
      </c>
      <c r="H380" t="str">
        <f t="shared" si="52"/>
        <v>Saturday</v>
      </c>
      <c r="I380">
        <f t="shared" si="53"/>
        <v>3.1441253495928967</v>
      </c>
      <c r="J380">
        <f t="shared" si="54"/>
        <v>30.0823751255828</v>
      </c>
      <c r="K380">
        <f t="shared" si="55"/>
        <v>1.3588783703461698</v>
      </c>
      <c r="L380">
        <f t="shared" si="56"/>
        <v>0.84718024204826248</v>
      </c>
      <c r="M380">
        <f t="shared" si="57"/>
        <v>0.21892725621219766</v>
      </c>
      <c r="N380">
        <f t="shared" si="58"/>
        <v>44</v>
      </c>
      <c r="O380" t="str">
        <f t="shared" si="59"/>
        <v>Other</v>
      </c>
    </row>
    <row r="381" spans="1:15" x14ac:dyDescent="0.3">
      <c r="A381" t="s">
        <v>27</v>
      </c>
      <c r="B381" s="2">
        <v>46126</v>
      </c>
      <c r="C381" s="3">
        <v>97020419</v>
      </c>
      <c r="D381" s="4">
        <v>1917110</v>
      </c>
      <c r="E381" s="4">
        <v>11908</v>
      </c>
      <c r="F381">
        <f t="shared" si="50"/>
        <v>2026</v>
      </c>
      <c r="G381" t="str">
        <f t="shared" si="51"/>
        <v>April</v>
      </c>
      <c r="H381" t="str">
        <f t="shared" si="52"/>
        <v>Tuesday</v>
      </c>
      <c r="I381">
        <f t="shared" si="53"/>
        <v>1.9882598115763654</v>
      </c>
      <c r="J381">
        <f t="shared" si="54"/>
        <v>19.759861065947366</v>
      </c>
      <c r="K381">
        <f t="shared" si="55"/>
        <v>0.12273704981628661</v>
      </c>
      <c r="L381">
        <f t="shared" si="56"/>
        <v>0.84864408291766047</v>
      </c>
      <c r="M381">
        <f t="shared" si="57"/>
        <v>0.21663207193419076</v>
      </c>
      <c r="N381">
        <f t="shared" si="58"/>
        <v>34</v>
      </c>
      <c r="O381" t="str">
        <f t="shared" si="59"/>
        <v>Challenge</v>
      </c>
    </row>
    <row r="382" spans="1:15" x14ac:dyDescent="0.3">
      <c r="A382" t="s">
        <v>11</v>
      </c>
      <c r="B382" s="2">
        <v>46164</v>
      </c>
      <c r="C382" s="3">
        <v>320768587</v>
      </c>
      <c r="D382" s="4">
        <v>3483909</v>
      </c>
      <c r="E382" s="4">
        <v>37637</v>
      </c>
      <c r="F382">
        <f t="shared" si="50"/>
        <v>2026</v>
      </c>
      <c r="G382" t="str">
        <f t="shared" si="51"/>
        <v>May</v>
      </c>
      <c r="H382" t="str">
        <f t="shared" si="52"/>
        <v>Friday</v>
      </c>
      <c r="I382">
        <f t="shared" si="53"/>
        <v>1.0978462800660715</v>
      </c>
      <c r="J382">
        <f t="shared" si="54"/>
        <v>10.861128992035619</v>
      </c>
      <c r="K382">
        <f t="shared" si="55"/>
        <v>0.11733380862509457</v>
      </c>
      <c r="L382">
        <f t="shared" si="56"/>
        <v>0.84863876433791707</v>
      </c>
      <c r="M382">
        <f t="shared" si="57"/>
        <v>0.21718159801270681</v>
      </c>
      <c r="N382">
        <f t="shared" si="58"/>
        <v>33</v>
      </c>
      <c r="O382" t="str">
        <f t="shared" si="59"/>
        <v>Other</v>
      </c>
    </row>
    <row r="383" spans="1:15" x14ac:dyDescent="0.3">
      <c r="A383" t="s">
        <v>12</v>
      </c>
      <c r="B383" s="2">
        <v>46161</v>
      </c>
      <c r="C383" s="3">
        <v>354422379</v>
      </c>
      <c r="D383" s="4">
        <v>2706368</v>
      </c>
      <c r="E383" s="4">
        <v>36624</v>
      </c>
      <c r="F383">
        <f t="shared" si="50"/>
        <v>2026</v>
      </c>
      <c r="G383" t="str">
        <f t="shared" si="51"/>
        <v>May</v>
      </c>
      <c r="H383" t="str">
        <f t="shared" si="52"/>
        <v>Tuesday</v>
      </c>
      <c r="I383">
        <f t="shared" si="53"/>
        <v>0.77393307040580528</v>
      </c>
      <c r="J383">
        <f t="shared" si="54"/>
        <v>7.6359963714368044</v>
      </c>
      <c r="K383">
        <f t="shared" si="55"/>
        <v>0.10333433262124794</v>
      </c>
      <c r="L383">
        <f t="shared" si="56"/>
        <v>0.84529940067285902</v>
      </c>
      <c r="M383">
        <f t="shared" si="57"/>
        <v>0.21468635548347298</v>
      </c>
      <c r="N383">
        <f t="shared" si="58"/>
        <v>25</v>
      </c>
      <c r="O383" t="str">
        <f t="shared" si="59"/>
        <v>Other</v>
      </c>
    </row>
    <row r="384" spans="1:15" hidden="1" x14ac:dyDescent="0.3">
      <c r="A384" t="s">
        <v>416</v>
      </c>
      <c r="B384" s="2">
        <v>43466</v>
      </c>
      <c r="C384" s="3">
        <v>83929801</v>
      </c>
      <c r="D384" s="4">
        <v>1650532</v>
      </c>
      <c r="E384" s="4">
        <v>68135</v>
      </c>
      <c r="F384">
        <f t="shared" si="50"/>
        <v>2019</v>
      </c>
      <c r="G384" t="str">
        <f t="shared" si="51"/>
        <v>January</v>
      </c>
      <c r="H384" t="str">
        <f t="shared" si="52"/>
        <v>Tuesday</v>
      </c>
      <c r="I384">
        <f t="shared" si="53"/>
        <v>2.0477434469313232</v>
      </c>
      <c r="J384">
        <f t="shared" si="54"/>
        <v>19.665625085897677</v>
      </c>
      <c r="K384">
        <f t="shared" si="55"/>
        <v>0.81180938341555231</v>
      </c>
      <c r="L384">
        <f t="shared" si="56"/>
        <v>0.84444483202948672</v>
      </c>
      <c r="M384">
        <f t="shared" si="57"/>
        <v>0.21242273902490202</v>
      </c>
      <c r="N384">
        <f t="shared" si="58"/>
        <v>38</v>
      </c>
      <c r="O384" t="str">
        <f t="shared" si="59"/>
        <v>Money</v>
      </c>
    </row>
    <row r="385" spans="1:15" hidden="1" x14ac:dyDescent="0.3">
      <c r="A385" t="s">
        <v>393</v>
      </c>
      <c r="B385" s="2">
        <v>43585</v>
      </c>
      <c r="C385" s="3">
        <v>83914787</v>
      </c>
      <c r="D385" s="4">
        <v>1855352</v>
      </c>
      <c r="E385" s="4">
        <v>49527</v>
      </c>
      <c r="F385">
        <f t="shared" si="50"/>
        <v>2019</v>
      </c>
      <c r="G385" t="str">
        <f t="shared" si="51"/>
        <v>April</v>
      </c>
      <c r="H385" t="str">
        <f t="shared" si="52"/>
        <v>Tuesday</v>
      </c>
      <c r="I385">
        <f t="shared" si="53"/>
        <v>2.2700158912397645</v>
      </c>
      <c r="J385">
        <f t="shared" si="54"/>
        <v>22.109953040815082</v>
      </c>
      <c r="K385">
        <f t="shared" si="55"/>
        <v>0.59020587158256144</v>
      </c>
      <c r="L385">
        <f t="shared" si="56"/>
        <v>0.84440771330453368</v>
      </c>
      <c r="M385">
        <f t="shared" si="57"/>
        <v>0.21068817673867801</v>
      </c>
      <c r="N385">
        <f t="shared" si="58"/>
        <v>50</v>
      </c>
      <c r="O385" t="str">
        <f t="shared" si="59"/>
        <v>Money</v>
      </c>
    </row>
    <row r="386" spans="1:15" hidden="1" x14ac:dyDescent="0.3">
      <c r="A386" t="s">
        <v>351</v>
      </c>
      <c r="B386" s="2">
        <v>43822</v>
      </c>
      <c r="C386" s="3">
        <v>83212094</v>
      </c>
      <c r="D386" s="4">
        <v>3159686</v>
      </c>
      <c r="E386" s="4">
        <v>170244</v>
      </c>
      <c r="F386">
        <f t="shared" ref="F386:F449" si="60">YEAR(B386)</f>
        <v>2019</v>
      </c>
      <c r="G386" t="str">
        <f t="shared" ref="G386:G449" si="61">TEXT(B386,"MMMM")</f>
        <v>December</v>
      </c>
      <c r="H386" t="str">
        <f t="shared" ref="H386:H449" si="62">TEXT(B386, "DDDD")</f>
        <v>Monday</v>
      </c>
      <c r="I386">
        <f t="shared" ref="I386:I449" si="63">((D386+E386)/C386)*100</f>
        <v>4.0017380165916752</v>
      </c>
      <c r="J386">
        <f t="shared" ref="J386:J449" si="64">(D386/C386)*1000</f>
        <v>37.971475636702522</v>
      </c>
      <c r="K386">
        <f t="shared" ref="K386:K449" si="65">(E386/C386)*1000</f>
        <v>2.0459045292142268</v>
      </c>
      <c r="L386">
        <f t="shared" ref="L386:L449" si="66">CORREL(C386:C884, D386:D884)</f>
        <v>0.84456443976645101</v>
      </c>
      <c r="M386">
        <f t="shared" ref="M386:M449" si="67">CORREL(C386:C884,E386:E884)</f>
        <v>0.20948780325136049</v>
      </c>
      <c r="N386">
        <f t="shared" ref="N386:N449" si="68">LEN(A386)</f>
        <v>44</v>
      </c>
      <c r="O386" t="str">
        <f t="shared" ref="O386:O449" si="69">IF(ISNUMBER(SEARCH("$",A386)), "Money", IF(ISNUMBER(SEARCH("Win",A386)), "Challenge",IF(ISNUMBER(SEARCH("Challenge",A386)), "Challenge",IF(ISNUMBER(SEARCH("Last To Leave",A386)),"Challenge",IF(ISNUMBER(SEARCH("Giving Away", A386)),"Giveaway",IF(ISNUMBER(SEARCH("Stranded",A386)),"Survival", IF(ISNUMBER(SEARCH("Survive",A386)), "Survival", IF(ISNUMBER(SEARCH("Days",A386)),"Endurance","Other"))))))))</f>
        <v>Other</v>
      </c>
    </row>
    <row r="387" spans="1:15" hidden="1" x14ac:dyDescent="0.3">
      <c r="A387" t="s">
        <v>66</v>
      </c>
      <c r="B387" s="2">
        <v>45993</v>
      </c>
      <c r="C387" s="3">
        <v>79571303</v>
      </c>
      <c r="D387" s="4">
        <v>1025116</v>
      </c>
      <c r="E387" s="4">
        <v>12507</v>
      </c>
      <c r="F387">
        <f t="shared" si="60"/>
        <v>2025</v>
      </c>
      <c r="G387" t="str">
        <f t="shared" si="61"/>
        <v>December</v>
      </c>
      <c r="H387" t="str">
        <f t="shared" si="62"/>
        <v>Tuesday</v>
      </c>
      <c r="I387">
        <f t="shared" si="63"/>
        <v>1.3040166000549218</v>
      </c>
      <c r="J387">
        <f t="shared" si="64"/>
        <v>12.88298621929064</v>
      </c>
      <c r="K387">
        <f t="shared" si="65"/>
        <v>0.15717978125857759</v>
      </c>
      <c r="L387">
        <f t="shared" si="66"/>
        <v>0.84792127783468696</v>
      </c>
      <c r="M387">
        <f t="shared" si="67"/>
        <v>0.20784719090768597</v>
      </c>
      <c r="N387">
        <f t="shared" si="68"/>
        <v>32</v>
      </c>
      <c r="O387" t="str">
        <f t="shared" si="69"/>
        <v>Other</v>
      </c>
    </row>
    <row r="388" spans="1:15" hidden="1" x14ac:dyDescent="0.3">
      <c r="A388" t="s">
        <v>370</v>
      </c>
      <c r="B388" s="2">
        <v>43721</v>
      </c>
      <c r="C388" s="3">
        <v>78851460</v>
      </c>
      <c r="D388" s="4">
        <v>1605524</v>
      </c>
      <c r="E388" s="4">
        <v>43600</v>
      </c>
      <c r="F388">
        <f t="shared" si="60"/>
        <v>2019</v>
      </c>
      <c r="G388" t="str">
        <f t="shared" si="61"/>
        <v>September</v>
      </c>
      <c r="H388" t="str">
        <f t="shared" si="62"/>
        <v>Friday</v>
      </c>
      <c r="I388">
        <f t="shared" si="63"/>
        <v>2.0914311542233968</v>
      </c>
      <c r="J388">
        <f t="shared" si="64"/>
        <v>20.361373143883448</v>
      </c>
      <c r="K388">
        <f t="shared" si="65"/>
        <v>0.55293839835051883</v>
      </c>
      <c r="L388">
        <f t="shared" si="66"/>
        <v>0.84778857064987712</v>
      </c>
      <c r="M388">
        <f t="shared" si="67"/>
        <v>0.20822645813257407</v>
      </c>
      <c r="N388">
        <f t="shared" si="68"/>
        <v>44</v>
      </c>
      <c r="O388" t="str">
        <f t="shared" si="69"/>
        <v>Money</v>
      </c>
    </row>
    <row r="389" spans="1:15" hidden="1" x14ac:dyDescent="0.3">
      <c r="A389" t="s">
        <v>132</v>
      </c>
      <c r="B389" s="2">
        <v>45759</v>
      </c>
      <c r="C389" s="3">
        <v>77740419</v>
      </c>
      <c r="D389" s="4">
        <v>4263456</v>
      </c>
      <c r="E389" s="4">
        <v>73427</v>
      </c>
      <c r="F389">
        <f t="shared" si="60"/>
        <v>2025</v>
      </c>
      <c r="G389" t="str">
        <f t="shared" si="61"/>
        <v>April</v>
      </c>
      <c r="H389" t="str">
        <f t="shared" si="62"/>
        <v>Saturday</v>
      </c>
      <c r="I389">
        <f t="shared" si="63"/>
        <v>5.5786720161618888</v>
      </c>
      <c r="J389">
        <f t="shared" si="64"/>
        <v>54.842205056805781</v>
      </c>
      <c r="K389">
        <f t="shared" si="65"/>
        <v>0.94451510481310885</v>
      </c>
      <c r="L389">
        <f t="shared" si="66"/>
        <v>0.84781698416340412</v>
      </c>
      <c r="M389">
        <f t="shared" si="67"/>
        <v>0.20727858775521843</v>
      </c>
      <c r="N389">
        <f t="shared" si="68"/>
        <v>33</v>
      </c>
      <c r="O389" t="str">
        <f t="shared" si="69"/>
        <v>Other</v>
      </c>
    </row>
    <row r="390" spans="1:15" hidden="1" x14ac:dyDescent="0.3">
      <c r="A390" t="s">
        <v>439</v>
      </c>
      <c r="B390" s="2">
        <v>43377</v>
      </c>
      <c r="C390" s="3">
        <v>75789505</v>
      </c>
      <c r="D390" s="4">
        <v>1539111</v>
      </c>
      <c r="E390" s="4">
        <v>47086</v>
      </c>
      <c r="F390">
        <f t="shared" si="60"/>
        <v>2018</v>
      </c>
      <c r="G390" t="str">
        <f t="shared" si="61"/>
        <v>October</v>
      </c>
      <c r="H390" t="str">
        <f t="shared" si="62"/>
        <v>Thursday</v>
      </c>
      <c r="I390">
        <f t="shared" si="63"/>
        <v>2.092897954670637</v>
      </c>
      <c r="J390">
        <f t="shared" si="64"/>
        <v>20.307706192301954</v>
      </c>
      <c r="K390">
        <f t="shared" si="65"/>
        <v>0.62127335440441256</v>
      </c>
      <c r="L390">
        <f t="shared" si="66"/>
        <v>0.85734299880167919</v>
      </c>
      <c r="M390">
        <f t="shared" si="67"/>
        <v>0.2055727642565619</v>
      </c>
      <c r="N390">
        <f t="shared" si="68"/>
        <v>44</v>
      </c>
      <c r="O390" t="str">
        <f t="shared" si="69"/>
        <v>Money</v>
      </c>
    </row>
    <row r="391" spans="1:15" hidden="1" x14ac:dyDescent="0.3">
      <c r="A391" t="s">
        <v>461</v>
      </c>
      <c r="B391" s="2">
        <v>43274</v>
      </c>
      <c r="C391" s="3">
        <v>75402322</v>
      </c>
      <c r="D391" s="4">
        <v>1642686</v>
      </c>
      <c r="E391" s="4">
        <v>98521</v>
      </c>
      <c r="F391">
        <f t="shared" si="60"/>
        <v>2018</v>
      </c>
      <c r="G391" t="str">
        <f t="shared" si="61"/>
        <v>June</v>
      </c>
      <c r="H391" t="str">
        <f t="shared" si="62"/>
        <v>Saturday</v>
      </c>
      <c r="I391">
        <f t="shared" si="63"/>
        <v>2.3092219892114199</v>
      </c>
      <c r="J391">
        <f t="shared" si="64"/>
        <v>21.785615567647902</v>
      </c>
      <c r="K391">
        <f t="shared" si="65"/>
        <v>1.3066043244662944</v>
      </c>
      <c r="L391">
        <f t="shared" si="66"/>
        <v>0.85740541580890794</v>
      </c>
      <c r="M391">
        <f t="shared" si="67"/>
        <v>0.20455504053690812</v>
      </c>
      <c r="N391">
        <f t="shared" si="68"/>
        <v>38</v>
      </c>
      <c r="O391" t="str">
        <f t="shared" si="69"/>
        <v>Other</v>
      </c>
    </row>
    <row r="392" spans="1:15" hidden="1" x14ac:dyDescent="0.3">
      <c r="A392" t="s">
        <v>311</v>
      </c>
      <c r="B392" s="2">
        <v>44197</v>
      </c>
      <c r="C392" s="3">
        <v>73507896</v>
      </c>
      <c r="D392" s="4">
        <v>5014173</v>
      </c>
      <c r="E392" s="4">
        <v>272448</v>
      </c>
      <c r="F392">
        <f t="shared" si="60"/>
        <v>2021</v>
      </c>
      <c r="G392" t="str">
        <f t="shared" si="61"/>
        <v>January</v>
      </c>
      <c r="H392" t="str">
        <f t="shared" si="62"/>
        <v>Friday</v>
      </c>
      <c r="I392">
        <f t="shared" si="63"/>
        <v>7.1919090161416133</v>
      </c>
      <c r="J392">
        <f t="shared" si="64"/>
        <v>68.212712822034803</v>
      </c>
      <c r="K392">
        <f t="shared" si="65"/>
        <v>3.7063773393813366</v>
      </c>
      <c r="L392">
        <f t="shared" si="66"/>
        <v>0.85758097519748322</v>
      </c>
      <c r="M392">
        <f t="shared" si="67"/>
        <v>0.20266690483720887</v>
      </c>
      <c r="N392">
        <f t="shared" si="68"/>
        <v>20</v>
      </c>
      <c r="O392" t="str">
        <f t="shared" si="69"/>
        <v>Challenge</v>
      </c>
    </row>
    <row r="393" spans="1:15" hidden="1" x14ac:dyDescent="0.3">
      <c r="A393" t="s">
        <v>135</v>
      </c>
      <c r="B393" s="2">
        <v>45743</v>
      </c>
      <c r="C393" s="3">
        <v>72006301</v>
      </c>
      <c r="D393" s="4">
        <v>1594329</v>
      </c>
      <c r="E393" s="4">
        <v>7555</v>
      </c>
      <c r="F393">
        <f t="shared" si="60"/>
        <v>2025</v>
      </c>
      <c r="G393" t="str">
        <f t="shared" si="61"/>
        <v>March</v>
      </c>
      <c r="H393" t="str">
        <f t="shared" si="62"/>
        <v>Thursday</v>
      </c>
      <c r="I393">
        <f t="shared" si="63"/>
        <v>2.2246442016234105</v>
      </c>
      <c r="J393">
        <f t="shared" si="64"/>
        <v>22.141520642755971</v>
      </c>
      <c r="K393">
        <f t="shared" si="65"/>
        <v>0.10492137347813492</v>
      </c>
      <c r="L393">
        <f t="shared" si="66"/>
        <v>0.87411033827443563</v>
      </c>
      <c r="M393">
        <f t="shared" si="67"/>
        <v>0.21012828568170516</v>
      </c>
      <c r="N393">
        <f t="shared" si="68"/>
        <v>31</v>
      </c>
      <c r="O393" t="str">
        <f t="shared" si="69"/>
        <v>Other</v>
      </c>
    </row>
    <row r="394" spans="1:15" hidden="1" x14ac:dyDescent="0.3">
      <c r="A394" t="s">
        <v>383</v>
      </c>
      <c r="B394" s="2">
        <v>43637</v>
      </c>
      <c r="C394" s="3">
        <v>71000075</v>
      </c>
      <c r="D394" s="4">
        <v>1821146</v>
      </c>
      <c r="E394" s="4">
        <v>83423</v>
      </c>
      <c r="F394">
        <f t="shared" si="60"/>
        <v>2019</v>
      </c>
      <c r="G394" t="str">
        <f t="shared" si="61"/>
        <v>June</v>
      </c>
      <c r="H394" t="str">
        <f t="shared" si="62"/>
        <v>Friday</v>
      </c>
      <c r="I394">
        <f t="shared" si="63"/>
        <v>2.6824887156809343</v>
      </c>
      <c r="J394">
        <f t="shared" si="64"/>
        <v>25.649916566989539</v>
      </c>
      <c r="K394">
        <f t="shared" si="65"/>
        <v>1.1749705898197995</v>
      </c>
      <c r="L394">
        <f t="shared" si="66"/>
        <v>0.87437967690071938</v>
      </c>
      <c r="M394">
        <f t="shared" si="67"/>
        <v>0.2106757312194299</v>
      </c>
      <c r="N394">
        <f t="shared" si="68"/>
        <v>38</v>
      </c>
      <c r="O394" t="str">
        <f t="shared" si="69"/>
        <v>Other</v>
      </c>
    </row>
    <row r="395" spans="1:15" x14ac:dyDescent="0.3">
      <c r="A395" t="s">
        <v>24</v>
      </c>
      <c r="B395" s="2">
        <v>46136</v>
      </c>
      <c r="C395" s="3">
        <v>127697094</v>
      </c>
      <c r="D395" s="4">
        <v>1411717</v>
      </c>
      <c r="E395" s="4">
        <v>13039</v>
      </c>
      <c r="F395">
        <f t="shared" si="60"/>
        <v>2026</v>
      </c>
      <c r="G395" t="str">
        <f t="shared" si="61"/>
        <v>April</v>
      </c>
      <c r="H395" t="str">
        <f t="shared" si="62"/>
        <v>Friday</v>
      </c>
      <c r="I395">
        <f t="shared" si="63"/>
        <v>1.1157309499932708</v>
      </c>
      <c r="J395">
        <f t="shared" si="64"/>
        <v>11.055200676688852</v>
      </c>
      <c r="K395">
        <f t="shared" si="65"/>
        <v>0.10210882324385549</v>
      </c>
      <c r="L395">
        <f t="shared" si="66"/>
        <v>0.87503183423888142</v>
      </c>
      <c r="M395">
        <f t="shared" si="67"/>
        <v>0.20912595249004615</v>
      </c>
      <c r="N395">
        <f t="shared" si="68"/>
        <v>21</v>
      </c>
      <c r="O395" t="str">
        <f t="shared" si="69"/>
        <v>Other</v>
      </c>
    </row>
    <row r="396" spans="1:15" hidden="1" x14ac:dyDescent="0.3">
      <c r="A396" t="s">
        <v>446</v>
      </c>
      <c r="B396" s="2">
        <v>43349</v>
      </c>
      <c r="C396" s="3">
        <v>70083705</v>
      </c>
      <c r="D396" s="4">
        <v>1136947</v>
      </c>
      <c r="E396" s="4">
        <v>37610</v>
      </c>
      <c r="F396">
        <f t="shared" si="60"/>
        <v>2018</v>
      </c>
      <c r="G396" t="str">
        <f t="shared" si="61"/>
        <v>September</v>
      </c>
      <c r="H396" t="str">
        <f t="shared" si="62"/>
        <v>Thursday</v>
      </c>
      <c r="I396">
        <f t="shared" si="63"/>
        <v>1.675934512879991</v>
      </c>
      <c r="J396">
        <f t="shared" si="64"/>
        <v>16.222701125746703</v>
      </c>
      <c r="K396">
        <f t="shared" si="65"/>
        <v>0.53664400305320625</v>
      </c>
      <c r="L396">
        <f t="shared" si="66"/>
        <v>0.87466111725194207</v>
      </c>
      <c r="M396">
        <f t="shared" si="67"/>
        <v>0.20965143005095882</v>
      </c>
      <c r="N396">
        <f t="shared" si="68"/>
        <v>52</v>
      </c>
      <c r="O396" t="str">
        <f t="shared" si="69"/>
        <v>Challenge</v>
      </c>
    </row>
    <row r="397" spans="1:15" hidden="1" x14ac:dyDescent="0.3">
      <c r="A397" t="s">
        <v>340</v>
      </c>
      <c r="B397" s="2">
        <v>43917</v>
      </c>
      <c r="C397" s="3">
        <v>69979526</v>
      </c>
      <c r="D397" s="4">
        <v>1953039</v>
      </c>
      <c r="E397" s="4">
        <v>64548</v>
      </c>
      <c r="F397">
        <f t="shared" si="60"/>
        <v>2020</v>
      </c>
      <c r="G397" t="str">
        <f t="shared" si="61"/>
        <v>March</v>
      </c>
      <c r="H397" t="str">
        <f t="shared" si="62"/>
        <v>Friday</v>
      </c>
      <c r="I397">
        <f t="shared" si="63"/>
        <v>2.8831104114652049</v>
      </c>
      <c r="J397">
        <f t="shared" si="64"/>
        <v>27.908720044774238</v>
      </c>
      <c r="K397">
        <f t="shared" si="65"/>
        <v>0.92238406987780963</v>
      </c>
      <c r="L397">
        <f t="shared" si="66"/>
        <v>0.87458749382015077</v>
      </c>
      <c r="M397">
        <f t="shared" si="67"/>
        <v>0.20890141383273866</v>
      </c>
      <c r="N397">
        <f t="shared" si="68"/>
        <v>43</v>
      </c>
      <c r="O397" t="str">
        <f t="shared" si="69"/>
        <v>Money</v>
      </c>
    </row>
    <row r="398" spans="1:15" hidden="1" x14ac:dyDescent="0.3">
      <c r="A398" t="s">
        <v>354</v>
      </c>
      <c r="B398" s="2">
        <v>43813</v>
      </c>
      <c r="C398" s="3">
        <v>69031568</v>
      </c>
      <c r="D398" s="4">
        <v>1505500</v>
      </c>
      <c r="E398" s="4">
        <v>91395</v>
      </c>
      <c r="F398">
        <f t="shared" si="60"/>
        <v>2019</v>
      </c>
      <c r="G398" t="str">
        <f t="shared" si="61"/>
        <v>December</v>
      </c>
      <c r="H398" t="str">
        <f t="shared" si="62"/>
        <v>Saturday</v>
      </c>
      <c r="I398">
        <f t="shared" si="63"/>
        <v>2.3132822363241119</v>
      </c>
      <c r="J398">
        <f t="shared" si="64"/>
        <v>21.808862866913294</v>
      </c>
      <c r="K398">
        <f t="shared" si="65"/>
        <v>1.3239594963278249</v>
      </c>
      <c r="L398">
        <f t="shared" si="66"/>
        <v>0.87554608515825805</v>
      </c>
      <c r="M398">
        <f t="shared" si="67"/>
        <v>0.20751009422177988</v>
      </c>
      <c r="N398">
        <f t="shared" si="68"/>
        <v>49</v>
      </c>
      <c r="O398" t="str">
        <f t="shared" si="69"/>
        <v>Money</v>
      </c>
    </row>
    <row r="399" spans="1:15" hidden="1" x14ac:dyDescent="0.3">
      <c r="A399" t="s">
        <v>606</v>
      </c>
      <c r="B399" s="2">
        <v>42401</v>
      </c>
      <c r="C399" s="3">
        <v>68466482</v>
      </c>
      <c r="D399" s="4">
        <v>709586</v>
      </c>
      <c r="E399" s="4">
        <v>56965</v>
      </c>
      <c r="F399">
        <f t="shared" si="60"/>
        <v>2016</v>
      </c>
      <c r="G399" t="str">
        <f t="shared" si="61"/>
        <v>February</v>
      </c>
      <c r="H399" t="str">
        <f t="shared" si="62"/>
        <v>Monday</v>
      </c>
      <c r="I399">
        <f t="shared" si="63"/>
        <v>1.1196003907430208</v>
      </c>
      <c r="J399">
        <f t="shared" si="64"/>
        <v>10.363990952536454</v>
      </c>
      <c r="K399">
        <f t="shared" si="65"/>
        <v>0.83201295489375371</v>
      </c>
      <c r="L399">
        <f t="shared" si="66"/>
        <v>0.87577864069404354</v>
      </c>
      <c r="M399">
        <f t="shared" si="67"/>
        <v>0.20601386768012836</v>
      </c>
      <c r="N399">
        <f t="shared" si="68"/>
        <v>32</v>
      </c>
      <c r="O399" t="str">
        <f t="shared" si="69"/>
        <v>Other</v>
      </c>
    </row>
    <row r="400" spans="1:15" hidden="1" x14ac:dyDescent="0.3">
      <c r="A400" t="s">
        <v>368</v>
      </c>
      <c r="B400" s="2">
        <v>43736</v>
      </c>
      <c r="C400" s="3">
        <v>67724015</v>
      </c>
      <c r="D400" s="4">
        <v>1919649</v>
      </c>
      <c r="E400" s="4">
        <v>42438</v>
      </c>
      <c r="F400">
        <f t="shared" si="60"/>
        <v>2019</v>
      </c>
      <c r="G400" t="str">
        <f t="shared" si="61"/>
        <v>September</v>
      </c>
      <c r="H400" t="str">
        <f t="shared" si="62"/>
        <v>Saturday</v>
      </c>
      <c r="I400">
        <f t="shared" si="63"/>
        <v>2.8971805643832544</v>
      </c>
      <c r="J400">
        <f t="shared" si="64"/>
        <v>28.345174160155743</v>
      </c>
      <c r="K400">
        <f t="shared" si="65"/>
        <v>0.6266314836768021</v>
      </c>
      <c r="L400">
        <f t="shared" si="66"/>
        <v>0.87575213929250428</v>
      </c>
      <c r="M400">
        <f t="shared" si="67"/>
        <v>0.20476779007294207</v>
      </c>
      <c r="N400">
        <f t="shared" si="68"/>
        <v>37</v>
      </c>
      <c r="O400" t="str">
        <f t="shared" si="69"/>
        <v>Money</v>
      </c>
    </row>
    <row r="401" spans="1:15" hidden="1" x14ac:dyDescent="0.3">
      <c r="A401" t="s">
        <v>444</v>
      </c>
      <c r="B401" s="2">
        <v>43357</v>
      </c>
      <c r="C401" s="3">
        <v>66482814</v>
      </c>
      <c r="D401" s="4">
        <v>1325710</v>
      </c>
      <c r="E401" s="4">
        <v>39661</v>
      </c>
      <c r="F401">
        <f t="shared" si="60"/>
        <v>2018</v>
      </c>
      <c r="G401" t="str">
        <f t="shared" si="61"/>
        <v>September</v>
      </c>
      <c r="H401" t="str">
        <f t="shared" si="62"/>
        <v>Friday</v>
      </c>
      <c r="I401">
        <f t="shared" si="63"/>
        <v>2.0537202291106391</v>
      </c>
      <c r="J401">
        <f t="shared" si="64"/>
        <v>19.940642103386299</v>
      </c>
      <c r="K401">
        <f t="shared" si="65"/>
        <v>0.59656018772009256</v>
      </c>
      <c r="L401">
        <f t="shared" si="66"/>
        <v>0.87673083351872882</v>
      </c>
      <c r="M401">
        <f t="shared" si="67"/>
        <v>0.20386851214592411</v>
      </c>
      <c r="N401">
        <f t="shared" si="68"/>
        <v>51</v>
      </c>
      <c r="O401" t="str">
        <f t="shared" si="69"/>
        <v>Money</v>
      </c>
    </row>
    <row r="402" spans="1:15" hidden="1" x14ac:dyDescent="0.3">
      <c r="A402" t="s">
        <v>424</v>
      </c>
      <c r="B402" s="2">
        <v>43436</v>
      </c>
      <c r="C402" s="3">
        <v>65382269</v>
      </c>
      <c r="D402" s="4">
        <v>1033097</v>
      </c>
      <c r="E402" s="4">
        <v>48534</v>
      </c>
      <c r="F402">
        <f t="shared" si="60"/>
        <v>2018</v>
      </c>
      <c r="G402" t="str">
        <f t="shared" si="61"/>
        <v>December</v>
      </c>
      <c r="H402" t="str">
        <f t="shared" si="62"/>
        <v>Sunday</v>
      </c>
      <c r="I402">
        <f t="shared" si="63"/>
        <v>1.654318543151202</v>
      </c>
      <c r="J402">
        <f t="shared" si="64"/>
        <v>15.800874087132092</v>
      </c>
      <c r="K402">
        <f t="shared" si="65"/>
        <v>0.74231134437992663</v>
      </c>
      <c r="L402">
        <f t="shared" si="66"/>
        <v>0.8768231382263818</v>
      </c>
      <c r="M402">
        <f t="shared" si="67"/>
        <v>0.20307002269741942</v>
      </c>
      <c r="N402">
        <f t="shared" si="68"/>
        <v>38</v>
      </c>
      <c r="O402" t="str">
        <f t="shared" si="69"/>
        <v>Other</v>
      </c>
    </row>
    <row r="403" spans="1:15" x14ac:dyDescent="0.3">
      <c r="A403" t="s">
        <v>28</v>
      </c>
      <c r="B403" s="2">
        <v>46122</v>
      </c>
      <c r="C403" s="3">
        <v>146632610</v>
      </c>
      <c r="D403" s="4">
        <v>2455195</v>
      </c>
      <c r="E403" s="4">
        <v>13495</v>
      </c>
      <c r="F403">
        <f t="shared" si="60"/>
        <v>2026</v>
      </c>
      <c r="G403" t="str">
        <f t="shared" si="61"/>
        <v>April</v>
      </c>
      <c r="H403" t="str">
        <f t="shared" si="62"/>
        <v>Friday</v>
      </c>
      <c r="I403">
        <f t="shared" si="63"/>
        <v>1.6835886642132334</v>
      </c>
      <c r="J403">
        <f t="shared" si="64"/>
        <v>16.74385390807679</v>
      </c>
      <c r="K403">
        <f t="shared" si="65"/>
        <v>9.2032734055541937E-2</v>
      </c>
      <c r="L403">
        <f t="shared" si="66"/>
        <v>0.87675530260013312</v>
      </c>
      <c r="M403">
        <f t="shared" si="67"/>
        <v>0.2020694178113692</v>
      </c>
      <c r="N403">
        <f t="shared" si="68"/>
        <v>31</v>
      </c>
      <c r="O403" t="str">
        <f t="shared" si="69"/>
        <v>Other</v>
      </c>
    </row>
    <row r="404" spans="1:15" hidden="1" x14ac:dyDescent="0.3">
      <c r="A404" t="s">
        <v>85</v>
      </c>
      <c r="B404" s="2">
        <v>45934</v>
      </c>
      <c r="C404" s="3">
        <v>62425691</v>
      </c>
      <c r="D404" s="4">
        <v>3705509</v>
      </c>
      <c r="E404" s="4">
        <v>114527</v>
      </c>
      <c r="F404">
        <f t="shared" si="60"/>
        <v>2025</v>
      </c>
      <c r="G404" t="str">
        <f t="shared" si="61"/>
        <v>October</v>
      </c>
      <c r="H404" t="str">
        <f t="shared" si="62"/>
        <v>Saturday</v>
      </c>
      <c r="I404">
        <f t="shared" si="63"/>
        <v>6.1193331444260668</v>
      </c>
      <c r="J404">
        <f t="shared" si="64"/>
        <v>59.358718191841881</v>
      </c>
      <c r="K404">
        <f t="shared" si="65"/>
        <v>1.8346132524187837</v>
      </c>
      <c r="L404">
        <f t="shared" si="66"/>
        <v>0.87645986177834678</v>
      </c>
      <c r="M404">
        <f t="shared" si="67"/>
        <v>0.20255165472775169</v>
      </c>
      <c r="N404">
        <f t="shared" si="68"/>
        <v>17</v>
      </c>
      <c r="O404" t="str">
        <f t="shared" si="69"/>
        <v>Other</v>
      </c>
    </row>
    <row r="405" spans="1:15" x14ac:dyDescent="0.3">
      <c r="A405" t="s">
        <v>47</v>
      </c>
      <c r="B405" s="2">
        <v>46062</v>
      </c>
      <c r="C405" s="3">
        <v>362606510</v>
      </c>
      <c r="D405" s="4">
        <v>4942868</v>
      </c>
      <c r="E405" s="4">
        <v>32337</v>
      </c>
      <c r="F405">
        <f t="shared" si="60"/>
        <v>2026</v>
      </c>
      <c r="G405" t="str">
        <f t="shared" si="61"/>
        <v>February</v>
      </c>
      <c r="H405" t="str">
        <f t="shared" si="62"/>
        <v>Monday</v>
      </c>
      <c r="I405">
        <f t="shared" si="63"/>
        <v>1.3720672030957193</v>
      </c>
      <c r="J405">
        <f t="shared" si="64"/>
        <v>13.631492716443507</v>
      </c>
      <c r="K405">
        <f t="shared" si="65"/>
        <v>8.9179314513685923E-2</v>
      </c>
      <c r="L405">
        <f t="shared" si="66"/>
        <v>0.88584562769427111</v>
      </c>
      <c r="M405">
        <f t="shared" si="67"/>
        <v>0.20185495728622482</v>
      </c>
      <c r="N405">
        <f t="shared" si="68"/>
        <v>26</v>
      </c>
      <c r="O405" t="str">
        <f t="shared" si="69"/>
        <v>Other</v>
      </c>
    </row>
    <row r="406" spans="1:15" hidden="1" x14ac:dyDescent="0.3">
      <c r="A406" t="s">
        <v>403</v>
      </c>
      <c r="B406" s="2">
        <v>43527</v>
      </c>
      <c r="C406" s="3">
        <v>61589384</v>
      </c>
      <c r="D406" s="4">
        <v>1786574</v>
      </c>
      <c r="E406" s="4">
        <v>55252</v>
      </c>
      <c r="F406">
        <f t="shared" si="60"/>
        <v>2019</v>
      </c>
      <c r="G406" t="str">
        <f t="shared" si="61"/>
        <v>March</v>
      </c>
      <c r="H406" t="str">
        <f t="shared" si="62"/>
        <v>Sunday</v>
      </c>
      <c r="I406">
        <f t="shared" si="63"/>
        <v>2.9904926472393361</v>
      </c>
      <c r="J406">
        <f t="shared" si="64"/>
        <v>29.007823815870605</v>
      </c>
      <c r="K406">
        <f t="shared" si="65"/>
        <v>0.89710265652275401</v>
      </c>
      <c r="L406">
        <f t="shared" si="66"/>
        <v>0.88172070705632122</v>
      </c>
      <c r="M406">
        <f t="shared" si="67"/>
        <v>0.19852930716299666</v>
      </c>
      <c r="N406">
        <f t="shared" si="68"/>
        <v>50</v>
      </c>
      <c r="O406" t="str">
        <f t="shared" si="69"/>
        <v>Other</v>
      </c>
    </row>
    <row r="407" spans="1:15" hidden="1" x14ac:dyDescent="0.3">
      <c r="A407" t="s">
        <v>126</v>
      </c>
      <c r="B407" s="2">
        <v>45782</v>
      </c>
      <c r="C407" s="3">
        <v>61346750</v>
      </c>
      <c r="D407" s="4">
        <v>1810100</v>
      </c>
      <c r="E407" s="4">
        <v>8741</v>
      </c>
      <c r="F407">
        <f t="shared" si="60"/>
        <v>2025</v>
      </c>
      <c r="G407" t="str">
        <f t="shared" si="61"/>
        <v>May</v>
      </c>
      <c r="H407" t="str">
        <f t="shared" si="62"/>
        <v>Monday</v>
      </c>
      <c r="I407">
        <f t="shared" si="63"/>
        <v>2.9648530688259767</v>
      </c>
      <c r="J407">
        <f t="shared" si="64"/>
        <v>29.506045552535383</v>
      </c>
      <c r="K407">
        <f t="shared" si="65"/>
        <v>0.14248513572438637</v>
      </c>
      <c r="L407">
        <f t="shared" si="66"/>
        <v>0.882784756905164</v>
      </c>
      <c r="M407">
        <f t="shared" si="67"/>
        <v>0.19741623642839404</v>
      </c>
      <c r="N407">
        <f t="shared" si="68"/>
        <v>26</v>
      </c>
      <c r="O407" t="str">
        <f t="shared" si="69"/>
        <v>Money</v>
      </c>
    </row>
    <row r="408" spans="1:15" hidden="1" x14ac:dyDescent="0.3">
      <c r="A408" t="s">
        <v>323</v>
      </c>
      <c r="B408" s="2">
        <v>44091</v>
      </c>
      <c r="C408" s="3">
        <v>59422417</v>
      </c>
      <c r="D408" s="4">
        <v>2778705</v>
      </c>
      <c r="E408" s="4">
        <v>93982</v>
      </c>
      <c r="F408">
        <f t="shared" si="60"/>
        <v>2020</v>
      </c>
      <c r="G408" t="str">
        <f t="shared" si="61"/>
        <v>September</v>
      </c>
      <c r="H408" t="str">
        <f t="shared" si="62"/>
        <v>Thursday</v>
      </c>
      <c r="I408">
        <f t="shared" si="63"/>
        <v>4.8343489629511369</v>
      </c>
      <c r="J408">
        <f t="shared" si="64"/>
        <v>46.761897955110108</v>
      </c>
      <c r="K408">
        <f t="shared" si="65"/>
        <v>1.5815916744012617</v>
      </c>
      <c r="L408">
        <f t="shared" si="66"/>
        <v>0.88393350386937131</v>
      </c>
      <c r="M408">
        <f t="shared" si="67"/>
        <v>0.19776594957896249</v>
      </c>
      <c r="N408">
        <f t="shared" si="68"/>
        <v>30</v>
      </c>
      <c r="O408" t="str">
        <f t="shared" si="69"/>
        <v>Other</v>
      </c>
    </row>
    <row r="409" spans="1:15" hidden="1" x14ac:dyDescent="0.3">
      <c r="A409" t="s">
        <v>65</v>
      </c>
      <c r="B409" s="2">
        <v>45996</v>
      </c>
      <c r="C409" s="3">
        <v>59020732</v>
      </c>
      <c r="D409" s="4">
        <v>1280478</v>
      </c>
      <c r="E409" s="4">
        <v>10514</v>
      </c>
      <c r="F409">
        <f t="shared" si="60"/>
        <v>2025</v>
      </c>
      <c r="G409" t="str">
        <f t="shared" si="61"/>
        <v>December</v>
      </c>
      <c r="H409" t="str">
        <f t="shared" si="62"/>
        <v>Friday</v>
      </c>
      <c r="I409">
        <f t="shared" si="63"/>
        <v>2.1873534201507363</v>
      </c>
      <c r="J409">
        <f t="shared" si="64"/>
        <v>21.6953934085399</v>
      </c>
      <c r="K409">
        <f t="shared" si="65"/>
        <v>0.17814079296746099</v>
      </c>
      <c r="L409">
        <f t="shared" si="66"/>
        <v>0.8889366353318876</v>
      </c>
      <c r="M409">
        <f t="shared" si="67"/>
        <v>0.19671884058564446</v>
      </c>
      <c r="N409">
        <f t="shared" si="68"/>
        <v>30</v>
      </c>
      <c r="O409" t="str">
        <f t="shared" si="69"/>
        <v>Other</v>
      </c>
    </row>
    <row r="410" spans="1:15" hidden="1" x14ac:dyDescent="0.3">
      <c r="A410" t="s">
        <v>363</v>
      </c>
      <c r="B410" s="2">
        <v>43769</v>
      </c>
      <c r="C410" s="3">
        <v>58609223</v>
      </c>
      <c r="D410" s="4">
        <v>1436776</v>
      </c>
      <c r="E410" s="4">
        <v>29812</v>
      </c>
      <c r="F410">
        <f t="shared" si="60"/>
        <v>2019</v>
      </c>
      <c r="G410" t="str">
        <f t="shared" si="61"/>
        <v>October</v>
      </c>
      <c r="H410" t="str">
        <f t="shared" si="62"/>
        <v>Thursday</v>
      </c>
      <c r="I410">
        <f t="shared" si="63"/>
        <v>2.5023160603920647</v>
      </c>
      <c r="J410">
        <f t="shared" si="64"/>
        <v>24.514503459634671</v>
      </c>
      <c r="K410">
        <f t="shared" si="65"/>
        <v>0.50865714428597697</v>
      </c>
      <c r="L410">
        <f t="shared" si="66"/>
        <v>0.88918676725451806</v>
      </c>
      <c r="M410">
        <f t="shared" si="67"/>
        <v>0.19696636011986771</v>
      </c>
      <c r="N410">
        <f t="shared" si="68"/>
        <v>44</v>
      </c>
      <c r="O410" t="str">
        <f t="shared" si="69"/>
        <v>Money</v>
      </c>
    </row>
    <row r="411" spans="1:15" hidden="1" x14ac:dyDescent="0.3">
      <c r="A411" t="s">
        <v>308</v>
      </c>
      <c r="B411" s="2">
        <v>44240</v>
      </c>
      <c r="C411" s="3">
        <v>57590296</v>
      </c>
      <c r="D411" s="4">
        <v>3026180</v>
      </c>
      <c r="E411" s="4">
        <v>142875</v>
      </c>
      <c r="F411">
        <f t="shared" si="60"/>
        <v>2021</v>
      </c>
      <c r="G411" t="str">
        <f t="shared" si="61"/>
        <v>February</v>
      </c>
      <c r="H411" t="str">
        <f t="shared" si="62"/>
        <v>Saturday</v>
      </c>
      <c r="I411">
        <f t="shared" si="63"/>
        <v>5.5027586592018904</v>
      </c>
      <c r="J411">
        <f t="shared" si="64"/>
        <v>52.546699881521704</v>
      </c>
      <c r="K411">
        <f t="shared" si="65"/>
        <v>2.4808867104971992</v>
      </c>
      <c r="L411">
        <f t="shared" si="66"/>
        <v>0.8896856119609734</v>
      </c>
      <c r="M411">
        <f t="shared" si="67"/>
        <v>0.19648783480800605</v>
      </c>
      <c r="N411">
        <f t="shared" si="68"/>
        <v>36</v>
      </c>
      <c r="O411" t="str">
        <f t="shared" si="69"/>
        <v>Money</v>
      </c>
    </row>
    <row r="412" spans="1:15" hidden="1" x14ac:dyDescent="0.3">
      <c r="A412" t="s">
        <v>402</v>
      </c>
      <c r="B412" s="2">
        <v>43536</v>
      </c>
      <c r="C412" s="3">
        <v>57168031</v>
      </c>
      <c r="D412" s="4">
        <v>1740475</v>
      </c>
      <c r="E412" s="4">
        <v>141709</v>
      </c>
      <c r="F412">
        <f t="shared" si="60"/>
        <v>2019</v>
      </c>
      <c r="G412" t="str">
        <f t="shared" si="61"/>
        <v>March</v>
      </c>
      <c r="H412" t="str">
        <f t="shared" si="62"/>
        <v>Tuesday</v>
      </c>
      <c r="I412">
        <f t="shared" si="63"/>
        <v>3.2923715703974481</v>
      </c>
      <c r="J412">
        <f t="shared" si="64"/>
        <v>30.444900227541506</v>
      </c>
      <c r="K412">
        <f t="shared" si="65"/>
        <v>2.4788154764329735</v>
      </c>
      <c r="L412">
        <f t="shared" si="66"/>
        <v>0.89648751989354958</v>
      </c>
      <c r="M412">
        <f t="shared" si="67"/>
        <v>0.19726816284293311</v>
      </c>
      <c r="N412">
        <f t="shared" si="68"/>
        <v>31</v>
      </c>
      <c r="O412" t="str">
        <f t="shared" si="69"/>
        <v>Money</v>
      </c>
    </row>
    <row r="413" spans="1:15" hidden="1" x14ac:dyDescent="0.3">
      <c r="A413" t="s">
        <v>450</v>
      </c>
      <c r="B413" s="2">
        <v>43327</v>
      </c>
      <c r="C413" s="3">
        <v>57165215</v>
      </c>
      <c r="D413" s="4">
        <v>1005545</v>
      </c>
      <c r="E413" s="4">
        <v>32050</v>
      </c>
      <c r="F413">
        <f t="shared" si="60"/>
        <v>2018</v>
      </c>
      <c r="G413" t="str">
        <f t="shared" si="61"/>
        <v>August</v>
      </c>
      <c r="H413" t="str">
        <f t="shared" si="62"/>
        <v>Wednesday</v>
      </c>
      <c r="I413">
        <f t="shared" si="63"/>
        <v>1.8150810768401728</v>
      </c>
      <c r="J413">
        <f t="shared" si="64"/>
        <v>17.590155131927695</v>
      </c>
      <c r="K413">
        <f t="shared" si="65"/>
        <v>0.56065563647403405</v>
      </c>
      <c r="L413">
        <f t="shared" si="66"/>
        <v>0.89777034132460976</v>
      </c>
      <c r="M413">
        <f t="shared" si="67"/>
        <v>0.19830474544848389</v>
      </c>
      <c r="N413">
        <f t="shared" si="68"/>
        <v>50</v>
      </c>
      <c r="O413" t="str">
        <f t="shared" si="69"/>
        <v>Money</v>
      </c>
    </row>
    <row r="414" spans="1:15" hidden="1" x14ac:dyDescent="0.3">
      <c r="A414" t="s">
        <v>463</v>
      </c>
      <c r="B414" s="2">
        <v>43260</v>
      </c>
      <c r="C414" s="3">
        <v>55321115</v>
      </c>
      <c r="D414" s="4">
        <v>1222370</v>
      </c>
      <c r="E414" s="4">
        <v>93610</v>
      </c>
      <c r="F414">
        <f t="shared" si="60"/>
        <v>2018</v>
      </c>
      <c r="G414" t="str">
        <f t="shared" si="61"/>
        <v>June</v>
      </c>
      <c r="H414" t="str">
        <f t="shared" si="62"/>
        <v>Saturday</v>
      </c>
      <c r="I414">
        <f t="shared" si="63"/>
        <v>2.3788023795254309</v>
      </c>
      <c r="J414">
        <f t="shared" si="64"/>
        <v>22.095903164641566</v>
      </c>
      <c r="K414">
        <f t="shared" si="65"/>
        <v>1.6921206306127416</v>
      </c>
      <c r="L414">
        <f t="shared" si="66"/>
        <v>0.89780352747929792</v>
      </c>
      <c r="M414">
        <f t="shared" si="67"/>
        <v>0.19772137694296027</v>
      </c>
      <c r="N414">
        <f t="shared" si="68"/>
        <v>48</v>
      </c>
      <c r="O414" t="str">
        <f t="shared" si="69"/>
        <v>Other</v>
      </c>
    </row>
    <row r="415" spans="1:15" hidden="1" x14ac:dyDescent="0.3">
      <c r="A415" t="s">
        <v>523</v>
      </c>
      <c r="B415" s="2">
        <v>42815</v>
      </c>
      <c r="C415" s="3">
        <v>55105204</v>
      </c>
      <c r="D415" s="4">
        <v>2620976</v>
      </c>
      <c r="E415" s="4">
        <v>0</v>
      </c>
      <c r="F415">
        <f t="shared" si="60"/>
        <v>2017</v>
      </c>
      <c r="G415" t="str">
        <f t="shared" si="61"/>
        <v>March</v>
      </c>
      <c r="H415" t="str">
        <f t="shared" si="62"/>
        <v>Tuesday</v>
      </c>
      <c r="I415">
        <f t="shared" si="63"/>
        <v>4.7563130335203914</v>
      </c>
      <c r="J415">
        <f t="shared" si="64"/>
        <v>47.563130335203915</v>
      </c>
      <c r="K415">
        <f t="shared" si="65"/>
        <v>0</v>
      </c>
      <c r="L415">
        <f t="shared" si="66"/>
        <v>0.89809024232034251</v>
      </c>
      <c r="M415">
        <f t="shared" si="67"/>
        <v>0.19709183359089652</v>
      </c>
      <c r="N415">
        <f t="shared" si="68"/>
        <v>44</v>
      </c>
      <c r="O415" t="str">
        <f t="shared" si="69"/>
        <v>Other</v>
      </c>
    </row>
    <row r="416" spans="1:15" hidden="1" x14ac:dyDescent="0.3">
      <c r="A416" t="s">
        <v>483</v>
      </c>
      <c r="B416" s="2">
        <v>43176</v>
      </c>
      <c r="C416" s="3">
        <v>54429329</v>
      </c>
      <c r="D416" s="4">
        <v>1400787</v>
      </c>
      <c r="E416" s="4">
        <v>74133</v>
      </c>
      <c r="F416">
        <f t="shared" si="60"/>
        <v>2018</v>
      </c>
      <c r="G416" t="str">
        <f t="shared" si="61"/>
        <v>March</v>
      </c>
      <c r="H416" t="str">
        <f t="shared" si="62"/>
        <v>Saturday</v>
      </c>
      <c r="I416">
        <f t="shared" si="63"/>
        <v>2.7097890550882964</v>
      </c>
      <c r="J416">
        <f t="shared" si="64"/>
        <v>25.73588588608175</v>
      </c>
      <c r="K416">
        <f t="shared" si="65"/>
        <v>1.3620046648012141</v>
      </c>
      <c r="L416">
        <f t="shared" si="66"/>
        <v>0.90308303913531485</v>
      </c>
      <c r="M416">
        <f t="shared" si="67"/>
        <v>0.19779158491169541</v>
      </c>
      <c r="N416">
        <f t="shared" si="68"/>
        <v>36</v>
      </c>
      <c r="O416" t="str">
        <f t="shared" si="69"/>
        <v>Other</v>
      </c>
    </row>
    <row r="417" spans="1:15" hidden="1" x14ac:dyDescent="0.3">
      <c r="A417" t="s">
        <v>451</v>
      </c>
      <c r="B417" s="2">
        <v>43317</v>
      </c>
      <c r="C417" s="3">
        <v>53769886</v>
      </c>
      <c r="D417" s="4">
        <v>1112912</v>
      </c>
      <c r="E417" s="4">
        <v>50407</v>
      </c>
      <c r="F417">
        <f t="shared" si="60"/>
        <v>2018</v>
      </c>
      <c r="G417" t="str">
        <f t="shared" si="61"/>
        <v>August</v>
      </c>
      <c r="H417" t="str">
        <f t="shared" si="62"/>
        <v>Sunday</v>
      </c>
      <c r="I417">
        <f t="shared" si="63"/>
        <v>2.1635139788096258</v>
      </c>
      <c r="J417">
        <f t="shared" si="64"/>
        <v>20.697681970164489</v>
      </c>
      <c r="K417">
        <f t="shared" si="65"/>
        <v>0.93745781793176941</v>
      </c>
      <c r="L417">
        <f t="shared" si="66"/>
        <v>0.90372044218308145</v>
      </c>
      <c r="M417">
        <f t="shared" si="67"/>
        <v>0.19690313320248631</v>
      </c>
      <c r="N417">
        <f t="shared" si="68"/>
        <v>47</v>
      </c>
      <c r="O417" t="str">
        <f t="shared" si="69"/>
        <v>Money</v>
      </c>
    </row>
    <row r="418" spans="1:15" x14ac:dyDescent="0.3">
      <c r="A418" t="s">
        <v>42</v>
      </c>
      <c r="B418" s="2">
        <v>46081</v>
      </c>
      <c r="C418" s="3">
        <v>325367332</v>
      </c>
      <c r="D418" s="4">
        <v>2951349</v>
      </c>
      <c r="E418" s="4">
        <v>25039</v>
      </c>
      <c r="F418">
        <f t="shared" si="60"/>
        <v>2026</v>
      </c>
      <c r="G418" t="str">
        <f t="shared" si="61"/>
        <v>February</v>
      </c>
      <c r="H418" t="str">
        <f t="shared" si="62"/>
        <v>Saturday</v>
      </c>
      <c r="I418">
        <f t="shared" si="63"/>
        <v>0.91477776263045374</v>
      </c>
      <c r="J418">
        <f t="shared" si="64"/>
        <v>9.0708215291878158</v>
      </c>
      <c r="K418">
        <f t="shared" si="65"/>
        <v>7.695609711671976E-2</v>
      </c>
      <c r="L418">
        <f t="shared" si="66"/>
        <v>0.9039211970323906</v>
      </c>
      <c r="M418">
        <f t="shared" si="67"/>
        <v>0.19603651549010834</v>
      </c>
      <c r="N418">
        <f t="shared" si="68"/>
        <v>42</v>
      </c>
      <c r="O418" t="str">
        <f t="shared" si="69"/>
        <v>Other</v>
      </c>
    </row>
    <row r="419" spans="1:15" hidden="1" x14ac:dyDescent="0.3">
      <c r="A419" t="s">
        <v>70</v>
      </c>
      <c r="B419" s="2">
        <v>45982</v>
      </c>
      <c r="C419" s="3">
        <v>49910524</v>
      </c>
      <c r="D419" s="4">
        <v>1097731</v>
      </c>
      <c r="E419" s="4">
        <v>13677</v>
      </c>
      <c r="F419">
        <f t="shared" si="60"/>
        <v>2025</v>
      </c>
      <c r="G419" t="str">
        <f t="shared" si="61"/>
        <v>November</v>
      </c>
      <c r="H419" t="str">
        <f t="shared" si="62"/>
        <v>Friday</v>
      </c>
      <c r="I419">
        <f t="shared" si="63"/>
        <v>2.2268009047550774</v>
      </c>
      <c r="J419">
        <f t="shared" si="64"/>
        <v>21.993978664700052</v>
      </c>
      <c r="K419">
        <f t="shared" si="65"/>
        <v>0.27403038285071907</v>
      </c>
      <c r="L419">
        <f t="shared" si="66"/>
        <v>0.90162045302461757</v>
      </c>
      <c r="M419">
        <f t="shared" si="67"/>
        <v>0.19391372283170738</v>
      </c>
      <c r="N419">
        <f t="shared" si="68"/>
        <v>47</v>
      </c>
      <c r="O419" t="str">
        <f t="shared" si="69"/>
        <v>Other</v>
      </c>
    </row>
    <row r="420" spans="1:15" hidden="1" x14ac:dyDescent="0.3">
      <c r="A420" t="s">
        <v>79</v>
      </c>
      <c r="B420" s="2">
        <v>45951</v>
      </c>
      <c r="C420" s="3">
        <v>48423264</v>
      </c>
      <c r="D420" s="4">
        <v>865486</v>
      </c>
      <c r="E420" s="4">
        <v>8059</v>
      </c>
      <c r="F420">
        <f t="shared" si="60"/>
        <v>2025</v>
      </c>
      <c r="G420" t="str">
        <f t="shared" si="61"/>
        <v>October</v>
      </c>
      <c r="H420" t="str">
        <f t="shared" si="62"/>
        <v>Tuesday</v>
      </c>
      <c r="I420">
        <f t="shared" si="63"/>
        <v>1.8039779391988113</v>
      </c>
      <c r="J420">
        <f t="shared" si="64"/>
        <v>17.873351123129574</v>
      </c>
      <c r="K420">
        <f t="shared" si="65"/>
        <v>0.16642826885853873</v>
      </c>
      <c r="L420">
        <f t="shared" si="66"/>
        <v>0.90186288166221162</v>
      </c>
      <c r="M420">
        <f t="shared" si="67"/>
        <v>0.19395280520538266</v>
      </c>
      <c r="N420">
        <f t="shared" si="68"/>
        <v>28</v>
      </c>
      <c r="O420" t="str">
        <f t="shared" si="69"/>
        <v>Other</v>
      </c>
    </row>
    <row r="421" spans="1:15" hidden="1" x14ac:dyDescent="0.3">
      <c r="A421" t="s">
        <v>490</v>
      </c>
      <c r="B421" s="2">
        <v>43148</v>
      </c>
      <c r="C421" s="3">
        <v>47745553</v>
      </c>
      <c r="D421" s="4">
        <v>1301916</v>
      </c>
      <c r="E421" s="4">
        <v>72163</v>
      </c>
      <c r="F421">
        <f t="shared" si="60"/>
        <v>2018</v>
      </c>
      <c r="G421" t="str">
        <f t="shared" si="61"/>
        <v>February</v>
      </c>
      <c r="H421" t="str">
        <f t="shared" si="62"/>
        <v>Saturday</v>
      </c>
      <c r="I421">
        <f t="shared" si="63"/>
        <v>2.8779203793073673</v>
      </c>
      <c r="J421">
        <f t="shared" si="64"/>
        <v>27.267796018615599</v>
      </c>
      <c r="K421">
        <f t="shared" si="65"/>
        <v>1.5114077744580736</v>
      </c>
      <c r="L421">
        <f t="shared" si="66"/>
        <v>0.90189905219357969</v>
      </c>
      <c r="M421">
        <f t="shared" si="67"/>
        <v>0.19420520414963161</v>
      </c>
      <c r="N421">
        <f t="shared" si="68"/>
        <v>40</v>
      </c>
      <c r="O421" t="str">
        <f t="shared" si="69"/>
        <v>Money</v>
      </c>
    </row>
    <row r="422" spans="1:15" hidden="1" x14ac:dyDescent="0.3">
      <c r="A422" t="s">
        <v>420</v>
      </c>
      <c r="B422" s="2">
        <v>43450</v>
      </c>
      <c r="C422" s="3">
        <v>47441064</v>
      </c>
      <c r="D422" s="4">
        <v>1723250</v>
      </c>
      <c r="E422" s="4">
        <v>48959</v>
      </c>
      <c r="F422">
        <f t="shared" si="60"/>
        <v>2018</v>
      </c>
      <c r="G422" t="str">
        <f t="shared" si="61"/>
        <v>December</v>
      </c>
      <c r="H422" t="str">
        <f t="shared" si="62"/>
        <v>Sunday</v>
      </c>
      <c r="I422">
        <f t="shared" si="63"/>
        <v>3.7356012925848376</v>
      </c>
      <c r="J422">
        <f t="shared" si="64"/>
        <v>36.324016678883929</v>
      </c>
      <c r="K422">
        <f t="shared" si="65"/>
        <v>1.0319962469644441</v>
      </c>
      <c r="L422">
        <f t="shared" si="66"/>
        <v>0.90252287597475012</v>
      </c>
      <c r="M422">
        <f t="shared" si="67"/>
        <v>0.19362510033035676</v>
      </c>
      <c r="N422">
        <f t="shared" si="68"/>
        <v>28</v>
      </c>
      <c r="O422" t="str">
        <f t="shared" si="69"/>
        <v>Money</v>
      </c>
    </row>
    <row r="423" spans="1:15" hidden="1" x14ac:dyDescent="0.3">
      <c r="A423" t="s">
        <v>337</v>
      </c>
      <c r="B423" s="2">
        <v>43958</v>
      </c>
      <c r="C423" s="3">
        <v>47393076</v>
      </c>
      <c r="D423" s="4">
        <v>1399736</v>
      </c>
      <c r="E423" s="4">
        <v>63239</v>
      </c>
      <c r="F423">
        <f t="shared" si="60"/>
        <v>2020</v>
      </c>
      <c r="G423" t="str">
        <f t="shared" si="61"/>
        <v>May</v>
      </c>
      <c r="H423" t="str">
        <f t="shared" si="62"/>
        <v>Thursday</v>
      </c>
      <c r="I423">
        <f t="shared" si="63"/>
        <v>3.0868960689531946</v>
      </c>
      <c r="J423">
        <f t="shared" si="64"/>
        <v>29.534609654794298</v>
      </c>
      <c r="K423">
        <f t="shared" si="65"/>
        <v>1.3343510347376482</v>
      </c>
      <c r="L423">
        <f t="shared" si="66"/>
        <v>0.90426392545735057</v>
      </c>
      <c r="M423">
        <f t="shared" si="67"/>
        <v>0.192950526455444</v>
      </c>
      <c r="N423">
        <f t="shared" si="68"/>
        <v>60</v>
      </c>
      <c r="O423" t="str">
        <f t="shared" si="69"/>
        <v>Money</v>
      </c>
    </row>
    <row r="424" spans="1:15" hidden="1" x14ac:dyDescent="0.3">
      <c r="A424" t="s">
        <v>63</v>
      </c>
      <c r="B424" s="2">
        <v>45997</v>
      </c>
      <c r="C424" s="3">
        <v>47272504</v>
      </c>
      <c r="D424" s="4">
        <v>960593</v>
      </c>
      <c r="E424" s="4">
        <v>14160</v>
      </c>
      <c r="F424">
        <f t="shared" si="60"/>
        <v>2025</v>
      </c>
      <c r="G424" t="str">
        <f t="shared" si="61"/>
        <v>December</v>
      </c>
      <c r="H424" t="str">
        <f t="shared" si="62"/>
        <v>Saturday</v>
      </c>
      <c r="I424">
        <f t="shared" si="63"/>
        <v>2.0619872389243437</v>
      </c>
      <c r="J424">
        <f t="shared" si="64"/>
        <v>20.320332512955098</v>
      </c>
      <c r="K424">
        <f t="shared" si="65"/>
        <v>0.29953987628833878</v>
      </c>
      <c r="L424">
        <f t="shared" si="66"/>
        <v>0.9051309641355646</v>
      </c>
      <c r="M424">
        <f t="shared" si="67"/>
        <v>0.19228235480658326</v>
      </c>
      <c r="N424">
        <f t="shared" si="68"/>
        <v>32</v>
      </c>
      <c r="O424" t="str">
        <f t="shared" si="69"/>
        <v>Other</v>
      </c>
    </row>
    <row r="425" spans="1:15" hidden="1" x14ac:dyDescent="0.3">
      <c r="A425" t="s">
        <v>435</v>
      </c>
      <c r="B425" s="2">
        <v>43396</v>
      </c>
      <c r="C425" s="3">
        <v>46533184</v>
      </c>
      <c r="D425" s="4">
        <v>1206876</v>
      </c>
      <c r="E425" s="4">
        <v>46300</v>
      </c>
      <c r="F425">
        <f t="shared" si="60"/>
        <v>2018</v>
      </c>
      <c r="G425" t="str">
        <f t="shared" si="61"/>
        <v>October</v>
      </c>
      <c r="H425" t="str">
        <f t="shared" si="62"/>
        <v>Tuesday</v>
      </c>
      <c r="I425">
        <f t="shared" si="63"/>
        <v>2.6930802757877048</v>
      </c>
      <c r="J425">
        <f t="shared" si="64"/>
        <v>25.935813891437132</v>
      </c>
      <c r="K425">
        <f t="shared" si="65"/>
        <v>0.99498886643991524</v>
      </c>
      <c r="L425">
        <f t="shared" si="66"/>
        <v>0.90527258887697293</v>
      </c>
      <c r="M425">
        <f t="shared" si="67"/>
        <v>0.19228454659408947</v>
      </c>
      <c r="N425">
        <f t="shared" si="68"/>
        <v>35</v>
      </c>
      <c r="O425" t="str">
        <f t="shared" si="69"/>
        <v>Money</v>
      </c>
    </row>
    <row r="426" spans="1:15" hidden="1" x14ac:dyDescent="0.3">
      <c r="A426" t="s">
        <v>452</v>
      </c>
      <c r="B426" s="2">
        <v>43314</v>
      </c>
      <c r="C426" s="3">
        <v>45963993</v>
      </c>
      <c r="D426" s="4">
        <v>1209058</v>
      </c>
      <c r="E426" s="4">
        <v>49636</v>
      </c>
      <c r="F426">
        <f t="shared" si="60"/>
        <v>2018</v>
      </c>
      <c r="G426" t="str">
        <f t="shared" si="61"/>
        <v>August</v>
      </c>
      <c r="H426" t="str">
        <f t="shared" si="62"/>
        <v>Thursday</v>
      </c>
      <c r="I426">
        <f t="shared" si="63"/>
        <v>2.7384348439875534</v>
      </c>
      <c r="J426">
        <f t="shared" si="64"/>
        <v>26.304459666939728</v>
      </c>
      <c r="K426">
        <f t="shared" si="65"/>
        <v>1.0798887729358064</v>
      </c>
      <c r="L426">
        <f t="shared" si="66"/>
        <v>0.90577689193452371</v>
      </c>
      <c r="M426">
        <f t="shared" si="67"/>
        <v>0.19163933966931793</v>
      </c>
      <c r="N426">
        <f t="shared" si="68"/>
        <v>33</v>
      </c>
      <c r="O426" t="str">
        <f t="shared" si="69"/>
        <v>Other</v>
      </c>
    </row>
    <row r="427" spans="1:15" hidden="1" x14ac:dyDescent="0.3">
      <c r="A427" t="s">
        <v>408</v>
      </c>
      <c r="B427" s="2">
        <v>43500</v>
      </c>
      <c r="C427" s="3">
        <v>45316440</v>
      </c>
      <c r="D427" s="4">
        <v>1242843</v>
      </c>
      <c r="E427" s="4">
        <v>63921</v>
      </c>
      <c r="F427">
        <f t="shared" si="60"/>
        <v>2019</v>
      </c>
      <c r="G427" t="str">
        <f t="shared" si="61"/>
        <v>February</v>
      </c>
      <c r="H427" t="str">
        <f t="shared" si="62"/>
        <v>Monday</v>
      </c>
      <c r="I427">
        <f t="shared" si="63"/>
        <v>2.8836422278537324</v>
      </c>
      <c r="J427">
        <f t="shared" si="64"/>
        <v>27.425874583263823</v>
      </c>
      <c r="K427">
        <f t="shared" si="65"/>
        <v>1.4105476952735034</v>
      </c>
      <c r="L427">
        <f t="shared" si="66"/>
        <v>0.90630314498792397</v>
      </c>
      <c r="M427">
        <f t="shared" si="67"/>
        <v>0.19099564548333217</v>
      </c>
      <c r="N427">
        <f t="shared" si="68"/>
        <v>40</v>
      </c>
      <c r="O427" t="str">
        <f t="shared" si="69"/>
        <v>Other</v>
      </c>
    </row>
    <row r="428" spans="1:15" hidden="1" x14ac:dyDescent="0.3">
      <c r="A428" t="s">
        <v>496</v>
      </c>
      <c r="B428" s="2">
        <v>43113</v>
      </c>
      <c r="C428" s="3">
        <v>45146491</v>
      </c>
      <c r="D428" s="4">
        <v>1116789</v>
      </c>
      <c r="E428" s="4">
        <v>69193</v>
      </c>
      <c r="F428">
        <f t="shared" si="60"/>
        <v>2018</v>
      </c>
      <c r="G428" t="str">
        <f t="shared" si="61"/>
        <v>January</v>
      </c>
      <c r="H428" t="str">
        <f t="shared" si="62"/>
        <v>Saturday</v>
      </c>
      <c r="I428">
        <f t="shared" si="63"/>
        <v>2.6269638541786118</v>
      </c>
      <c r="J428">
        <f t="shared" si="64"/>
        <v>24.737005584775126</v>
      </c>
      <c r="K428">
        <f t="shared" si="65"/>
        <v>1.5326329570109891</v>
      </c>
      <c r="L428">
        <f t="shared" si="66"/>
        <v>0.90691411590270976</v>
      </c>
      <c r="M428">
        <f t="shared" si="67"/>
        <v>0.19043049093422568</v>
      </c>
      <c r="N428">
        <f t="shared" si="68"/>
        <v>44</v>
      </c>
      <c r="O428" t="str">
        <f t="shared" si="69"/>
        <v>Other</v>
      </c>
    </row>
    <row r="429" spans="1:15" hidden="1" x14ac:dyDescent="0.3">
      <c r="A429" t="s">
        <v>429</v>
      </c>
      <c r="B429" s="2">
        <v>43421</v>
      </c>
      <c r="C429" s="3">
        <v>45024398</v>
      </c>
      <c r="D429" s="4">
        <v>929929</v>
      </c>
      <c r="E429" s="4">
        <v>54317</v>
      </c>
      <c r="F429">
        <f t="shared" si="60"/>
        <v>2018</v>
      </c>
      <c r="G429" t="str">
        <f t="shared" si="61"/>
        <v>November</v>
      </c>
      <c r="H429" t="str">
        <f t="shared" si="62"/>
        <v>Saturday</v>
      </c>
      <c r="I429">
        <f t="shared" si="63"/>
        <v>2.1860281174664453</v>
      </c>
      <c r="J429">
        <f t="shared" si="64"/>
        <v>20.653890808267999</v>
      </c>
      <c r="K429">
        <f t="shared" si="65"/>
        <v>1.206390366396459</v>
      </c>
      <c r="L429">
        <f t="shared" si="66"/>
        <v>0.9073099021401605</v>
      </c>
      <c r="M429">
        <f t="shared" si="67"/>
        <v>0.18993627390431628</v>
      </c>
      <c r="N429">
        <f t="shared" si="68"/>
        <v>38</v>
      </c>
      <c r="O429" t="str">
        <f t="shared" si="69"/>
        <v>Money</v>
      </c>
    </row>
    <row r="430" spans="1:15" hidden="1" x14ac:dyDescent="0.3">
      <c r="A430" t="s">
        <v>520</v>
      </c>
      <c r="B430" s="2">
        <v>42857</v>
      </c>
      <c r="C430" s="3">
        <v>44886283</v>
      </c>
      <c r="D430" s="4">
        <v>1673146</v>
      </c>
      <c r="E430" s="4">
        <v>88719</v>
      </c>
      <c r="F430">
        <f t="shared" si="60"/>
        <v>2017</v>
      </c>
      <c r="G430" t="str">
        <f t="shared" si="61"/>
        <v>May</v>
      </c>
      <c r="H430" t="str">
        <f t="shared" si="62"/>
        <v>Tuesday</v>
      </c>
      <c r="I430">
        <f t="shared" si="63"/>
        <v>3.9251746463390607</v>
      </c>
      <c r="J430">
        <f t="shared" si="64"/>
        <v>37.275218355683407</v>
      </c>
      <c r="K430">
        <f t="shared" si="65"/>
        <v>1.976528107707203</v>
      </c>
      <c r="L430">
        <f t="shared" si="66"/>
        <v>0.90746218419694102</v>
      </c>
      <c r="M430">
        <f t="shared" si="67"/>
        <v>0.18931231428722944</v>
      </c>
      <c r="N430">
        <f t="shared" si="68"/>
        <v>50</v>
      </c>
      <c r="O430" t="str">
        <f t="shared" si="69"/>
        <v>Other</v>
      </c>
    </row>
    <row r="431" spans="1:15" hidden="1" x14ac:dyDescent="0.3">
      <c r="A431" t="s">
        <v>438</v>
      </c>
      <c r="B431" s="2">
        <v>43382</v>
      </c>
      <c r="C431" s="3">
        <v>44200113</v>
      </c>
      <c r="D431" s="4">
        <v>933560</v>
      </c>
      <c r="E431" s="4">
        <v>32617</v>
      </c>
      <c r="F431">
        <f t="shared" si="60"/>
        <v>2018</v>
      </c>
      <c r="G431" t="str">
        <f t="shared" si="61"/>
        <v>October</v>
      </c>
      <c r="H431" t="str">
        <f t="shared" si="62"/>
        <v>Tuesday</v>
      </c>
      <c r="I431">
        <f t="shared" si="63"/>
        <v>2.1859152260538339</v>
      </c>
      <c r="J431">
        <f t="shared" si="64"/>
        <v>21.121212970654621</v>
      </c>
      <c r="K431">
        <f t="shared" si="65"/>
        <v>0.73793928988371593</v>
      </c>
      <c r="L431">
        <f t="shared" si="66"/>
        <v>0.90924621483490042</v>
      </c>
      <c r="M431">
        <f t="shared" si="67"/>
        <v>0.18931650900559815</v>
      </c>
      <c r="N431">
        <f t="shared" si="68"/>
        <v>34</v>
      </c>
      <c r="O431" t="str">
        <f t="shared" si="69"/>
        <v>Other</v>
      </c>
    </row>
    <row r="432" spans="1:15" hidden="1" x14ac:dyDescent="0.3">
      <c r="A432" t="s">
        <v>427</v>
      </c>
      <c r="B432" s="2">
        <v>43428</v>
      </c>
      <c r="C432" s="3">
        <v>43992732</v>
      </c>
      <c r="D432" s="4">
        <v>1127878</v>
      </c>
      <c r="E432" s="4">
        <v>67651</v>
      </c>
      <c r="F432">
        <f t="shared" si="60"/>
        <v>2018</v>
      </c>
      <c r="G432" t="str">
        <f t="shared" si="61"/>
        <v>November</v>
      </c>
      <c r="H432" t="str">
        <f t="shared" si="62"/>
        <v>Saturday</v>
      </c>
      <c r="I432">
        <f t="shared" si="63"/>
        <v>2.7175602551803331</v>
      </c>
      <c r="J432">
        <f t="shared" si="64"/>
        <v>25.637825811772725</v>
      </c>
      <c r="K432">
        <f t="shared" si="65"/>
        <v>1.5377767400306033</v>
      </c>
      <c r="L432">
        <f t="shared" si="66"/>
        <v>0.9094217779797068</v>
      </c>
      <c r="M432">
        <f t="shared" si="67"/>
        <v>0.1888441468754033</v>
      </c>
      <c r="N432">
        <f t="shared" si="68"/>
        <v>49</v>
      </c>
      <c r="O432" t="str">
        <f t="shared" si="69"/>
        <v>Other</v>
      </c>
    </row>
    <row r="433" spans="1:15" hidden="1" x14ac:dyDescent="0.3">
      <c r="A433" t="s">
        <v>503</v>
      </c>
      <c r="B433" s="2">
        <v>43036</v>
      </c>
      <c r="C433" s="3">
        <v>43966781</v>
      </c>
      <c r="D433" s="4">
        <v>1112043</v>
      </c>
      <c r="E433" s="4">
        <v>42324</v>
      </c>
      <c r="F433">
        <f t="shared" si="60"/>
        <v>2017</v>
      </c>
      <c r="G433" t="str">
        <f t="shared" si="61"/>
        <v>October</v>
      </c>
      <c r="H433" t="str">
        <f t="shared" si="62"/>
        <v>Saturday</v>
      </c>
      <c r="I433">
        <f t="shared" si="63"/>
        <v>2.6255435893748964</v>
      </c>
      <c r="J433">
        <f t="shared" si="64"/>
        <v>25.292800034644337</v>
      </c>
      <c r="K433">
        <f t="shared" si="65"/>
        <v>0.96263585910462712</v>
      </c>
      <c r="L433">
        <f t="shared" si="66"/>
        <v>0.90987935354707572</v>
      </c>
      <c r="M433">
        <f t="shared" si="67"/>
        <v>0.18839667901149923</v>
      </c>
      <c r="N433">
        <f t="shared" si="68"/>
        <v>43</v>
      </c>
      <c r="O433" t="str">
        <f t="shared" si="69"/>
        <v>Other</v>
      </c>
    </row>
    <row r="434" spans="1:15" hidden="1" x14ac:dyDescent="0.3">
      <c r="A434" t="s">
        <v>445</v>
      </c>
      <c r="B434" s="2">
        <v>43354</v>
      </c>
      <c r="C434" s="3">
        <v>43731563</v>
      </c>
      <c r="D434" s="4">
        <v>714838</v>
      </c>
      <c r="E434" s="4">
        <v>18754</v>
      </c>
      <c r="F434">
        <f t="shared" si="60"/>
        <v>2018</v>
      </c>
      <c r="G434" t="str">
        <f t="shared" si="61"/>
        <v>September</v>
      </c>
      <c r="H434" t="str">
        <f t="shared" si="62"/>
        <v>Tuesday</v>
      </c>
      <c r="I434">
        <f t="shared" si="63"/>
        <v>1.6774886367541906</v>
      </c>
      <c r="J434">
        <f t="shared" si="64"/>
        <v>16.346042788363178</v>
      </c>
      <c r="K434">
        <f t="shared" si="65"/>
        <v>0.42884357917872729</v>
      </c>
      <c r="L434">
        <f t="shared" si="66"/>
        <v>0.91031498026000857</v>
      </c>
      <c r="M434">
        <f t="shared" si="67"/>
        <v>0.18781252783427116</v>
      </c>
      <c r="N434">
        <f t="shared" si="68"/>
        <v>29</v>
      </c>
      <c r="O434" t="str">
        <f t="shared" si="69"/>
        <v>Other</v>
      </c>
    </row>
    <row r="435" spans="1:15" hidden="1" x14ac:dyDescent="0.3">
      <c r="A435" t="s">
        <v>72</v>
      </c>
      <c r="B435" s="2">
        <v>45977</v>
      </c>
      <c r="C435" s="3">
        <v>42116983</v>
      </c>
      <c r="D435" s="4">
        <v>1530381</v>
      </c>
      <c r="E435" s="4">
        <v>19305</v>
      </c>
      <c r="F435">
        <f t="shared" si="60"/>
        <v>2025</v>
      </c>
      <c r="G435" t="str">
        <f t="shared" si="61"/>
        <v>November</v>
      </c>
      <c r="H435" t="str">
        <f t="shared" si="62"/>
        <v>Sunday</v>
      </c>
      <c r="I435">
        <f t="shared" si="63"/>
        <v>3.6794800805176378</v>
      </c>
      <c r="J435">
        <f t="shared" si="64"/>
        <v>36.33643463967968</v>
      </c>
      <c r="K435">
        <f t="shared" si="65"/>
        <v>0.45836616549670711</v>
      </c>
      <c r="L435">
        <f t="shared" si="66"/>
        <v>0.91032406718837422</v>
      </c>
      <c r="M435">
        <f t="shared" si="67"/>
        <v>0.18762974718103981</v>
      </c>
      <c r="N435">
        <f t="shared" si="68"/>
        <v>19</v>
      </c>
      <c r="O435" t="str">
        <f t="shared" si="69"/>
        <v>Other</v>
      </c>
    </row>
    <row r="436" spans="1:15" hidden="1" x14ac:dyDescent="0.3">
      <c r="A436" t="s">
        <v>410</v>
      </c>
      <c r="B436" s="2">
        <v>43491</v>
      </c>
      <c r="C436" s="3">
        <v>41793126</v>
      </c>
      <c r="D436" s="4">
        <v>1141807</v>
      </c>
      <c r="E436" s="4">
        <v>82116</v>
      </c>
      <c r="F436">
        <f t="shared" si="60"/>
        <v>2019</v>
      </c>
      <c r="G436" t="str">
        <f t="shared" si="61"/>
        <v>January</v>
      </c>
      <c r="H436" t="str">
        <f t="shared" si="62"/>
        <v>Saturday</v>
      </c>
      <c r="I436">
        <f t="shared" si="63"/>
        <v>2.9285270501182419</v>
      </c>
      <c r="J436">
        <f t="shared" si="64"/>
        <v>27.320449779229243</v>
      </c>
      <c r="K436">
        <f t="shared" si="65"/>
        <v>1.9648207219531746</v>
      </c>
      <c r="L436">
        <f t="shared" si="66"/>
        <v>0.91181076684711904</v>
      </c>
      <c r="M436">
        <f t="shared" si="67"/>
        <v>0.18744154997560389</v>
      </c>
      <c r="N436">
        <f t="shared" si="68"/>
        <v>37</v>
      </c>
      <c r="O436" t="str">
        <f t="shared" si="69"/>
        <v>Other</v>
      </c>
    </row>
    <row r="437" spans="1:15" x14ac:dyDescent="0.3">
      <c r="A437" t="s">
        <v>45</v>
      </c>
      <c r="B437" s="2">
        <v>46071</v>
      </c>
      <c r="C437" s="3">
        <v>125911907</v>
      </c>
      <c r="D437" s="4">
        <v>1675369</v>
      </c>
      <c r="E437" s="4">
        <v>9317</v>
      </c>
      <c r="F437">
        <f t="shared" si="60"/>
        <v>2026</v>
      </c>
      <c r="G437" t="str">
        <f t="shared" si="61"/>
        <v>February</v>
      </c>
      <c r="H437" t="str">
        <f t="shared" si="62"/>
        <v>Wednesday</v>
      </c>
      <c r="I437">
        <f t="shared" si="63"/>
        <v>1.3379878362099622</v>
      </c>
      <c r="J437">
        <f t="shared" si="64"/>
        <v>13.305882183167951</v>
      </c>
      <c r="K437">
        <f t="shared" si="65"/>
        <v>7.3996178931671638E-2</v>
      </c>
      <c r="L437">
        <f t="shared" si="66"/>
        <v>0.91236122444480094</v>
      </c>
      <c r="M437">
        <f t="shared" si="67"/>
        <v>0.1875219173577985</v>
      </c>
      <c r="N437">
        <f t="shared" si="68"/>
        <v>31</v>
      </c>
      <c r="O437" t="str">
        <f t="shared" si="69"/>
        <v>Money</v>
      </c>
    </row>
    <row r="438" spans="1:15" hidden="1" x14ac:dyDescent="0.3">
      <c r="A438" t="s">
        <v>470</v>
      </c>
      <c r="B438" s="2">
        <v>43224</v>
      </c>
      <c r="C438" s="3">
        <v>41397174</v>
      </c>
      <c r="D438" s="4">
        <v>759470</v>
      </c>
      <c r="E438" s="4">
        <v>26524</v>
      </c>
      <c r="F438">
        <f t="shared" si="60"/>
        <v>2018</v>
      </c>
      <c r="G438" t="str">
        <f t="shared" si="61"/>
        <v>May</v>
      </c>
      <c r="H438" t="str">
        <f t="shared" si="62"/>
        <v>Friday</v>
      </c>
      <c r="I438">
        <f t="shared" si="63"/>
        <v>1.8986658364650688</v>
      </c>
      <c r="J438">
        <f t="shared" si="64"/>
        <v>18.345938300039514</v>
      </c>
      <c r="K438">
        <f t="shared" si="65"/>
        <v>0.6407200646111737</v>
      </c>
      <c r="L438">
        <f t="shared" si="66"/>
        <v>0.9120790523109974</v>
      </c>
      <c r="M438">
        <f t="shared" si="67"/>
        <v>0.1879080144616147</v>
      </c>
      <c r="N438">
        <f t="shared" si="68"/>
        <v>50</v>
      </c>
      <c r="O438" t="str">
        <f t="shared" si="69"/>
        <v>Other</v>
      </c>
    </row>
    <row r="439" spans="1:15" hidden="1" x14ac:dyDescent="0.3">
      <c r="A439" t="s">
        <v>388</v>
      </c>
      <c r="B439" s="2">
        <v>43617</v>
      </c>
      <c r="C439" s="3">
        <v>41000146</v>
      </c>
      <c r="D439" s="4">
        <v>1114797</v>
      </c>
      <c r="E439" s="4">
        <v>34503</v>
      </c>
      <c r="F439">
        <f t="shared" si="60"/>
        <v>2019</v>
      </c>
      <c r="G439" t="str">
        <f t="shared" si="61"/>
        <v>June</v>
      </c>
      <c r="H439" t="str">
        <f t="shared" si="62"/>
        <v>Saturday</v>
      </c>
      <c r="I439">
        <f t="shared" si="63"/>
        <v>2.8031607497202571</v>
      </c>
      <c r="J439">
        <f t="shared" si="64"/>
        <v>27.190073908517302</v>
      </c>
      <c r="K439">
        <f t="shared" si="65"/>
        <v>0.84153358868526962</v>
      </c>
      <c r="L439">
        <f t="shared" si="66"/>
        <v>0.91213944613695863</v>
      </c>
      <c r="M439">
        <f t="shared" si="67"/>
        <v>0.18755776553549885</v>
      </c>
      <c r="N439">
        <f t="shared" si="68"/>
        <v>41</v>
      </c>
      <c r="O439" t="str">
        <f t="shared" si="69"/>
        <v>Money</v>
      </c>
    </row>
    <row r="440" spans="1:15" hidden="1" x14ac:dyDescent="0.3">
      <c r="A440" t="s">
        <v>350</v>
      </c>
      <c r="B440" s="2">
        <v>43827</v>
      </c>
      <c r="C440" s="3">
        <v>39771772</v>
      </c>
      <c r="D440" s="4">
        <v>2411991</v>
      </c>
      <c r="E440" s="4">
        <v>124716</v>
      </c>
      <c r="F440">
        <f t="shared" si="60"/>
        <v>2019</v>
      </c>
      <c r="G440" t="str">
        <f t="shared" si="61"/>
        <v>December</v>
      </c>
      <c r="H440" t="str">
        <f t="shared" si="62"/>
        <v>Saturday</v>
      </c>
      <c r="I440">
        <f t="shared" si="63"/>
        <v>6.3781593638825047</v>
      </c>
      <c r="J440">
        <f t="shared" si="64"/>
        <v>60.645801751050968</v>
      </c>
      <c r="K440">
        <f t="shared" si="65"/>
        <v>3.1357918877740723</v>
      </c>
      <c r="L440">
        <f t="shared" si="66"/>
        <v>0.91266887946690756</v>
      </c>
      <c r="M440">
        <f t="shared" si="67"/>
        <v>0.18709646617317258</v>
      </c>
      <c r="N440">
        <f t="shared" si="68"/>
        <v>45</v>
      </c>
      <c r="O440" t="str">
        <f t="shared" si="69"/>
        <v>Other</v>
      </c>
    </row>
    <row r="441" spans="1:15" hidden="1" x14ac:dyDescent="0.3">
      <c r="A441" t="s">
        <v>378</v>
      </c>
      <c r="B441" s="2">
        <v>43203</v>
      </c>
      <c r="C441" s="3">
        <v>39362064</v>
      </c>
      <c r="D441" s="4">
        <v>626294</v>
      </c>
      <c r="E441" s="4">
        <v>35442</v>
      </c>
      <c r="F441">
        <f t="shared" si="60"/>
        <v>2018</v>
      </c>
      <c r="G441" t="str">
        <f t="shared" si="61"/>
        <v>April</v>
      </c>
      <c r="H441" t="str">
        <f t="shared" si="62"/>
        <v>Friday</v>
      </c>
      <c r="I441">
        <f t="shared" si="63"/>
        <v>1.6811516794444519</v>
      </c>
      <c r="J441">
        <f t="shared" si="64"/>
        <v>15.911106693998569</v>
      </c>
      <c r="K441">
        <f t="shared" si="65"/>
        <v>0.90041010044595227</v>
      </c>
      <c r="L441">
        <f t="shared" si="66"/>
        <v>0.91839781267061027</v>
      </c>
      <c r="M441">
        <f t="shared" si="67"/>
        <v>0.18996065177209584</v>
      </c>
      <c r="N441">
        <f t="shared" si="68"/>
        <v>60</v>
      </c>
      <c r="O441" t="str">
        <f t="shared" si="69"/>
        <v>Other</v>
      </c>
    </row>
    <row r="442" spans="1:15" hidden="1" x14ac:dyDescent="0.3">
      <c r="A442" t="s">
        <v>76</v>
      </c>
      <c r="B442" s="2">
        <v>45964</v>
      </c>
      <c r="C442" s="3">
        <v>38936751</v>
      </c>
      <c r="D442" s="4">
        <v>1432950</v>
      </c>
      <c r="E442" s="4">
        <v>17011</v>
      </c>
      <c r="F442">
        <f t="shared" si="60"/>
        <v>2025</v>
      </c>
      <c r="G442" t="str">
        <f t="shared" si="61"/>
        <v>November</v>
      </c>
      <c r="H442" t="str">
        <f t="shared" si="62"/>
        <v>Monday</v>
      </c>
      <c r="I442">
        <f t="shared" si="63"/>
        <v>3.7238880049339507</v>
      </c>
      <c r="J442">
        <f t="shared" si="64"/>
        <v>36.801992030613953</v>
      </c>
      <c r="K442">
        <f t="shared" si="65"/>
        <v>0.436888018725548</v>
      </c>
      <c r="L442">
        <f t="shared" si="66"/>
        <v>0.91840518869540333</v>
      </c>
      <c r="M442">
        <f t="shared" si="67"/>
        <v>0.18953730641537758</v>
      </c>
      <c r="N442">
        <f t="shared" si="68"/>
        <v>21</v>
      </c>
      <c r="O442" t="str">
        <f t="shared" si="69"/>
        <v>Other</v>
      </c>
    </row>
    <row r="443" spans="1:15" hidden="1" x14ac:dyDescent="0.3">
      <c r="A443" t="s">
        <v>434</v>
      </c>
      <c r="B443" s="2">
        <v>43399</v>
      </c>
      <c r="C443" s="3">
        <v>38878445</v>
      </c>
      <c r="D443" s="4">
        <v>1310426</v>
      </c>
      <c r="E443" s="4">
        <v>104839</v>
      </c>
      <c r="F443">
        <f t="shared" si="60"/>
        <v>2018</v>
      </c>
      <c r="G443" t="str">
        <f t="shared" si="61"/>
        <v>October</v>
      </c>
      <c r="H443" t="str">
        <f t="shared" si="62"/>
        <v>Friday</v>
      </c>
      <c r="I443">
        <f t="shared" si="63"/>
        <v>3.6402304670364263</v>
      </c>
      <c r="J443">
        <f t="shared" si="64"/>
        <v>33.70572048341954</v>
      </c>
      <c r="K443">
        <f t="shared" si="65"/>
        <v>2.6965841869447198</v>
      </c>
      <c r="L443">
        <f t="shared" si="66"/>
        <v>0.91982060201393001</v>
      </c>
      <c r="M443">
        <f t="shared" si="67"/>
        <v>0.18940034988568538</v>
      </c>
      <c r="N443">
        <f t="shared" si="68"/>
        <v>44</v>
      </c>
      <c r="O443" t="str">
        <f t="shared" si="69"/>
        <v>Other</v>
      </c>
    </row>
    <row r="444" spans="1:15" hidden="1" x14ac:dyDescent="0.3">
      <c r="A444" t="s">
        <v>397</v>
      </c>
      <c r="B444" s="2">
        <v>43561</v>
      </c>
      <c r="C444" s="3">
        <v>38542708</v>
      </c>
      <c r="D444" s="4">
        <v>1009468</v>
      </c>
      <c r="E444" s="4">
        <v>34285</v>
      </c>
      <c r="F444">
        <f t="shared" si="60"/>
        <v>2019</v>
      </c>
      <c r="G444" t="str">
        <f t="shared" si="61"/>
        <v>April</v>
      </c>
      <c r="H444" t="str">
        <f t="shared" si="62"/>
        <v>Saturday</v>
      </c>
      <c r="I444">
        <f t="shared" si="63"/>
        <v>2.7080427249688839</v>
      </c>
      <c r="J444">
        <f t="shared" si="64"/>
        <v>26.190894526663772</v>
      </c>
      <c r="K444">
        <f t="shared" si="65"/>
        <v>0.88953272302506614</v>
      </c>
      <c r="L444">
        <f t="shared" si="66"/>
        <v>0.92090525940214829</v>
      </c>
      <c r="M444">
        <f t="shared" si="67"/>
        <v>0.19119739802080893</v>
      </c>
      <c r="N444">
        <f t="shared" si="68"/>
        <v>34</v>
      </c>
      <c r="O444" t="str">
        <f t="shared" si="69"/>
        <v>Other</v>
      </c>
    </row>
    <row r="445" spans="1:15" hidden="1" x14ac:dyDescent="0.3">
      <c r="A445" t="s">
        <v>491</v>
      </c>
      <c r="B445" s="2">
        <v>43144</v>
      </c>
      <c r="C445" s="3">
        <v>37764441</v>
      </c>
      <c r="D445" s="4">
        <v>1075025</v>
      </c>
      <c r="E445" s="4">
        <v>35021</v>
      </c>
      <c r="F445">
        <f t="shared" si="60"/>
        <v>2018</v>
      </c>
      <c r="G445" t="str">
        <f t="shared" si="61"/>
        <v>February</v>
      </c>
      <c r="H445" t="str">
        <f t="shared" si="62"/>
        <v>Tuesday</v>
      </c>
      <c r="I445">
        <f t="shared" si="63"/>
        <v>2.9393947602719712</v>
      </c>
      <c r="J445">
        <f t="shared" si="64"/>
        <v>28.466593746217505</v>
      </c>
      <c r="K445">
        <f t="shared" si="65"/>
        <v>0.92735385650220536</v>
      </c>
      <c r="L445">
        <f t="shared" si="66"/>
        <v>0.92134574751408449</v>
      </c>
      <c r="M445">
        <f t="shared" si="67"/>
        <v>0.19079239481516125</v>
      </c>
      <c r="N445">
        <f t="shared" si="68"/>
        <v>45</v>
      </c>
      <c r="O445" t="str">
        <f t="shared" si="69"/>
        <v>Money</v>
      </c>
    </row>
    <row r="446" spans="1:15" hidden="1" x14ac:dyDescent="0.3">
      <c r="A446" t="s">
        <v>453</v>
      </c>
      <c r="B446" s="2">
        <v>43308</v>
      </c>
      <c r="C446" s="3">
        <v>37483476</v>
      </c>
      <c r="D446" s="4">
        <v>620884</v>
      </c>
      <c r="E446" s="4">
        <v>17382</v>
      </c>
      <c r="F446">
        <f t="shared" si="60"/>
        <v>2018</v>
      </c>
      <c r="G446" t="str">
        <f t="shared" si="61"/>
        <v>July</v>
      </c>
      <c r="H446" t="str">
        <f t="shared" si="62"/>
        <v>Friday</v>
      </c>
      <c r="I446">
        <f t="shared" si="63"/>
        <v>1.702792985367739</v>
      </c>
      <c r="J446">
        <f t="shared" si="64"/>
        <v>16.564205518186199</v>
      </c>
      <c r="K446">
        <f t="shared" si="65"/>
        <v>0.4637243354911908</v>
      </c>
      <c r="L446">
        <f t="shared" si="66"/>
        <v>0.92192800926953267</v>
      </c>
      <c r="M446">
        <f t="shared" si="67"/>
        <v>0.1904064068934346</v>
      </c>
      <c r="N446">
        <f t="shared" si="68"/>
        <v>37</v>
      </c>
      <c r="O446" t="str">
        <f t="shared" si="69"/>
        <v>Other</v>
      </c>
    </row>
    <row r="447" spans="1:15" hidden="1" x14ac:dyDescent="0.3">
      <c r="A447" t="s">
        <v>443</v>
      </c>
      <c r="B447" s="2">
        <v>43362</v>
      </c>
      <c r="C447" s="3">
        <v>37458894</v>
      </c>
      <c r="D447" s="4">
        <v>583966</v>
      </c>
      <c r="E447" s="4">
        <v>18291</v>
      </c>
      <c r="F447">
        <f t="shared" si="60"/>
        <v>2018</v>
      </c>
      <c r="G447" t="str">
        <f t="shared" si="61"/>
        <v>September</v>
      </c>
      <c r="H447" t="str">
        <f t="shared" si="62"/>
        <v>Wednesday</v>
      </c>
      <c r="I447">
        <f t="shared" si="63"/>
        <v>1.6077810519445661</v>
      </c>
      <c r="J447">
        <f t="shared" si="64"/>
        <v>15.589515269724728</v>
      </c>
      <c r="K447">
        <f t="shared" si="65"/>
        <v>0.48829524972093408</v>
      </c>
      <c r="L447">
        <f t="shared" si="66"/>
        <v>0.92195081856681149</v>
      </c>
      <c r="M447">
        <f t="shared" si="67"/>
        <v>0.19025415593067632</v>
      </c>
      <c r="N447">
        <f t="shared" si="68"/>
        <v>55</v>
      </c>
      <c r="O447" t="str">
        <f t="shared" si="69"/>
        <v>Other</v>
      </c>
    </row>
    <row r="448" spans="1:15" hidden="1" x14ac:dyDescent="0.3">
      <c r="A448" t="s">
        <v>467</v>
      </c>
      <c r="B448" s="2">
        <v>43242</v>
      </c>
      <c r="C448" s="3">
        <v>37444874</v>
      </c>
      <c r="D448" s="4">
        <v>910197</v>
      </c>
      <c r="E448" s="4">
        <v>43961</v>
      </c>
      <c r="F448">
        <f t="shared" si="60"/>
        <v>2018</v>
      </c>
      <c r="G448" t="str">
        <f t="shared" si="61"/>
        <v>May</v>
      </c>
      <c r="H448" t="str">
        <f t="shared" si="62"/>
        <v>Tuesday</v>
      </c>
      <c r="I448">
        <f t="shared" si="63"/>
        <v>2.548167207078865</v>
      </c>
      <c r="J448">
        <f t="shared" si="64"/>
        <v>24.307652897964083</v>
      </c>
      <c r="K448">
        <f t="shared" si="65"/>
        <v>1.1740191728245633</v>
      </c>
      <c r="L448">
        <f t="shared" si="66"/>
        <v>0.92195703745289426</v>
      </c>
      <c r="M448">
        <f t="shared" si="67"/>
        <v>0.19007701099161703</v>
      </c>
      <c r="N448">
        <f t="shared" si="68"/>
        <v>50</v>
      </c>
      <c r="O448" t="str">
        <f t="shared" si="69"/>
        <v>Other</v>
      </c>
    </row>
    <row r="449" spans="1:15" x14ac:dyDescent="0.3">
      <c r="A449" t="s">
        <v>18</v>
      </c>
      <c r="B449" s="2">
        <v>46129</v>
      </c>
      <c r="C449" s="3">
        <v>180628523</v>
      </c>
      <c r="D449" s="4">
        <v>2622280</v>
      </c>
      <c r="E449" s="4">
        <v>12214</v>
      </c>
      <c r="F449">
        <f t="shared" si="60"/>
        <v>2026</v>
      </c>
      <c r="G449" t="str">
        <f t="shared" si="61"/>
        <v>April</v>
      </c>
      <c r="H449" t="str">
        <f t="shared" si="62"/>
        <v>Friday</v>
      </c>
      <c r="I449">
        <f t="shared" si="63"/>
        <v>1.4585149434012699</v>
      </c>
      <c r="J449">
        <f t="shared" si="64"/>
        <v>14.517529991650322</v>
      </c>
      <c r="K449">
        <f t="shared" si="65"/>
        <v>6.7619442362378171E-2</v>
      </c>
      <c r="L449">
        <f t="shared" si="66"/>
        <v>0.9222702037489614</v>
      </c>
      <c r="M449">
        <f t="shared" si="67"/>
        <v>0.18966902567331972</v>
      </c>
      <c r="N449">
        <f t="shared" si="68"/>
        <v>16</v>
      </c>
      <c r="O449" t="str">
        <f t="shared" si="69"/>
        <v>Other</v>
      </c>
    </row>
    <row r="450" spans="1:15" hidden="1" x14ac:dyDescent="0.3">
      <c r="A450" t="s">
        <v>489</v>
      </c>
      <c r="B450" s="2">
        <v>43152</v>
      </c>
      <c r="C450" s="3">
        <v>36816454</v>
      </c>
      <c r="D450" s="4">
        <v>857109</v>
      </c>
      <c r="E450" s="4">
        <v>38260</v>
      </c>
      <c r="F450">
        <f t="shared" ref="F450:F513" si="70">YEAR(B450)</f>
        <v>2018</v>
      </c>
      <c r="G450" t="str">
        <f t="shared" ref="G450:G513" si="71">TEXT(B450,"MMMM")</f>
        <v>February</v>
      </c>
      <c r="H450" t="str">
        <f t="shared" ref="H450:H513" si="72">TEXT(B450, "DDDD")</f>
        <v>Wednesday</v>
      </c>
      <c r="I450">
        <f t="shared" ref="I450:I513" si="73">((D450+E450)/C450)*100</f>
        <v>2.4319805486970583</v>
      </c>
      <c r="J450">
        <f t="shared" ref="J450:J513" si="74">(D450/C450)*1000</f>
        <v>23.280596224720611</v>
      </c>
      <c r="K450">
        <f t="shared" ref="K450:K513" si="75">(E450/C450)*1000</f>
        <v>1.0392092622499711</v>
      </c>
      <c r="L450">
        <f t="shared" ref="L450:L513" si="76">CORREL(C450:C948, D450:D948)</f>
        <v>0.92227933262864037</v>
      </c>
      <c r="M450">
        <f t="shared" ref="M450:M513" si="77">CORREL(C450:C948,E450:E948)</f>
        <v>0.18957562325087307</v>
      </c>
      <c r="N450">
        <f t="shared" ref="N450:N513" si="78">LEN(A450)</f>
        <v>56</v>
      </c>
      <c r="O450" t="str">
        <f t="shared" ref="O450:O513" si="79">IF(ISNUMBER(SEARCH("$",A450)), "Money", IF(ISNUMBER(SEARCH("Win",A450)), "Challenge",IF(ISNUMBER(SEARCH("Challenge",A450)), "Challenge",IF(ISNUMBER(SEARCH("Last To Leave",A450)),"Challenge",IF(ISNUMBER(SEARCH("Giving Away", A450)),"Giveaway",IF(ISNUMBER(SEARCH("Stranded",A450)),"Survival", IF(ISNUMBER(SEARCH("Survive",A450)), "Survival", IF(ISNUMBER(SEARCH("Days",A450)),"Endurance","Other"))))))))</f>
        <v>Money</v>
      </c>
    </row>
    <row r="451" spans="1:15" hidden="1" x14ac:dyDescent="0.3">
      <c r="A451" t="s">
        <v>433</v>
      </c>
      <c r="B451" s="2">
        <v>43401</v>
      </c>
      <c r="C451" s="3">
        <v>36328287</v>
      </c>
      <c r="D451" s="4">
        <v>972061</v>
      </c>
      <c r="E451" s="4">
        <v>35213</v>
      </c>
      <c r="F451">
        <f t="shared" si="70"/>
        <v>2018</v>
      </c>
      <c r="G451" t="str">
        <f t="shared" si="71"/>
        <v>October</v>
      </c>
      <c r="H451" t="str">
        <f t="shared" si="72"/>
        <v>Sunday</v>
      </c>
      <c r="I451">
        <f t="shared" si="73"/>
        <v>2.7726988613583679</v>
      </c>
      <c r="J451">
        <f t="shared" si="74"/>
        <v>26.757688850013764</v>
      </c>
      <c r="K451">
        <f t="shared" si="75"/>
        <v>0.96929976356991454</v>
      </c>
      <c r="L451">
        <f t="shared" si="76"/>
        <v>0.92253777527692771</v>
      </c>
      <c r="M451">
        <f t="shared" si="77"/>
        <v>0.18917860916981805</v>
      </c>
      <c r="N451">
        <f t="shared" si="78"/>
        <v>41</v>
      </c>
      <c r="O451" t="str">
        <f t="shared" si="79"/>
        <v>Money</v>
      </c>
    </row>
    <row r="452" spans="1:15" hidden="1" x14ac:dyDescent="0.3">
      <c r="A452" t="s">
        <v>519</v>
      </c>
      <c r="B452" s="2">
        <v>42888</v>
      </c>
      <c r="C452" s="3">
        <v>35801118</v>
      </c>
      <c r="D452" s="4">
        <v>816479</v>
      </c>
      <c r="E452" s="4">
        <v>57356</v>
      </c>
      <c r="F452">
        <f t="shared" si="70"/>
        <v>2017</v>
      </c>
      <c r="G452" t="str">
        <f t="shared" si="71"/>
        <v>June</v>
      </c>
      <c r="H452" t="str">
        <f t="shared" si="72"/>
        <v>Friday</v>
      </c>
      <c r="I452">
        <f t="shared" si="73"/>
        <v>2.4408036642878024</v>
      </c>
      <c r="J452">
        <f t="shared" si="74"/>
        <v>22.805963769064419</v>
      </c>
      <c r="K452">
        <f t="shared" si="75"/>
        <v>1.6020728738136054</v>
      </c>
      <c r="L452">
        <f t="shared" si="76"/>
        <v>0.9229866845896787</v>
      </c>
      <c r="M452">
        <f t="shared" si="77"/>
        <v>0.18879989917284115</v>
      </c>
      <c r="N452">
        <f t="shared" si="78"/>
        <v>53</v>
      </c>
      <c r="O452" t="str">
        <f t="shared" si="79"/>
        <v>Other</v>
      </c>
    </row>
    <row r="453" spans="1:15" hidden="1" x14ac:dyDescent="0.3">
      <c r="A453" t="s">
        <v>982</v>
      </c>
      <c r="B453" s="2">
        <v>40959</v>
      </c>
      <c r="C453" s="3">
        <v>35020484</v>
      </c>
      <c r="D453" s="4">
        <v>1429501</v>
      </c>
      <c r="E453" s="4">
        <v>164399</v>
      </c>
      <c r="F453">
        <f t="shared" si="70"/>
        <v>2012</v>
      </c>
      <c r="G453" t="str">
        <f t="shared" si="71"/>
        <v>February</v>
      </c>
      <c r="H453" t="str">
        <f t="shared" si="72"/>
        <v>Monday</v>
      </c>
      <c r="I453">
        <f t="shared" si="73"/>
        <v>4.5513362979220959</v>
      </c>
      <c r="J453">
        <f t="shared" si="74"/>
        <v>40.818996105250861</v>
      </c>
      <c r="K453">
        <f t="shared" si="75"/>
        <v>4.694366873970103</v>
      </c>
      <c r="L453">
        <f t="shared" si="76"/>
        <v>0.92321158852193175</v>
      </c>
      <c r="M453">
        <f t="shared" si="77"/>
        <v>0.18867998456666887</v>
      </c>
      <c r="N453">
        <f t="shared" si="78"/>
        <v>32</v>
      </c>
      <c r="O453" t="str">
        <f t="shared" si="79"/>
        <v>Other</v>
      </c>
    </row>
    <row r="454" spans="1:15" hidden="1" x14ac:dyDescent="0.3">
      <c r="A454" t="s">
        <v>413</v>
      </c>
      <c r="B454" s="2">
        <v>43479</v>
      </c>
      <c r="C454" s="3">
        <v>34523297</v>
      </c>
      <c r="D454" s="4">
        <v>768074</v>
      </c>
      <c r="E454" s="4">
        <v>23360</v>
      </c>
      <c r="F454">
        <f t="shared" si="70"/>
        <v>2019</v>
      </c>
      <c r="G454" t="str">
        <f t="shared" si="71"/>
        <v>January</v>
      </c>
      <c r="H454" t="str">
        <f t="shared" si="72"/>
        <v>Monday</v>
      </c>
      <c r="I454">
        <f t="shared" si="73"/>
        <v>2.2924635500485366</v>
      </c>
      <c r="J454">
        <f t="shared" si="74"/>
        <v>22.247990972588742</v>
      </c>
      <c r="K454">
        <f t="shared" si="75"/>
        <v>0.67664452789662588</v>
      </c>
      <c r="L454">
        <f t="shared" si="76"/>
        <v>0.92488234633830946</v>
      </c>
      <c r="M454">
        <f t="shared" si="77"/>
        <v>0.19911342545698091</v>
      </c>
      <c r="N454">
        <f t="shared" si="78"/>
        <v>23</v>
      </c>
      <c r="O454" t="str">
        <f t="shared" si="79"/>
        <v>Other</v>
      </c>
    </row>
    <row r="455" spans="1:15" hidden="1" x14ac:dyDescent="0.3">
      <c r="A455" t="s">
        <v>481</v>
      </c>
      <c r="B455" s="2">
        <v>43181</v>
      </c>
      <c r="C455" s="3">
        <v>33872154</v>
      </c>
      <c r="D455" s="4">
        <v>894472</v>
      </c>
      <c r="E455" s="4">
        <v>44156</v>
      </c>
      <c r="F455">
        <f t="shared" si="70"/>
        <v>2018</v>
      </c>
      <c r="G455" t="str">
        <f t="shared" si="71"/>
        <v>March</v>
      </c>
      <c r="H455" t="str">
        <f t="shared" si="72"/>
        <v>Thursday</v>
      </c>
      <c r="I455">
        <f t="shared" si="73"/>
        <v>2.7710903770690227</v>
      </c>
      <c r="J455">
        <f t="shared" si="74"/>
        <v>26.407296093422342</v>
      </c>
      <c r="K455">
        <f t="shared" si="75"/>
        <v>1.303607677267882</v>
      </c>
      <c r="L455">
        <f t="shared" si="76"/>
        <v>0.92507315301416371</v>
      </c>
      <c r="M455">
        <f t="shared" si="77"/>
        <v>0.19885313954064879</v>
      </c>
      <c r="N455">
        <f t="shared" si="78"/>
        <v>45</v>
      </c>
      <c r="O455" t="str">
        <f t="shared" si="79"/>
        <v>Other</v>
      </c>
    </row>
    <row r="456" spans="1:15" hidden="1" x14ac:dyDescent="0.3">
      <c r="A456" t="s">
        <v>531</v>
      </c>
      <c r="B456" s="2">
        <v>42744</v>
      </c>
      <c r="C456" s="3">
        <v>33806875</v>
      </c>
      <c r="D456" s="4">
        <v>1542864</v>
      </c>
      <c r="E456" s="4">
        <v>138780</v>
      </c>
      <c r="F456">
        <f t="shared" si="70"/>
        <v>2017</v>
      </c>
      <c r="G456" t="str">
        <f t="shared" si="71"/>
        <v>January</v>
      </c>
      <c r="H456" t="str">
        <f t="shared" si="72"/>
        <v>Monday</v>
      </c>
      <c r="I456">
        <f t="shared" si="73"/>
        <v>4.9742663289641529</v>
      </c>
      <c r="J456">
        <f t="shared" si="74"/>
        <v>45.637581113309054</v>
      </c>
      <c r="K456">
        <f t="shared" si="75"/>
        <v>4.105082176332477</v>
      </c>
      <c r="L456">
        <f t="shared" si="76"/>
        <v>0.92545368498480207</v>
      </c>
      <c r="M456">
        <f t="shared" si="77"/>
        <v>0.19870304080817508</v>
      </c>
      <c r="N456">
        <f t="shared" si="78"/>
        <v>21</v>
      </c>
      <c r="O456" t="str">
        <f t="shared" si="79"/>
        <v>Other</v>
      </c>
    </row>
    <row r="457" spans="1:15" hidden="1" x14ac:dyDescent="0.3">
      <c r="A457" t="s">
        <v>494</v>
      </c>
      <c r="B457" s="2">
        <v>43128</v>
      </c>
      <c r="C457" s="3">
        <v>32937569</v>
      </c>
      <c r="D457" s="4">
        <v>1050913</v>
      </c>
      <c r="E457" s="4">
        <v>54275</v>
      </c>
      <c r="F457">
        <f t="shared" si="70"/>
        <v>2018</v>
      </c>
      <c r="G457" t="str">
        <f t="shared" si="71"/>
        <v>January</v>
      </c>
      <c r="H457" t="str">
        <f t="shared" si="72"/>
        <v>Sunday</v>
      </c>
      <c r="I457">
        <f t="shared" si="73"/>
        <v>3.3554024585117381</v>
      </c>
      <c r="J457">
        <f t="shared" si="74"/>
        <v>31.906210200273129</v>
      </c>
      <c r="K457">
        <f t="shared" si="75"/>
        <v>1.6478143848442488</v>
      </c>
      <c r="L457">
        <f t="shared" si="76"/>
        <v>0.92762200903150849</v>
      </c>
      <c r="M457">
        <f t="shared" si="77"/>
        <v>0.20772333451908373</v>
      </c>
      <c r="N457">
        <f t="shared" si="78"/>
        <v>60</v>
      </c>
      <c r="O457" t="str">
        <f t="shared" si="79"/>
        <v>Money</v>
      </c>
    </row>
    <row r="458" spans="1:15" hidden="1" x14ac:dyDescent="0.3">
      <c r="A458" t="s">
        <v>475</v>
      </c>
      <c r="B458" s="2">
        <v>43213</v>
      </c>
      <c r="C458" s="3">
        <v>32857901</v>
      </c>
      <c r="D458" s="4">
        <v>650873</v>
      </c>
      <c r="E458" s="4">
        <v>44265</v>
      </c>
      <c r="F458">
        <f t="shared" si="70"/>
        <v>2018</v>
      </c>
      <c r="G458" t="str">
        <f t="shared" si="71"/>
        <v>April</v>
      </c>
      <c r="H458" t="str">
        <f t="shared" si="72"/>
        <v>Monday</v>
      </c>
      <c r="I458">
        <f t="shared" si="73"/>
        <v>2.1155885763975002</v>
      </c>
      <c r="J458">
        <f t="shared" si="74"/>
        <v>19.808721196159183</v>
      </c>
      <c r="K458">
        <f t="shared" si="75"/>
        <v>1.3471645678158199</v>
      </c>
      <c r="L458">
        <f t="shared" si="76"/>
        <v>0.92834080416935327</v>
      </c>
      <c r="M458">
        <f t="shared" si="77"/>
        <v>0.20813272372620581</v>
      </c>
      <c r="N458">
        <f t="shared" si="78"/>
        <v>43</v>
      </c>
      <c r="O458" t="str">
        <f t="shared" si="79"/>
        <v>Other</v>
      </c>
    </row>
    <row r="459" spans="1:15" hidden="1" x14ac:dyDescent="0.3">
      <c r="A459" t="s">
        <v>502</v>
      </c>
      <c r="B459" s="2">
        <v>43071</v>
      </c>
      <c r="C459" s="3">
        <v>32635944</v>
      </c>
      <c r="D459" s="4">
        <v>1549097</v>
      </c>
      <c r="E459" s="4">
        <v>44920</v>
      </c>
      <c r="F459">
        <f t="shared" si="70"/>
        <v>2017</v>
      </c>
      <c r="G459" t="str">
        <f t="shared" si="71"/>
        <v>December</v>
      </c>
      <c r="H459" t="str">
        <f t="shared" si="72"/>
        <v>Saturday</v>
      </c>
      <c r="I459">
        <f t="shared" si="73"/>
        <v>4.8842374530364436</v>
      </c>
      <c r="J459">
        <f t="shared" si="74"/>
        <v>47.465978002658666</v>
      </c>
      <c r="K459">
        <f t="shared" si="75"/>
        <v>1.3763965277057713</v>
      </c>
      <c r="L459">
        <f t="shared" si="76"/>
        <v>0.92844154153291014</v>
      </c>
      <c r="M459">
        <f t="shared" si="77"/>
        <v>0.20816973619706505</v>
      </c>
      <c r="N459">
        <f t="shared" si="78"/>
        <v>48</v>
      </c>
      <c r="O459" t="str">
        <f t="shared" si="79"/>
        <v>Money</v>
      </c>
    </row>
    <row r="460" spans="1:15" hidden="1" x14ac:dyDescent="0.3">
      <c r="A460" t="s">
        <v>398</v>
      </c>
      <c r="B460" s="2">
        <v>43559</v>
      </c>
      <c r="C460" s="3">
        <v>32399160</v>
      </c>
      <c r="D460" s="4">
        <v>872674</v>
      </c>
      <c r="E460" s="4">
        <v>19818</v>
      </c>
      <c r="F460">
        <f t="shared" si="70"/>
        <v>2019</v>
      </c>
      <c r="G460" t="str">
        <f t="shared" si="71"/>
        <v>April</v>
      </c>
      <c r="H460" t="str">
        <f t="shared" si="72"/>
        <v>Thursday</v>
      </c>
      <c r="I460">
        <f t="shared" si="73"/>
        <v>2.7546763558067555</v>
      </c>
      <c r="J460">
        <f t="shared" si="74"/>
        <v>26.935081032965055</v>
      </c>
      <c r="K460">
        <f t="shared" si="75"/>
        <v>0.61168252510250265</v>
      </c>
      <c r="L460">
        <f t="shared" si="76"/>
        <v>0.93073681573330269</v>
      </c>
      <c r="M460">
        <f t="shared" si="77"/>
        <v>0.20824777652698495</v>
      </c>
      <c r="N460">
        <f t="shared" si="78"/>
        <v>40</v>
      </c>
      <c r="O460" t="str">
        <f t="shared" si="79"/>
        <v>Money</v>
      </c>
    </row>
    <row r="461" spans="1:15" hidden="1" x14ac:dyDescent="0.3">
      <c r="A461" t="s">
        <v>512</v>
      </c>
      <c r="B461" s="2">
        <v>42925</v>
      </c>
      <c r="C461" s="3">
        <v>32250338</v>
      </c>
      <c r="D461" s="4">
        <v>831190</v>
      </c>
      <c r="E461" s="4">
        <v>33506</v>
      </c>
      <c r="F461">
        <f t="shared" si="70"/>
        <v>2017</v>
      </c>
      <c r="G461" t="str">
        <f t="shared" si="71"/>
        <v>July</v>
      </c>
      <c r="H461" t="str">
        <f t="shared" si="72"/>
        <v>Sunday</v>
      </c>
      <c r="I461">
        <f t="shared" si="73"/>
        <v>2.6811998063400142</v>
      </c>
      <c r="J461">
        <f t="shared" si="74"/>
        <v>25.773063215647536</v>
      </c>
      <c r="K461">
        <f t="shared" si="75"/>
        <v>1.0389348477526035</v>
      </c>
      <c r="L461">
        <f t="shared" si="76"/>
        <v>0.9311370805080833</v>
      </c>
      <c r="M461">
        <f t="shared" si="77"/>
        <v>0.20804440068612262</v>
      </c>
      <c r="N461">
        <f t="shared" si="78"/>
        <v>16</v>
      </c>
      <c r="O461" t="str">
        <f t="shared" si="79"/>
        <v>Other</v>
      </c>
    </row>
    <row r="462" spans="1:15" hidden="1" x14ac:dyDescent="0.3">
      <c r="A462" t="s">
        <v>418</v>
      </c>
      <c r="B462" s="2">
        <v>43457</v>
      </c>
      <c r="C462" s="3">
        <v>31598205</v>
      </c>
      <c r="D462" s="4">
        <v>1021295</v>
      </c>
      <c r="E462" s="4">
        <v>69750</v>
      </c>
      <c r="F462">
        <f t="shared" si="70"/>
        <v>2018</v>
      </c>
      <c r="G462" t="str">
        <f t="shared" si="71"/>
        <v>December</v>
      </c>
      <c r="H462" t="str">
        <f t="shared" si="72"/>
        <v>Sunday</v>
      </c>
      <c r="I462">
        <f t="shared" si="73"/>
        <v>3.4528701867716851</v>
      </c>
      <c r="J462">
        <f t="shared" si="74"/>
        <v>32.321297997781834</v>
      </c>
      <c r="K462">
        <f t="shared" si="75"/>
        <v>2.2074038699350171</v>
      </c>
      <c r="L462">
        <f t="shared" si="76"/>
        <v>0.93147568483632559</v>
      </c>
      <c r="M462">
        <f t="shared" si="77"/>
        <v>0.20786796908286947</v>
      </c>
      <c r="N462">
        <f t="shared" si="78"/>
        <v>36</v>
      </c>
      <c r="O462" t="str">
        <f t="shared" si="79"/>
        <v>Money</v>
      </c>
    </row>
    <row r="463" spans="1:15" hidden="1" x14ac:dyDescent="0.3">
      <c r="A463" t="s">
        <v>474</v>
      </c>
      <c r="B463" s="2">
        <v>43215</v>
      </c>
      <c r="C463" s="3">
        <v>31561635</v>
      </c>
      <c r="D463" s="4">
        <v>779366</v>
      </c>
      <c r="E463" s="4">
        <v>46666</v>
      </c>
      <c r="F463">
        <f t="shared" si="70"/>
        <v>2018</v>
      </c>
      <c r="G463" t="str">
        <f t="shared" si="71"/>
        <v>April</v>
      </c>
      <c r="H463" t="str">
        <f t="shared" si="72"/>
        <v>Wednesday</v>
      </c>
      <c r="I463">
        <f t="shared" si="73"/>
        <v>2.6172028160138092</v>
      </c>
      <c r="J463">
        <f t="shared" si="74"/>
        <v>24.69346090593849</v>
      </c>
      <c r="K463">
        <f t="shared" si="75"/>
        <v>1.4785672541996002</v>
      </c>
      <c r="L463">
        <f t="shared" si="76"/>
        <v>0.93219301567956836</v>
      </c>
      <c r="M463">
        <f t="shared" si="77"/>
        <v>0.20949257488062412</v>
      </c>
      <c r="N463">
        <f t="shared" si="78"/>
        <v>53</v>
      </c>
      <c r="O463" t="str">
        <f t="shared" si="79"/>
        <v>Challenge</v>
      </c>
    </row>
    <row r="464" spans="1:15" hidden="1" x14ac:dyDescent="0.3">
      <c r="A464" t="s">
        <v>436</v>
      </c>
      <c r="B464" s="2">
        <v>43392</v>
      </c>
      <c r="C464" s="3">
        <v>31443723</v>
      </c>
      <c r="D464" s="4">
        <v>744774</v>
      </c>
      <c r="E464" s="4">
        <v>33184</v>
      </c>
      <c r="F464">
        <f t="shared" si="70"/>
        <v>2018</v>
      </c>
      <c r="G464" t="str">
        <f t="shared" si="71"/>
        <v>October</v>
      </c>
      <c r="H464" t="str">
        <f t="shared" si="72"/>
        <v>Friday</v>
      </c>
      <c r="I464">
        <f t="shared" si="73"/>
        <v>2.4741281431591289</v>
      </c>
      <c r="J464">
        <f t="shared" si="74"/>
        <v>23.685935663534501</v>
      </c>
      <c r="K464">
        <f t="shared" si="75"/>
        <v>1.0553457680567915</v>
      </c>
      <c r="L464">
        <f t="shared" si="76"/>
        <v>0.93247182568996134</v>
      </c>
      <c r="M464">
        <f t="shared" si="77"/>
        <v>0.20974662838577671</v>
      </c>
      <c r="N464">
        <f t="shared" si="78"/>
        <v>47</v>
      </c>
      <c r="O464" t="str">
        <f t="shared" si="79"/>
        <v>Money</v>
      </c>
    </row>
    <row r="465" spans="1:15" hidden="1" x14ac:dyDescent="0.3">
      <c r="A465" t="s">
        <v>498</v>
      </c>
      <c r="B465" s="2">
        <v>43091</v>
      </c>
      <c r="C465" s="3">
        <v>31399159</v>
      </c>
      <c r="D465" s="4">
        <v>1186648</v>
      </c>
      <c r="E465" s="4">
        <v>23578</v>
      </c>
      <c r="F465">
        <f t="shared" si="70"/>
        <v>2017</v>
      </c>
      <c r="G465" t="str">
        <f t="shared" si="71"/>
        <v>December</v>
      </c>
      <c r="H465" t="str">
        <f t="shared" si="72"/>
        <v>Friday</v>
      </c>
      <c r="I465">
        <f t="shared" si="73"/>
        <v>3.8543261620478435</v>
      </c>
      <c r="J465">
        <f t="shared" si="74"/>
        <v>37.792349788731606</v>
      </c>
      <c r="K465">
        <f t="shared" si="75"/>
        <v>0.75091183174683118</v>
      </c>
      <c r="L465">
        <f t="shared" si="76"/>
        <v>0.93270722893713665</v>
      </c>
      <c r="M465">
        <f t="shared" si="77"/>
        <v>0.20961045686714774</v>
      </c>
      <c r="N465">
        <f t="shared" si="78"/>
        <v>46</v>
      </c>
      <c r="O465" t="str">
        <f t="shared" si="79"/>
        <v>Other</v>
      </c>
    </row>
    <row r="466" spans="1:15" hidden="1" x14ac:dyDescent="0.3">
      <c r="A466" t="s">
        <v>457</v>
      </c>
      <c r="B466" s="2">
        <v>43292</v>
      </c>
      <c r="C466" s="3">
        <v>30273965</v>
      </c>
      <c r="D466" s="4">
        <v>860801</v>
      </c>
      <c r="E466" s="4">
        <v>42888</v>
      </c>
      <c r="F466">
        <f t="shared" si="70"/>
        <v>2018</v>
      </c>
      <c r="G466" t="str">
        <f t="shared" si="71"/>
        <v>July</v>
      </c>
      <c r="H466" t="str">
        <f t="shared" si="72"/>
        <v>Wednesday</v>
      </c>
      <c r="I466">
        <f t="shared" si="73"/>
        <v>2.9850368129843581</v>
      </c>
      <c r="J466">
        <f t="shared" si="74"/>
        <v>28.433705330636407</v>
      </c>
      <c r="K466">
        <f t="shared" si="75"/>
        <v>1.4166627992071734</v>
      </c>
      <c r="L466">
        <f t="shared" si="76"/>
        <v>0.93386942544291052</v>
      </c>
      <c r="M466">
        <f t="shared" si="77"/>
        <v>0.20939234966895742</v>
      </c>
      <c r="N466">
        <f t="shared" si="78"/>
        <v>32</v>
      </c>
      <c r="O466" t="str">
        <f t="shared" si="79"/>
        <v>Other</v>
      </c>
    </row>
    <row r="467" spans="1:15" hidden="1" x14ac:dyDescent="0.3">
      <c r="A467" t="s">
        <v>430</v>
      </c>
      <c r="B467" s="2">
        <v>43417</v>
      </c>
      <c r="C467" s="3">
        <v>29922701</v>
      </c>
      <c r="D467" s="4">
        <v>813649</v>
      </c>
      <c r="E467" s="4">
        <v>32015</v>
      </c>
      <c r="F467">
        <f t="shared" si="70"/>
        <v>2018</v>
      </c>
      <c r="G467" t="str">
        <f t="shared" si="71"/>
        <v>November</v>
      </c>
      <c r="H467" t="str">
        <f t="shared" si="72"/>
        <v>Tuesday</v>
      </c>
      <c r="I467">
        <f t="shared" si="73"/>
        <v>2.8261619831712386</v>
      </c>
      <c r="J467">
        <f t="shared" si="74"/>
        <v>27.191696364576181</v>
      </c>
      <c r="K467">
        <f t="shared" si="75"/>
        <v>1.0699234671362052</v>
      </c>
      <c r="L467">
        <f t="shared" si="76"/>
        <v>0.93431074341260478</v>
      </c>
      <c r="M467">
        <f t="shared" si="77"/>
        <v>0.20958371019901118</v>
      </c>
      <c r="N467">
        <f t="shared" si="78"/>
        <v>48</v>
      </c>
      <c r="O467" t="str">
        <f t="shared" si="79"/>
        <v>Other</v>
      </c>
    </row>
    <row r="468" spans="1:15" hidden="1" x14ac:dyDescent="0.3">
      <c r="A468" t="s">
        <v>459</v>
      </c>
      <c r="B468" s="2">
        <v>43279</v>
      </c>
      <c r="C468" s="3">
        <v>29733665</v>
      </c>
      <c r="D468" s="4">
        <v>805802</v>
      </c>
      <c r="E468" s="4">
        <v>43496</v>
      </c>
      <c r="F468">
        <f t="shared" si="70"/>
        <v>2018</v>
      </c>
      <c r="G468" t="str">
        <f t="shared" si="71"/>
        <v>June</v>
      </c>
      <c r="H468" t="str">
        <f t="shared" si="72"/>
        <v>Thursday</v>
      </c>
      <c r="I468">
        <f t="shared" si="73"/>
        <v>2.8563515463028186</v>
      </c>
      <c r="J468">
        <f t="shared" si="74"/>
        <v>27.10066182557717</v>
      </c>
      <c r="K468">
        <f t="shared" si="75"/>
        <v>1.4628536374510173</v>
      </c>
      <c r="L468">
        <f t="shared" si="76"/>
        <v>0.93468116166856019</v>
      </c>
      <c r="M468">
        <f t="shared" si="77"/>
        <v>0.20949258529750353</v>
      </c>
      <c r="N468">
        <f t="shared" si="78"/>
        <v>35</v>
      </c>
      <c r="O468" t="str">
        <f t="shared" si="79"/>
        <v>Other</v>
      </c>
    </row>
    <row r="469" spans="1:15" hidden="1" x14ac:dyDescent="0.3">
      <c r="A469" t="s">
        <v>441</v>
      </c>
      <c r="B469" s="2">
        <v>43365</v>
      </c>
      <c r="C469" s="3">
        <v>29049488</v>
      </c>
      <c r="D469" s="4">
        <v>793621</v>
      </c>
      <c r="E469" s="4">
        <v>133125</v>
      </c>
      <c r="F469">
        <f t="shared" si="70"/>
        <v>2018</v>
      </c>
      <c r="G469" t="str">
        <f t="shared" si="71"/>
        <v>September</v>
      </c>
      <c r="H469" t="str">
        <f t="shared" si="72"/>
        <v>Saturday</v>
      </c>
      <c r="I469">
        <f t="shared" si="73"/>
        <v>3.1902317865292495</v>
      </c>
      <c r="J469">
        <f t="shared" si="74"/>
        <v>27.319620917243018</v>
      </c>
      <c r="K469">
        <f t="shared" si="75"/>
        <v>4.5826969480494801</v>
      </c>
      <c r="L469">
        <f t="shared" si="76"/>
        <v>0.93504479869912538</v>
      </c>
      <c r="M469">
        <f t="shared" si="77"/>
        <v>0.20975550524645431</v>
      </c>
      <c r="N469">
        <f t="shared" si="78"/>
        <v>41</v>
      </c>
      <c r="O469" t="str">
        <f t="shared" si="79"/>
        <v>Other</v>
      </c>
    </row>
    <row r="470" spans="1:15" hidden="1" x14ac:dyDescent="0.3">
      <c r="A470" t="s">
        <v>447</v>
      </c>
      <c r="B470" s="2">
        <v>43344</v>
      </c>
      <c r="C470" s="3">
        <v>28843541</v>
      </c>
      <c r="D470" s="4">
        <v>539162</v>
      </c>
      <c r="E470" s="4">
        <v>16078</v>
      </c>
      <c r="F470">
        <f t="shared" si="70"/>
        <v>2018</v>
      </c>
      <c r="G470" t="str">
        <f t="shared" si="71"/>
        <v>September</v>
      </c>
      <c r="H470" t="str">
        <f t="shared" si="72"/>
        <v>Saturday</v>
      </c>
      <c r="I470">
        <f t="shared" si="73"/>
        <v>1.9250063645098223</v>
      </c>
      <c r="J470">
        <f t="shared" si="74"/>
        <v>18.692642487966371</v>
      </c>
      <c r="K470">
        <f t="shared" si="75"/>
        <v>0.55742115713185147</v>
      </c>
      <c r="L470">
        <f t="shared" si="76"/>
        <v>0.93540307893107721</v>
      </c>
      <c r="M470">
        <f t="shared" si="77"/>
        <v>0.22351849109622238</v>
      </c>
      <c r="N470">
        <f t="shared" si="78"/>
        <v>27</v>
      </c>
      <c r="O470" t="str">
        <f t="shared" si="79"/>
        <v>Other</v>
      </c>
    </row>
    <row r="471" spans="1:15" hidden="1" x14ac:dyDescent="0.3">
      <c r="A471" t="s">
        <v>455</v>
      </c>
      <c r="B471" s="2">
        <v>43298</v>
      </c>
      <c r="C471" s="3">
        <v>28836019</v>
      </c>
      <c r="D471" s="4">
        <v>619004</v>
      </c>
      <c r="E471" s="4">
        <v>36432</v>
      </c>
      <c r="F471">
        <f t="shared" si="70"/>
        <v>2018</v>
      </c>
      <c r="G471" t="str">
        <f t="shared" si="71"/>
        <v>July</v>
      </c>
      <c r="H471" t="str">
        <f t="shared" si="72"/>
        <v>Tuesday</v>
      </c>
      <c r="I471">
        <f t="shared" si="73"/>
        <v>2.2729767240061811</v>
      </c>
      <c r="J471">
        <f t="shared" si="74"/>
        <v>21.466347348432528</v>
      </c>
      <c r="K471">
        <f t="shared" si="75"/>
        <v>1.2634198916292849</v>
      </c>
      <c r="L471">
        <f t="shared" si="76"/>
        <v>0.93546918479082719</v>
      </c>
      <c r="M471">
        <f t="shared" si="77"/>
        <v>0.22338611540727168</v>
      </c>
      <c r="N471">
        <f t="shared" si="78"/>
        <v>39</v>
      </c>
      <c r="O471" t="str">
        <f t="shared" si="79"/>
        <v>Other</v>
      </c>
    </row>
    <row r="472" spans="1:15" hidden="1" x14ac:dyDescent="0.3">
      <c r="A472" t="s">
        <v>572</v>
      </c>
      <c r="B472" s="2">
        <v>42522</v>
      </c>
      <c r="C472" s="3">
        <v>28588613</v>
      </c>
      <c r="D472" s="4">
        <v>810565</v>
      </c>
      <c r="E472" s="4">
        <v>27300</v>
      </c>
      <c r="F472">
        <f t="shared" si="70"/>
        <v>2016</v>
      </c>
      <c r="G472" t="str">
        <f t="shared" si="71"/>
        <v>June</v>
      </c>
      <c r="H472" t="str">
        <f t="shared" si="72"/>
        <v>Wednesday</v>
      </c>
      <c r="I472">
        <f t="shared" si="73"/>
        <v>2.9307647768711269</v>
      </c>
      <c r="J472">
        <f t="shared" si="74"/>
        <v>28.352722113521214</v>
      </c>
      <c r="K472">
        <f t="shared" si="75"/>
        <v>0.95492565519005757</v>
      </c>
      <c r="L472">
        <f t="shared" si="76"/>
        <v>0.93560487418172467</v>
      </c>
      <c r="M472">
        <f t="shared" si="77"/>
        <v>0.22362218111264778</v>
      </c>
      <c r="N472">
        <f t="shared" si="78"/>
        <v>25</v>
      </c>
      <c r="O472" t="str">
        <f t="shared" si="79"/>
        <v>Other</v>
      </c>
    </row>
    <row r="473" spans="1:15" hidden="1" x14ac:dyDescent="0.3">
      <c r="A473" t="s">
        <v>516</v>
      </c>
      <c r="B473" s="2">
        <v>42903</v>
      </c>
      <c r="C473" s="3">
        <v>28493911</v>
      </c>
      <c r="D473" s="4">
        <v>824161</v>
      </c>
      <c r="E473" s="4">
        <v>69590</v>
      </c>
      <c r="F473">
        <f t="shared" si="70"/>
        <v>2017</v>
      </c>
      <c r="G473" t="str">
        <f t="shared" si="71"/>
        <v>June</v>
      </c>
      <c r="H473" t="str">
        <f t="shared" si="72"/>
        <v>Saturday</v>
      </c>
      <c r="I473">
        <f t="shared" si="73"/>
        <v>3.1366385611297796</v>
      </c>
      <c r="J473">
        <f t="shared" si="74"/>
        <v>28.924109435170202</v>
      </c>
      <c r="K473">
        <f t="shared" si="75"/>
        <v>2.4422761761275944</v>
      </c>
      <c r="L473">
        <f t="shared" si="76"/>
        <v>0.9360046926692438</v>
      </c>
      <c r="M473">
        <f t="shared" si="77"/>
        <v>0.22357622720284595</v>
      </c>
      <c r="N473">
        <f t="shared" si="78"/>
        <v>48</v>
      </c>
      <c r="O473" t="str">
        <f t="shared" si="79"/>
        <v>Other</v>
      </c>
    </row>
    <row r="474" spans="1:15" hidden="1" x14ac:dyDescent="0.3">
      <c r="A474" t="s">
        <v>514</v>
      </c>
      <c r="B474" s="2">
        <v>42910</v>
      </c>
      <c r="C474" s="3">
        <v>28333362</v>
      </c>
      <c r="D474" s="4">
        <v>666182</v>
      </c>
      <c r="E474" s="4">
        <v>37525</v>
      </c>
      <c r="F474">
        <f t="shared" si="70"/>
        <v>2017</v>
      </c>
      <c r="G474" t="str">
        <f t="shared" si="71"/>
        <v>June</v>
      </c>
      <c r="H474" t="str">
        <f t="shared" si="72"/>
        <v>Saturday</v>
      </c>
      <c r="I474">
        <f t="shared" si="73"/>
        <v>2.4836692518169925</v>
      </c>
      <c r="J474">
        <f t="shared" si="74"/>
        <v>23.512282093455763</v>
      </c>
      <c r="K474">
        <f t="shared" si="75"/>
        <v>1.3244104247141586</v>
      </c>
      <c r="L474">
        <f t="shared" si="76"/>
        <v>0.93643272435273583</v>
      </c>
      <c r="M474">
        <f t="shared" si="77"/>
        <v>0.22682707403308822</v>
      </c>
      <c r="N474">
        <f t="shared" si="78"/>
        <v>31</v>
      </c>
      <c r="O474" t="str">
        <f t="shared" si="79"/>
        <v>Other</v>
      </c>
    </row>
    <row r="475" spans="1:15" hidden="1" x14ac:dyDescent="0.3">
      <c r="A475" t="s">
        <v>497</v>
      </c>
      <c r="B475" s="2">
        <v>43111</v>
      </c>
      <c r="C475" s="3">
        <v>27807233</v>
      </c>
      <c r="D475" s="4">
        <v>580141</v>
      </c>
      <c r="E475" s="4">
        <v>35988</v>
      </c>
      <c r="F475">
        <f t="shared" si="70"/>
        <v>2018</v>
      </c>
      <c r="G475" t="str">
        <f t="shared" si="71"/>
        <v>January</v>
      </c>
      <c r="H475" t="str">
        <f t="shared" si="72"/>
        <v>Thursday</v>
      </c>
      <c r="I475">
        <f t="shared" si="73"/>
        <v>2.2157148825271467</v>
      </c>
      <c r="J475">
        <f t="shared" si="74"/>
        <v>20.862953174808872</v>
      </c>
      <c r="K475">
        <f t="shared" si="75"/>
        <v>1.2941956504625973</v>
      </c>
      <c r="L475">
        <f t="shared" si="76"/>
        <v>0.93663139518570049</v>
      </c>
      <c r="M475">
        <f t="shared" si="77"/>
        <v>0.22721094409167611</v>
      </c>
      <c r="N475">
        <f t="shared" si="78"/>
        <v>45</v>
      </c>
      <c r="O475" t="str">
        <f t="shared" si="79"/>
        <v>Other</v>
      </c>
    </row>
    <row r="476" spans="1:15" hidden="1" x14ac:dyDescent="0.3">
      <c r="A476" t="s">
        <v>492</v>
      </c>
      <c r="B476" s="2">
        <v>43139</v>
      </c>
      <c r="C476" s="3">
        <v>27124390</v>
      </c>
      <c r="D476" s="4">
        <v>758518</v>
      </c>
      <c r="E476" s="4">
        <v>24658</v>
      </c>
      <c r="F476">
        <f t="shared" si="70"/>
        <v>2018</v>
      </c>
      <c r="G476" t="str">
        <f t="shared" si="71"/>
        <v>February</v>
      </c>
      <c r="H476" t="str">
        <f t="shared" si="72"/>
        <v>Thursday</v>
      </c>
      <c r="I476">
        <f t="shared" si="73"/>
        <v>2.8873497247311368</v>
      </c>
      <c r="J476">
        <f t="shared" si="74"/>
        <v>27.964426112439764</v>
      </c>
      <c r="K476">
        <f t="shared" si="75"/>
        <v>0.9090711348716044</v>
      </c>
      <c r="L476">
        <f t="shared" si="76"/>
        <v>0.93674525977540957</v>
      </c>
      <c r="M476">
        <f t="shared" si="77"/>
        <v>0.22756301586348973</v>
      </c>
      <c r="N476">
        <f t="shared" si="78"/>
        <v>47</v>
      </c>
      <c r="O476" t="str">
        <f t="shared" si="79"/>
        <v>Money</v>
      </c>
    </row>
    <row r="477" spans="1:15" hidden="1" x14ac:dyDescent="0.3">
      <c r="A477" t="s">
        <v>473</v>
      </c>
      <c r="B477" s="2">
        <v>43220</v>
      </c>
      <c r="C477" s="3">
        <v>27017959</v>
      </c>
      <c r="D477" s="4">
        <v>544680</v>
      </c>
      <c r="E477" s="4">
        <v>24270</v>
      </c>
      <c r="F477">
        <f t="shared" si="70"/>
        <v>2018</v>
      </c>
      <c r="G477" t="str">
        <f t="shared" si="71"/>
        <v>April</v>
      </c>
      <c r="H477" t="str">
        <f t="shared" si="72"/>
        <v>Monday</v>
      </c>
      <c r="I477">
        <f t="shared" si="73"/>
        <v>2.1058215389252757</v>
      </c>
      <c r="J477">
        <f t="shared" si="74"/>
        <v>20.159923997219774</v>
      </c>
      <c r="K477">
        <f t="shared" si="75"/>
        <v>0.8982913920329807</v>
      </c>
      <c r="L477">
        <f t="shared" si="76"/>
        <v>0.93709351976393429</v>
      </c>
      <c r="M477">
        <f t="shared" si="77"/>
        <v>0.22753801778138902</v>
      </c>
      <c r="N477">
        <f t="shared" si="78"/>
        <v>41</v>
      </c>
      <c r="O477" t="str">
        <f t="shared" si="79"/>
        <v>Other</v>
      </c>
    </row>
    <row r="478" spans="1:15" hidden="1" x14ac:dyDescent="0.3">
      <c r="A478" t="s">
        <v>426</v>
      </c>
      <c r="B478" s="2">
        <v>43429</v>
      </c>
      <c r="C478" s="3">
        <v>26773246</v>
      </c>
      <c r="D478" s="4">
        <v>1686575</v>
      </c>
      <c r="E478" s="4">
        <v>166333</v>
      </c>
      <c r="F478">
        <f t="shared" si="70"/>
        <v>2018</v>
      </c>
      <c r="G478" t="str">
        <f t="shared" si="71"/>
        <v>November</v>
      </c>
      <c r="H478" t="str">
        <f t="shared" si="72"/>
        <v>Sunday</v>
      </c>
      <c r="I478">
        <f t="shared" si="73"/>
        <v>6.9207446866920801</v>
      </c>
      <c r="J478">
        <f t="shared" si="74"/>
        <v>62.994789649338742</v>
      </c>
      <c r="K478">
        <f t="shared" si="75"/>
        <v>6.2126572175820591</v>
      </c>
      <c r="L478">
        <f t="shared" si="76"/>
        <v>0.9371856856092472</v>
      </c>
      <c r="M478">
        <f t="shared" si="77"/>
        <v>0.22750477396111701</v>
      </c>
      <c r="N478">
        <f t="shared" si="78"/>
        <v>30</v>
      </c>
      <c r="O478" t="str">
        <f t="shared" si="79"/>
        <v>Other</v>
      </c>
    </row>
    <row r="479" spans="1:15" x14ac:dyDescent="0.3">
      <c r="A479" t="s">
        <v>49</v>
      </c>
      <c r="B479" s="2">
        <v>46059</v>
      </c>
      <c r="C479" s="3">
        <v>156925389</v>
      </c>
      <c r="D479" s="4">
        <v>2774150</v>
      </c>
      <c r="E479" s="4">
        <v>10434</v>
      </c>
      <c r="F479">
        <f t="shared" si="70"/>
        <v>2026</v>
      </c>
      <c r="G479" t="str">
        <f t="shared" si="71"/>
        <v>February</v>
      </c>
      <c r="H479" t="str">
        <f t="shared" si="72"/>
        <v>Friday</v>
      </c>
      <c r="I479">
        <f t="shared" si="73"/>
        <v>1.7744636592871534</v>
      </c>
      <c r="J479">
        <f t="shared" si="74"/>
        <v>17.678146396055769</v>
      </c>
      <c r="K479">
        <f t="shared" si="75"/>
        <v>6.6490196815761918E-2</v>
      </c>
      <c r="L479">
        <f t="shared" si="76"/>
        <v>0.94059504007134975</v>
      </c>
      <c r="M479">
        <f t="shared" si="77"/>
        <v>0.26880702748889967</v>
      </c>
      <c r="N479">
        <f t="shared" si="78"/>
        <v>32</v>
      </c>
      <c r="O479" t="str">
        <f t="shared" si="79"/>
        <v>Other</v>
      </c>
    </row>
    <row r="480" spans="1:15" hidden="1" x14ac:dyDescent="0.3">
      <c r="A480" t="s">
        <v>495</v>
      </c>
      <c r="B480" s="2">
        <v>43125</v>
      </c>
      <c r="C480" s="3">
        <v>26667437</v>
      </c>
      <c r="D480" s="4">
        <v>719020</v>
      </c>
      <c r="E480" s="4">
        <v>37979</v>
      </c>
      <c r="F480">
        <f t="shared" si="70"/>
        <v>2018</v>
      </c>
      <c r="G480" t="str">
        <f t="shared" si="71"/>
        <v>January</v>
      </c>
      <c r="H480" t="str">
        <f t="shared" si="72"/>
        <v>Thursday</v>
      </c>
      <c r="I480">
        <f t="shared" si="73"/>
        <v>2.8386642480865332</v>
      </c>
      <c r="J480">
        <f t="shared" si="74"/>
        <v>26.962471121615472</v>
      </c>
      <c r="K480">
        <f t="shared" si="75"/>
        <v>1.4241713592498595</v>
      </c>
      <c r="L480">
        <f t="shared" si="76"/>
        <v>0.94280242993720542</v>
      </c>
      <c r="M480">
        <f t="shared" si="77"/>
        <v>0.2678009780899927</v>
      </c>
      <c r="N480">
        <f t="shared" si="78"/>
        <v>33</v>
      </c>
      <c r="O480" t="str">
        <f t="shared" si="79"/>
        <v>Other</v>
      </c>
    </row>
    <row r="481" spans="1:15" hidden="1" x14ac:dyDescent="0.3">
      <c r="A481" t="s">
        <v>522</v>
      </c>
      <c r="B481" s="2">
        <v>42818</v>
      </c>
      <c r="C481" s="3">
        <v>26316374</v>
      </c>
      <c r="D481" s="4">
        <v>518973</v>
      </c>
      <c r="E481" s="4">
        <v>17863</v>
      </c>
      <c r="F481">
        <f t="shared" si="70"/>
        <v>2017</v>
      </c>
      <c r="G481" t="str">
        <f t="shared" si="71"/>
        <v>March</v>
      </c>
      <c r="H481" t="str">
        <f t="shared" si="72"/>
        <v>Friday</v>
      </c>
      <c r="I481">
        <f t="shared" si="73"/>
        <v>2.0399314890417655</v>
      </c>
      <c r="J481">
        <f t="shared" si="74"/>
        <v>19.720535967455092</v>
      </c>
      <c r="K481">
        <f t="shared" si="75"/>
        <v>0.67877892296256315</v>
      </c>
      <c r="L481">
        <f t="shared" si="76"/>
        <v>0.94312742390995019</v>
      </c>
      <c r="M481">
        <f t="shared" si="77"/>
        <v>0.26924230945307931</v>
      </c>
      <c r="N481">
        <f t="shared" si="78"/>
        <v>36</v>
      </c>
      <c r="O481" t="str">
        <f t="shared" si="79"/>
        <v>Other</v>
      </c>
    </row>
    <row r="482" spans="1:15" hidden="1" x14ac:dyDescent="0.3">
      <c r="A482" t="s">
        <v>501</v>
      </c>
      <c r="B482" s="2">
        <v>43075</v>
      </c>
      <c r="C482" s="3">
        <v>26037772</v>
      </c>
      <c r="D482" s="4">
        <v>480408</v>
      </c>
      <c r="E482" s="4">
        <v>55895</v>
      </c>
      <c r="F482">
        <f t="shared" si="70"/>
        <v>2017</v>
      </c>
      <c r="G482" t="str">
        <f t="shared" si="71"/>
        <v>December</v>
      </c>
      <c r="H482" t="str">
        <f t="shared" si="72"/>
        <v>Wednesday</v>
      </c>
      <c r="I482">
        <f t="shared" si="73"/>
        <v>2.0597115605743839</v>
      </c>
      <c r="J482">
        <f t="shared" si="74"/>
        <v>18.45042655723385</v>
      </c>
      <c r="K482">
        <f t="shared" si="75"/>
        <v>2.1466890485099879</v>
      </c>
      <c r="L482">
        <f t="shared" si="76"/>
        <v>0.94321728498655255</v>
      </c>
      <c r="M482">
        <f t="shared" si="77"/>
        <v>0.26922868364012886</v>
      </c>
      <c r="N482">
        <f t="shared" si="78"/>
        <v>42</v>
      </c>
      <c r="O482" t="str">
        <f t="shared" si="79"/>
        <v>Other</v>
      </c>
    </row>
    <row r="483" spans="1:15" hidden="1" x14ac:dyDescent="0.3">
      <c r="A483" t="s">
        <v>482</v>
      </c>
      <c r="B483" s="2">
        <v>43179</v>
      </c>
      <c r="C483" s="3">
        <v>25946038</v>
      </c>
      <c r="D483" s="4">
        <v>573331</v>
      </c>
      <c r="E483" s="4">
        <v>23209</v>
      </c>
      <c r="F483">
        <f t="shared" si="70"/>
        <v>2018</v>
      </c>
      <c r="G483" t="str">
        <f t="shared" si="71"/>
        <v>March</v>
      </c>
      <c r="H483" t="str">
        <f t="shared" si="72"/>
        <v>Tuesday</v>
      </c>
      <c r="I483">
        <f t="shared" si="73"/>
        <v>2.2991564261179298</v>
      </c>
      <c r="J483">
        <f t="shared" si="74"/>
        <v>22.097053893160872</v>
      </c>
      <c r="K483">
        <f t="shared" si="75"/>
        <v>0.89451036801842354</v>
      </c>
      <c r="L483">
        <f t="shared" si="76"/>
        <v>0.94327990470405509</v>
      </c>
      <c r="M483">
        <f t="shared" si="77"/>
        <v>0.27397334344364632</v>
      </c>
      <c r="N483">
        <f t="shared" si="78"/>
        <v>44</v>
      </c>
      <c r="O483" t="str">
        <f t="shared" si="79"/>
        <v>Other</v>
      </c>
    </row>
    <row r="484" spans="1:15" hidden="1" x14ac:dyDescent="0.3">
      <c r="A484" t="s">
        <v>468</v>
      </c>
      <c r="B484" s="2">
        <v>43233</v>
      </c>
      <c r="C484" s="3">
        <v>24808605</v>
      </c>
      <c r="D484" s="4">
        <v>541400</v>
      </c>
      <c r="E484" s="4">
        <v>18400</v>
      </c>
      <c r="F484">
        <f t="shared" si="70"/>
        <v>2018</v>
      </c>
      <c r="G484" t="str">
        <f t="shared" si="71"/>
        <v>May</v>
      </c>
      <c r="H484" t="str">
        <f t="shared" si="72"/>
        <v>Sunday</v>
      </c>
      <c r="I484">
        <f t="shared" si="73"/>
        <v>2.2564751222408517</v>
      </c>
      <c r="J484">
        <f t="shared" si="74"/>
        <v>21.823073082908127</v>
      </c>
      <c r="K484">
        <f t="shared" si="75"/>
        <v>0.74167813950038708</v>
      </c>
      <c r="L484">
        <f t="shared" si="76"/>
        <v>0.94342623777570811</v>
      </c>
      <c r="M484">
        <f t="shared" si="77"/>
        <v>0.27423647328620221</v>
      </c>
      <c r="N484">
        <f t="shared" si="78"/>
        <v>40</v>
      </c>
      <c r="O484" t="str">
        <f t="shared" si="79"/>
        <v>Other</v>
      </c>
    </row>
    <row r="485" spans="1:15" hidden="1" x14ac:dyDescent="0.3">
      <c r="A485" t="s">
        <v>476</v>
      </c>
      <c r="B485" s="2">
        <v>43211</v>
      </c>
      <c r="C485" s="3">
        <v>24630916</v>
      </c>
      <c r="D485" s="4">
        <v>629729</v>
      </c>
      <c r="E485" s="4">
        <v>28885</v>
      </c>
      <c r="F485">
        <f t="shared" si="70"/>
        <v>2018</v>
      </c>
      <c r="G485" t="str">
        <f t="shared" si="71"/>
        <v>April</v>
      </c>
      <c r="H485" t="str">
        <f t="shared" si="72"/>
        <v>Saturday</v>
      </c>
      <c r="I485">
        <f t="shared" si="73"/>
        <v>2.6739322240390897</v>
      </c>
      <c r="J485">
        <f t="shared" si="74"/>
        <v>25.566609053435123</v>
      </c>
      <c r="K485">
        <f t="shared" si="75"/>
        <v>1.1727131869557754</v>
      </c>
      <c r="L485">
        <f t="shared" si="76"/>
        <v>0.94355264518745063</v>
      </c>
      <c r="M485">
        <f t="shared" si="77"/>
        <v>0.27431241130736822</v>
      </c>
      <c r="N485">
        <f t="shared" si="78"/>
        <v>69</v>
      </c>
      <c r="O485" t="str">
        <f t="shared" si="79"/>
        <v>Money</v>
      </c>
    </row>
    <row r="486" spans="1:15" hidden="1" x14ac:dyDescent="0.3">
      <c r="A486" t="s">
        <v>472</v>
      </c>
      <c r="B486" s="2">
        <v>43221</v>
      </c>
      <c r="C486" s="3">
        <v>23960364</v>
      </c>
      <c r="D486" s="4">
        <v>502903</v>
      </c>
      <c r="E486" s="4">
        <v>29466</v>
      </c>
      <c r="F486">
        <f t="shared" si="70"/>
        <v>2018</v>
      </c>
      <c r="G486" t="str">
        <f t="shared" si="71"/>
        <v>May</v>
      </c>
      <c r="H486" t="str">
        <f t="shared" si="72"/>
        <v>Tuesday</v>
      </c>
      <c r="I486">
        <f t="shared" si="73"/>
        <v>2.2218735909020415</v>
      </c>
      <c r="J486">
        <f t="shared" si="74"/>
        <v>20.988954925726503</v>
      </c>
      <c r="K486">
        <f t="shared" si="75"/>
        <v>1.2297809832939097</v>
      </c>
      <c r="L486">
        <f t="shared" si="76"/>
        <v>0.94378435558187601</v>
      </c>
      <c r="M486">
        <f t="shared" si="77"/>
        <v>0.27509548050551463</v>
      </c>
      <c r="N486">
        <f t="shared" si="78"/>
        <v>29</v>
      </c>
      <c r="O486" t="str">
        <f t="shared" si="79"/>
        <v>Money</v>
      </c>
    </row>
    <row r="487" spans="1:15" hidden="1" x14ac:dyDescent="0.3">
      <c r="A487" t="s">
        <v>510</v>
      </c>
      <c r="B487" s="2">
        <v>42966</v>
      </c>
      <c r="C487" s="3">
        <v>23744727</v>
      </c>
      <c r="D487" s="4">
        <v>930231</v>
      </c>
      <c r="E487" s="4">
        <v>108274</v>
      </c>
      <c r="F487">
        <f t="shared" si="70"/>
        <v>2017</v>
      </c>
      <c r="G487" t="str">
        <f t="shared" si="71"/>
        <v>August</v>
      </c>
      <c r="H487" t="str">
        <f t="shared" si="72"/>
        <v>Saturday</v>
      </c>
      <c r="I487">
        <f t="shared" si="73"/>
        <v>4.3736236681095555</v>
      </c>
      <c r="J487">
        <f t="shared" si="74"/>
        <v>39.176319020218678</v>
      </c>
      <c r="K487">
        <f t="shared" si="75"/>
        <v>4.5599176608768763</v>
      </c>
      <c r="L487">
        <f t="shared" si="76"/>
        <v>0.94388467107782592</v>
      </c>
      <c r="M487">
        <f t="shared" si="77"/>
        <v>0.27599826076259348</v>
      </c>
      <c r="N487">
        <f t="shared" si="78"/>
        <v>31</v>
      </c>
      <c r="O487" t="str">
        <f t="shared" si="79"/>
        <v>Other</v>
      </c>
    </row>
    <row r="488" spans="1:15" hidden="1" x14ac:dyDescent="0.3">
      <c r="A488" t="s">
        <v>508</v>
      </c>
      <c r="B488" s="2">
        <v>42970</v>
      </c>
      <c r="C488" s="3">
        <v>23188093</v>
      </c>
      <c r="D488" s="4">
        <v>699639</v>
      </c>
      <c r="E488" s="4">
        <v>39556</v>
      </c>
      <c r="F488">
        <f t="shared" si="70"/>
        <v>2017</v>
      </c>
      <c r="G488" t="str">
        <f t="shared" si="71"/>
        <v>August</v>
      </c>
      <c r="H488" t="str">
        <f t="shared" si="72"/>
        <v>Wednesday</v>
      </c>
      <c r="I488">
        <f t="shared" si="73"/>
        <v>3.1878214392188271</v>
      </c>
      <c r="J488">
        <f t="shared" si="74"/>
        <v>30.172338880993792</v>
      </c>
      <c r="K488">
        <f t="shared" si="75"/>
        <v>1.7058755111944739</v>
      </c>
      <c r="L488">
        <f t="shared" si="76"/>
        <v>0.94471153817943099</v>
      </c>
      <c r="M488">
        <f t="shared" si="77"/>
        <v>0.30709158016580462</v>
      </c>
      <c r="N488">
        <f t="shared" si="78"/>
        <v>35</v>
      </c>
      <c r="O488" t="str">
        <f t="shared" si="79"/>
        <v>Money</v>
      </c>
    </row>
    <row r="489" spans="1:15" hidden="1" x14ac:dyDescent="0.3">
      <c r="A489" t="s">
        <v>534</v>
      </c>
      <c r="B489" s="2">
        <v>42725</v>
      </c>
      <c r="C489" s="3">
        <v>23181784</v>
      </c>
      <c r="D489" s="4">
        <v>579711</v>
      </c>
      <c r="E489" s="4">
        <v>33174</v>
      </c>
      <c r="F489">
        <f t="shared" si="70"/>
        <v>2016</v>
      </c>
      <c r="G489" t="str">
        <f t="shared" si="71"/>
        <v>December</v>
      </c>
      <c r="H489" t="str">
        <f t="shared" si="72"/>
        <v>Wednesday</v>
      </c>
      <c r="I489">
        <f t="shared" si="73"/>
        <v>2.6438215453996121</v>
      </c>
      <c r="J489">
        <f t="shared" si="74"/>
        <v>25.007178049799791</v>
      </c>
      <c r="K489">
        <f t="shared" si="75"/>
        <v>1.4310374041963294</v>
      </c>
      <c r="L489">
        <f t="shared" si="76"/>
        <v>0.94507573450088123</v>
      </c>
      <c r="M489">
        <f t="shared" si="77"/>
        <v>0.31078363729429748</v>
      </c>
      <c r="N489">
        <f t="shared" si="78"/>
        <v>45</v>
      </c>
      <c r="O489" t="str">
        <f t="shared" si="79"/>
        <v>Other</v>
      </c>
    </row>
    <row r="490" spans="1:15" hidden="1" x14ac:dyDescent="0.3">
      <c r="A490" t="s">
        <v>460</v>
      </c>
      <c r="B490" s="2">
        <v>43275</v>
      </c>
      <c r="C490" s="3">
        <v>21895445</v>
      </c>
      <c r="D490" s="4">
        <v>638834</v>
      </c>
      <c r="E490" s="4">
        <v>24392</v>
      </c>
      <c r="F490">
        <f t="shared" si="70"/>
        <v>2018</v>
      </c>
      <c r="G490" t="str">
        <f t="shared" si="71"/>
        <v>June</v>
      </c>
      <c r="H490" t="str">
        <f t="shared" si="72"/>
        <v>Sunday</v>
      </c>
      <c r="I490">
        <f t="shared" si="73"/>
        <v>3.0290592404036549</v>
      </c>
      <c r="J490">
        <f t="shared" si="74"/>
        <v>29.176570743366945</v>
      </c>
      <c r="K490">
        <f t="shared" si="75"/>
        <v>1.114021660669605</v>
      </c>
      <c r="L490">
        <f t="shared" si="76"/>
        <v>0.94526946788404542</v>
      </c>
      <c r="M490">
        <f t="shared" si="77"/>
        <v>0.31321745548387692</v>
      </c>
      <c r="N490">
        <f t="shared" si="78"/>
        <v>59</v>
      </c>
      <c r="O490" t="str">
        <f t="shared" si="79"/>
        <v>Money</v>
      </c>
    </row>
    <row r="491" spans="1:15" hidden="1" x14ac:dyDescent="0.3">
      <c r="A491" t="s">
        <v>477</v>
      </c>
      <c r="B491" s="2">
        <v>43201</v>
      </c>
      <c r="C491" s="3">
        <v>20289603</v>
      </c>
      <c r="D491" s="4">
        <v>501616</v>
      </c>
      <c r="E491" s="4">
        <v>38007</v>
      </c>
      <c r="F491">
        <f t="shared" si="70"/>
        <v>2018</v>
      </c>
      <c r="G491" t="str">
        <f t="shared" si="71"/>
        <v>April</v>
      </c>
      <c r="H491" t="str">
        <f t="shared" si="72"/>
        <v>Wednesday</v>
      </c>
      <c r="I491">
        <f t="shared" si="73"/>
        <v>2.6596035417745729</v>
      </c>
      <c r="J491">
        <f t="shared" si="74"/>
        <v>24.722810002738843</v>
      </c>
      <c r="K491">
        <f t="shared" si="75"/>
        <v>1.8732254150068881</v>
      </c>
      <c r="L491">
        <f t="shared" si="76"/>
        <v>0.94556176684770588</v>
      </c>
      <c r="M491">
        <f t="shared" si="77"/>
        <v>0.314275050226345</v>
      </c>
      <c r="N491">
        <f t="shared" si="78"/>
        <v>50</v>
      </c>
      <c r="O491" t="str">
        <f t="shared" si="79"/>
        <v>Other</v>
      </c>
    </row>
    <row r="492" spans="1:15" hidden="1" x14ac:dyDescent="0.3">
      <c r="A492" t="s">
        <v>478</v>
      </c>
      <c r="B492" s="2">
        <v>43194</v>
      </c>
      <c r="C492" s="3">
        <v>20153489</v>
      </c>
      <c r="D492" s="4">
        <v>553760</v>
      </c>
      <c r="E492" s="4">
        <v>21729</v>
      </c>
      <c r="F492">
        <f t="shared" si="70"/>
        <v>2018</v>
      </c>
      <c r="G492" t="str">
        <f t="shared" si="71"/>
        <v>April</v>
      </c>
      <c r="H492" t="str">
        <f t="shared" si="72"/>
        <v>Wednesday</v>
      </c>
      <c r="I492">
        <f t="shared" si="73"/>
        <v>2.8555303749142396</v>
      </c>
      <c r="J492">
        <f t="shared" si="74"/>
        <v>27.477128153839764</v>
      </c>
      <c r="K492">
        <f t="shared" si="75"/>
        <v>1.0781755953026297</v>
      </c>
      <c r="L492">
        <f t="shared" si="76"/>
        <v>0.94570231441052732</v>
      </c>
      <c r="M492">
        <f t="shared" si="77"/>
        <v>0.31826520843416795</v>
      </c>
      <c r="N492">
        <f t="shared" si="78"/>
        <v>59</v>
      </c>
      <c r="O492" t="str">
        <f t="shared" si="79"/>
        <v>Money</v>
      </c>
    </row>
    <row r="493" spans="1:15" hidden="1" x14ac:dyDescent="0.3">
      <c r="A493" t="s">
        <v>349</v>
      </c>
      <c r="B493" s="2">
        <v>43833</v>
      </c>
      <c r="C493" s="3">
        <v>19798084</v>
      </c>
      <c r="D493" s="4">
        <v>894780</v>
      </c>
      <c r="E493" s="4">
        <v>39543</v>
      </c>
      <c r="F493">
        <f t="shared" si="70"/>
        <v>2020</v>
      </c>
      <c r="G493" t="str">
        <f t="shared" si="71"/>
        <v>January</v>
      </c>
      <c r="H493" t="str">
        <f t="shared" si="72"/>
        <v>Friday</v>
      </c>
      <c r="I493">
        <f t="shared" si="73"/>
        <v>4.7192597021004659</v>
      </c>
      <c r="J493">
        <f t="shared" si="74"/>
        <v>45.195282533400707</v>
      </c>
      <c r="K493">
        <f t="shared" si="75"/>
        <v>1.9973144876039521</v>
      </c>
      <c r="L493">
        <f t="shared" si="76"/>
        <v>0.94590458406899003</v>
      </c>
      <c r="M493">
        <f t="shared" si="77"/>
        <v>0.31916014771908313</v>
      </c>
      <c r="N493">
        <f t="shared" si="78"/>
        <v>45</v>
      </c>
      <c r="O493" t="str">
        <f t="shared" si="79"/>
        <v>Other</v>
      </c>
    </row>
    <row r="494" spans="1:15" hidden="1" x14ac:dyDescent="0.3">
      <c r="A494" t="s">
        <v>518</v>
      </c>
      <c r="B494" s="2">
        <v>42899</v>
      </c>
      <c r="C494" s="3">
        <v>19795208</v>
      </c>
      <c r="D494" s="4">
        <v>496278</v>
      </c>
      <c r="E494" s="4">
        <v>15019</v>
      </c>
      <c r="F494">
        <f t="shared" si="70"/>
        <v>2017</v>
      </c>
      <c r="G494" t="str">
        <f t="shared" si="71"/>
        <v>June</v>
      </c>
      <c r="H494" t="str">
        <f t="shared" si="72"/>
        <v>Tuesday</v>
      </c>
      <c r="I494">
        <f t="shared" si="73"/>
        <v>2.5829332028236331</v>
      </c>
      <c r="J494">
        <f t="shared" si="74"/>
        <v>25.070613049380437</v>
      </c>
      <c r="K494">
        <f t="shared" si="75"/>
        <v>0.7587189788558929</v>
      </c>
      <c r="L494">
        <f t="shared" si="76"/>
        <v>0.94676166814809748</v>
      </c>
      <c r="M494">
        <f t="shared" si="77"/>
        <v>0.32395929086750591</v>
      </c>
      <c r="N494">
        <f t="shared" si="78"/>
        <v>37</v>
      </c>
      <c r="O494" t="str">
        <f t="shared" si="79"/>
        <v>Other</v>
      </c>
    </row>
    <row r="495" spans="1:15" x14ac:dyDescent="0.3">
      <c r="A495" t="s">
        <v>13</v>
      </c>
      <c r="B495" s="2">
        <v>46159</v>
      </c>
      <c r="C495" s="3">
        <v>318642383</v>
      </c>
      <c r="D495" s="4">
        <v>2146674</v>
      </c>
      <c r="E495" s="4">
        <v>21083</v>
      </c>
      <c r="F495">
        <f t="shared" si="70"/>
        <v>2026</v>
      </c>
      <c r="G495" t="str">
        <f t="shared" si="71"/>
        <v>May</v>
      </c>
      <c r="H495" t="str">
        <f t="shared" si="72"/>
        <v>Sunday</v>
      </c>
      <c r="I495">
        <f t="shared" si="73"/>
        <v>0.68031031515352436</v>
      </c>
      <c r="J495">
        <f t="shared" si="74"/>
        <v>6.736938067651848</v>
      </c>
      <c r="K495">
        <f t="shared" si="75"/>
        <v>6.6165083883395384E-2</v>
      </c>
      <c r="L495">
        <f t="shared" si="76"/>
        <v>0.94690552320082699</v>
      </c>
      <c r="M495">
        <f t="shared" si="77"/>
        <v>0.32423536333977793</v>
      </c>
      <c r="N495">
        <f t="shared" si="78"/>
        <v>22</v>
      </c>
      <c r="O495" t="str">
        <f t="shared" si="79"/>
        <v>Other</v>
      </c>
    </row>
    <row r="496" spans="1:15" hidden="1" x14ac:dyDescent="0.3">
      <c r="A496" t="s">
        <v>431</v>
      </c>
      <c r="B496" s="2">
        <v>43408</v>
      </c>
      <c r="C496" s="3">
        <v>18672838</v>
      </c>
      <c r="D496" s="4">
        <v>511578</v>
      </c>
      <c r="E496" s="4">
        <v>24959</v>
      </c>
      <c r="F496">
        <f t="shared" si="70"/>
        <v>2018</v>
      </c>
      <c r="G496" t="str">
        <f t="shared" si="71"/>
        <v>November</v>
      </c>
      <c r="H496" t="str">
        <f t="shared" si="72"/>
        <v>Sunday</v>
      </c>
      <c r="I496">
        <f t="shared" si="73"/>
        <v>2.8733554053218908</v>
      </c>
      <c r="J496">
        <f t="shared" si="74"/>
        <v>27.396906672676106</v>
      </c>
      <c r="K496">
        <f t="shared" si="75"/>
        <v>1.336647380542797</v>
      </c>
      <c r="L496">
        <f t="shared" si="76"/>
        <v>0.94689939399413203</v>
      </c>
      <c r="M496">
        <f t="shared" si="77"/>
        <v>0.31379357537459074</v>
      </c>
      <c r="N496">
        <f t="shared" si="78"/>
        <v>36</v>
      </c>
      <c r="O496" t="str">
        <f t="shared" si="79"/>
        <v>Money</v>
      </c>
    </row>
    <row r="497" spans="1:15" hidden="1" x14ac:dyDescent="0.3">
      <c r="A497" t="s">
        <v>487</v>
      </c>
      <c r="B497" s="2">
        <v>43160</v>
      </c>
      <c r="C497" s="3">
        <v>18466743</v>
      </c>
      <c r="D497" s="4">
        <v>427489</v>
      </c>
      <c r="E497" s="4">
        <v>28286</v>
      </c>
      <c r="F497">
        <f t="shared" si="70"/>
        <v>2018</v>
      </c>
      <c r="G497" t="str">
        <f t="shared" si="71"/>
        <v>March</v>
      </c>
      <c r="H497" t="str">
        <f t="shared" si="72"/>
        <v>Thursday</v>
      </c>
      <c r="I497">
        <f t="shared" si="73"/>
        <v>2.4680854658561069</v>
      </c>
      <c r="J497">
        <f t="shared" si="74"/>
        <v>23.149128138080442</v>
      </c>
      <c r="K497">
        <f t="shared" si="75"/>
        <v>1.5317265204806283</v>
      </c>
      <c r="L497">
        <f t="shared" si="76"/>
        <v>0.94707272811493182</v>
      </c>
      <c r="M497">
        <f t="shared" si="77"/>
        <v>0.31529801112064798</v>
      </c>
      <c r="N497">
        <f t="shared" si="78"/>
        <v>37</v>
      </c>
      <c r="O497" t="str">
        <f t="shared" si="79"/>
        <v>Other</v>
      </c>
    </row>
    <row r="498" spans="1:15" x14ac:dyDescent="0.3">
      <c r="A498" t="s">
        <v>16</v>
      </c>
      <c r="B498" s="2">
        <v>46154</v>
      </c>
      <c r="C498" s="3">
        <v>336785327</v>
      </c>
      <c r="D498" s="4">
        <v>4628087</v>
      </c>
      <c r="E498" s="4">
        <v>20137</v>
      </c>
      <c r="F498">
        <f t="shared" si="70"/>
        <v>2026</v>
      </c>
      <c r="G498" t="str">
        <f t="shared" si="71"/>
        <v>May</v>
      </c>
      <c r="H498" t="str">
        <f t="shared" si="72"/>
        <v>Tuesday</v>
      </c>
      <c r="I498">
        <f t="shared" si="73"/>
        <v>1.380174142800467</v>
      </c>
      <c r="J498">
        <f t="shared" si="74"/>
        <v>13.741949630721292</v>
      </c>
      <c r="K498">
        <f t="shared" si="75"/>
        <v>5.9791797283377496E-2</v>
      </c>
      <c r="L498">
        <f t="shared" si="76"/>
        <v>0.94716442528910416</v>
      </c>
      <c r="M498">
        <f t="shared" si="77"/>
        <v>0.31749601723745352</v>
      </c>
      <c r="N498">
        <f t="shared" si="78"/>
        <v>20</v>
      </c>
      <c r="O498" t="str">
        <f t="shared" si="79"/>
        <v>Other</v>
      </c>
    </row>
    <row r="499" spans="1:15" x14ac:dyDescent="0.3">
      <c r="A499" t="s">
        <v>57</v>
      </c>
      <c r="B499" s="2">
        <v>46028</v>
      </c>
      <c r="C499" s="3">
        <v>491669636</v>
      </c>
      <c r="D499" s="4">
        <v>6084981</v>
      </c>
      <c r="E499" s="4">
        <v>20065</v>
      </c>
      <c r="F499">
        <f t="shared" si="70"/>
        <v>2026</v>
      </c>
      <c r="G499" t="str">
        <f t="shared" si="71"/>
        <v>January</v>
      </c>
      <c r="H499" t="str">
        <f t="shared" si="72"/>
        <v>Tuesday</v>
      </c>
      <c r="I499">
        <f t="shared" si="73"/>
        <v>1.2416967721797652</v>
      </c>
      <c r="J499">
        <f t="shared" si="74"/>
        <v>12.376157798770393</v>
      </c>
      <c r="K499">
        <f t="shared" si="75"/>
        <v>4.0809923027258083E-2</v>
      </c>
      <c r="L499">
        <f t="shared" si="76"/>
        <v>0.94900414671878197</v>
      </c>
      <c r="M499">
        <f t="shared" si="77"/>
        <v>0.30680369017590586</v>
      </c>
      <c r="N499">
        <f t="shared" si="78"/>
        <v>16</v>
      </c>
      <c r="O499" t="str">
        <f t="shared" si="79"/>
        <v>Other</v>
      </c>
    </row>
    <row r="500" spans="1:15" hidden="1" x14ac:dyDescent="0.3">
      <c r="A500" t="s">
        <v>484</v>
      </c>
      <c r="B500" s="2">
        <v>43175</v>
      </c>
      <c r="C500" s="3">
        <v>18186789</v>
      </c>
      <c r="D500" s="4">
        <v>452761</v>
      </c>
      <c r="E500" s="4">
        <v>40763</v>
      </c>
      <c r="F500">
        <f t="shared" si="70"/>
        <v>2018</v>
      </c>
      <c r="G500" t="str">
        <f t="shared" si="71"/>
        <v>March</v>
      </c>
      <c r="H500" t="str">
        <f t="shared" si="72"/>
        <v>Friday</v>
      </c>
      <c r="I500">
        <f t="shared" si="73"/>
        <v>2.7136401043636673</v>
      </c>
      <c r="J500">
        <f t="shared" si="74"/>
        <v>24.895048818128366</v>
      </c>
      <c r="K500">
        <f t="shared" si="75"/>
        <v>2.2413522255083071</v>
      </c>
      <c r="L500">
        <f t="shared" si="76"/>
        <v>0.94977932768729334</v>
      </c>
      <c r="M500">
        <f t="shared" si="77"/>
        <v>0.29385976590561491</v>
      </c>
      <c r="N500">
        <f t="shared" si="78"/>
        <v>44</v>
      </c>
      <c r="O500" t="str">
        <f t="shared" si="79"/>
        <v>Other</v>
      </c>
    </row>
    <row r="501" spans="1:15" hidden="1" x14ac:dyDescent="0.3">
      <c r="A501" t="s">
        <v>454</v>
      </c>
      <c r="B501" s="2">
        <v>43306</v>
      </c>
      <c r="C501" s="3">
        <v>17756305</v>
      </c>
      <c r="D501" s="4">
        <v>393715</v>
      </c>
      <c r="E501" s="4">
        <v>31965</v>
      </c>
      <c r="F501">
        <f t="shared" si="70"/>
        <v>2018</v>
      </c>
      <c r="G501" t="str">
        <f t="shared" si="71"/>
        <v>July</v>
      </c>
      <c r="H501" t="str">
        <f t="shared" si="72"/>
        <v>Wednesday</v>
      </c>
      <c r="I501">
        <f t="shared" si="73"/>
        <v>2.3973456189224054</v>
      </c>
      <c r="J501">
        <f t="shared" si="74"/>
        <v>22.173250572120722</v>
      </c>
      <c r="K501">
        <f t="shared" si="75"/>
        <v>1.8002056171033332</v>
      </c>
      <c r="L501">
        <f t="shared" si="76"/>
        <v>0.94994745158717075</v>
      </c>
      <c r="M501">
        <f t="shared" si="77"/>
        <v>0.29900121897799953</v>
      </c>
      <c r="N501">
        <f t="shared" si="78"/>
        <v>47</v>
      </c>
      <c r="O501" t="str">
        <f t="shared" si="79"/>
        <v>Other</v>
      </c>
    </row>
    <row r="502" spans="1:15" hidden="1" x14ac:dyDescent="0.3">
      <c r="A502" t="s">
        <v>870</v>
      </c>
      <c r="B502" s="2">
        <v>41742</v>
      </c>
      <c r="C502" s="3">
        <v>17653957</v>
      </c>
      <c r="D502" s="4">
        <v>1273800</v>
      </c>
      <c r="E502" s="4">
        <v>88780</v>
      </c>
      <c r="F502">
        <f t="shared" si="70"/>
        <v>2014</v>
      </c>
      <c r="G502" t="str">
        <f t="shared" si="71"/>
        <v>April</v>
      </c>
      <c r="H502" t="str">
        <f t="shared" si="72"/>
        <v>Sunday</v>
      </c>
      <c r="I502">
        <f t="shared" si="73"/>
        <v>7.7182696207994619</v>
      </c>
      <c r="J502">
        <f t="shared" si="74"/>
        <v>72.153795321921322</v>
      </c>
      <c r="K502">
        <f t="shared" si="75"/>
        <v>5.0289008860733038</v>
      </c>
      <c r="L502">
        <f t="shared" si="76"/>
        <v>0.9500519824198792</v>
      </c>
      <c r="M502">
        <f t="shared" si="77"/>
        <v>0.30200191539756072</v>
      </c>
      <c r="N502">
        <f t="shared" si="78"/>
        <v>7</v>
      </c>
      <c r="O502" t="str">
        <f t="shared" si="79"/>
        <v>Other</v>
      </c>
    </row>
    <row r="503" spans="1:15" hidden="1" x14ac:dyDescent="0.3">
      <c r="A503" t="s">
        <v>465</v>
      </c>
      <c r="B503" s="2">
        <v>43252</v>
      </c>
      <c r="C503" s="3">
        <v>17395085</v>
      </c>
      <c r="D503" s="4">
        <v>429202</v>
      </c>
      <c r="E503" s="4">
        <v>35866</v>
      </c>
      <c r="F503">
        <f t="shared" si="70"/>
        <v>2018</v>
      </c>
      <c r="G503" t="str">
        <f t="shared" si="71"/>
        <v>June</v>
      </c>
      <c r="H503" t="str">
        <f t="shared" si="72"/>
        <v>Friday</v>
      </c>
      <c r="I503">
        <f t="shared" si="73"/>
        <v>2.6735598015186475</v>
      </c>
      <c r="J503">
        <f t="shared" si="74"/>
        <v>24.673751234903424</v>
      </c>
      <c r="K503">
        <f t="shared" si="75"/>
        <v>2.0618467802830511</v>
      </c>
      <c r="L503">
        <f t="shared" si="76"/>
        <v>0.95303261450385113</v>
      </c>
      <c r="M503">
        <f t="shared" si="77"/>
        <v>0.34305351584418836</v>
      </c>
      <c r="N503">
        <f t="shared" si="78"/>
        <v>26</v>
      </c>
      <c r="O503" t="str">
        <f t="shared" si="79"/>
        <v>Other</v>
      </c>
    </row>
    <row r="504" spans="1:15" hidden="1" x14ac:dyDescent="0.3">
      <c r="A504" t="s">
        <v>440</v>
      </c>
      <c r="B504" s="2">
        <v>43371</v>
      </c>
      <c r="C504" s="3">
        <v>17391390</v>
      </c>
      <c r="D504" s="4">
        <v>425541</v>
      </c>
      <c r="E504" s="4">
        <v>21552</v>
      </c>
      <c r="F504">
        <f t="shared" si="70"/>
        <v>2018</v>
      </c>
      <c r="G504" t="str">
        <f t="shared" si="71"/>
        <v>September</v>
      </c>
      <c r="H504" t="str">
        <f t="shared" si="72"/>
        <v>Friday</v>
      </c>
      <c r="I504">
        <f t="shared" si="73"/>
        <v>2.5707720889474617</v>
      </c>
      <c r="J504">
        <f t="shared" si="74"/>
        <v>24.46848699270156</v>
      </c>
      <c r="K504">
        <f t="shared" si="75"/>
        <v>1.2392338967730583</v>
      </c>
      <c r="L504">
        <f t="shared" si="76"/>
        <v>0.95318701040810971</v>
      </c>
      <c r="M504">
        <f t="shared" si="77"/>
        <v>0.35002912123309554</v>
      </c>
      <c r="N504">
        <f t="shared" si="78"/>
        <v>47</v>
      </c>
      <c r="O504" t="str">
        <f t="shared" si="79"/>
        <v>Money</v>
      </c>
    </row>
    <row r="505" spans="1:15" x14ac:dyDescent="0.3">
      <c r="A505" t="s">
        <v>50</v>
      </c>
      <c r="B505" s="2">
        <v>46049</v>
      </c>
      <c r="C505" s="3">
        <v>1150823786</v>
      </c>
      <c r="D505" s="4">
        <v>8917138</v>
      </c>
      <c r="E505" s="4">
        <v>40603</v>
      </c>
      <c r="F505">
        <f t="shared" si="70"/>
        <v>2026</v>
      </c>
      <c r="G505" t="str">
        <f t="shared" si="71"/>
        <v>January</v>
      </c>
      <c r="H505" t="str">
        <f t="shared" si="72"/>
        <v>Tuesday</v>
      </c>
      <c r="I505">
        <f t="shared" si="73"/>
        <v>0.77837642121866957</v>
      </c>
      <c r="J505">
        <f t="shared" si="74"/>
        <v>7.748482529192354</v>
      </c>
      <c r="K505">
        <f t="shared" si="75"/>
        <v>3.528168299434159E-2</v>
      </c>
      <c r="L505">
        <f t="shared" si="76"/>
        <v>0.95333767429584826</v>
      </c>
      <c r="M505">
        <f t="shared" si="77"/>
        <v>0.35205913193473765</v>
      </c>
      <c r="N505">
        <f t="shared" si="78"/>
        <v>24</v>
      </c>
      <c r="O505" t="str">
        <f t="shared" si="79"/>
        <v>Money</v>
      </c>
    </row>
    <row r="506" spans="1:15" hidden="1" x14ac:dyDescent="0.3">
      <c r="A506" t="s">
        <v>538</v>
      </c>
      <c r="B506" s="2">
        <v>42704</v>
      </c>
      <c r="C506" s="3">
        <v>16562150</v>
      </c>
      <c r="D506" s="4">
        <v>453555</v>
      </c>
      <c r="E506" s="4">
        <v>15783</v>
      </c>
      <c r="F506">
        <f t="shared" si="70"/>
        <v>2016</v>
      </c>
      <c r="G506" t="str">
        <f t="shared" si="71"/>
        <v>November</v>
      </c>
      <c r="H506" t="str">
        <f t="shared" si="72"/>
        <v>Wednesday</v>
      </c>
      <c r="I506">
        <f t="shared" si="73"/>
        <v>2.8337987519736267</v>
      </c>
      <c r="J506">
        <f t="shared" si="74"/>
        <v>27.385031532741824</v>
      </c>
      <c r="K506">
        <f t="shared" si="75"/>
        <v>0.95295598699444217</v>
      </c>
      <c r="L506">
        <f t="shared" si="76"/>
        <v>0.92110840563344165</v>
      </c>
      <c r="M506">
        <f t="shared" si="77"/>
        <v>0.24985187545478652</v>
      </c>
      <c r="N506">
        <f t="shared" si="78"/>
        <v>67</v>
      </c>
      <c r="O506" t="str">
        <f t="shared" si="79"/>
        <v>Challenge</v>
      </c>
    </row>
    <row r="507" spans="1:15" hidden="1" x14ac:dyDescent="0.3">
      <c r="A507" t="s">
        <v>466</v>
      </c>
      <c r="B507" s="2">
        <v>43245</v>
      </c>
      <c r="C507" s="3">
        <v>15965506</v>
      </c>
      <c r="D507" s="4">
        <v>316115</v>
      </c>
      <c r="E507" s="4">
        <v>12156</v>
      </c>
      <c r="F507">
        <f t="shared" si="70"/>
        <v>2018</v>
      </c>
      <c r="G507" t="str">
        <f t="shared" si="71"/>
        <v>May</v>
      </c>
      <c r="H507" t="str">
        <f t="shared" si="72"/>
        <v>Friday</v>
      </c>
      <c r="I507">
        <f t="shared" si="73"/>
        <v>2.0561265017218995</v>
      </c>
      <c r="J507">
        <f t="shared" si="74"/>
        <v>19.799873552394768</v>
      </c>
      <c r="K507">
        <f t="shared" si="75"/>
        <v>0.76139146482422793</v>
      </c>
      <c r="L507">
        <f t="shared" si="76"/>
        <v>0.92139496222652262</v>
      </c>
      <c r="M507">
        <f t="shared" si="77"/>
        <v>0.24998767609176056</v>
      </c>
      <c r="N507">
        <f t="shared" si="78"/>
        <v>50</v>
      </c>
      <c r="O507" t="str">
        <f t="shared" si="79"/>
        <v>Other</v>
      </c>
    </row>
    <row r="508" spans="1:15" x14ac:dyDescent="0.3">
      <c r="A508" t="s">
        <v>33</v>
      </c>
      <c r="B508" s="2">
        <v>46113</v>
      </c>
      <c r="C508" s="3">
        <v>706173056</v>
      </c>
      <c r="D508" s="4">
        <v>3333954</v>
      </c>
      <c r="E508" s="4">
        <v>21756</v>
      </c>
      <c r="F508">
        <f t="shared" si="70"/>
        <v>2026</v>
      </c>
      <c r="G508" t="str">
        <f t="shared" si="71"/>
        <v>April</v>
      </c>
      <c r="H508" t="str">
        <f t="shared" si="72"/>
        <v>Wednesday</v>
      </c>
      <c r="I508">
        <f t="shared" si="73"/>
        <v>0.47519655012156109</v>
      </c>
      <c r="J508">
        <f t="shared" si="74"/>
        <v>4.7211571889822999</v>
      </c>
      <c r="K508">
        <f t="shared" si="75"/>
        <v>3.0808312233311833E-2</v>
      </c>
      <c r="L508">
        <f t="shared" si="76"/>
        <v>0.92146330533932097</v>
      </c>
      <c r="M508">
        <f t="shared" si="77"/>
        <v>0.24991352514689968</v>
      </c>
      <c r="N508">
        <f t="shared" si="78"/>
        <v>29</v>
      </c>
      <c r="O508" t="str">
        <f t="shared" si="79"/>
        <v>Other</v>
      </c>
    </row>
    <row r="509" spans="1:15" hidden="1" x14ac:dyDescent="0.3">
      <c r="A509" t="s">
        <v>469</v>
      </c>
      <c r="B509" s="2">
        <v>43231</v>
      </c>
      <c r="C509" s="3">
        <v>15258283</v>
      </c>
      <c r="D509" s="4">
        <v>452440</v>
      </c>
      <c r="E509" s="4">
        <v>30503</v>
      </c>
      <c r="F509">
        <f t="shared" si="70"/>
        <v>2018</v>
      </c>
      <c r="G509" t="str">
        <f t="shared" si="71"/>
        <v>May</v>
      </c>
      <c r="H509" t="str">
        <f t="shared" si="72"/>
        <v>Friday</v>
      </c>
      <c r="I509">
        <f t="shared" si="73"/>
        <v>3.1651202169995147</v>
      </c>
      <c r="J509">
        <f t="shared" si="74"/>
        <v>29.652091260858118</v>
      </c>
      <c r="K509">
        <f t="shared" si="75"/>
        <v>1.9991109091370241</v>
      </c>
      <c r="L509">
        <f t="shared" si="76"/>
        <v>0.97760137183970675</v>
      </c>
      <c r="M509">
        <f t="shared" si="77"/>
        <v>0.21417152024545674</v>
      </c>
      <c r="N509">
        <f t="shared" si="78"/>
        <v>32</v>
      </c>
      <c r="O509" t="str">
        <f t="shared" si="79"/>
        <v>Money</v>
      </c>
    </row>
    <row r="510" spans="1:15" hidden="1" x14ac:dyDescent="0.3">
      <c r="A510" t="s">
        <v>480</v>
      </c>
      <c r="B510" s="2">
        <v>43189</v>
      </c>
      <c r="C510" s="3">
        <v>15030213</v>
      </c>
      <c r="D510" s="4">
        <v>355303</v>
      </c>
      <c r="E510" s="4">
        <v>19429</v>
      </c>
      <c r="F510">
        <f t="shared" si="70"/>
        <v>2018</v>
      </c>
      <c r="G510" t="str">
        <f t="shared" si="71"/>
        <v>March</v>
      </c>
      <c r="H510" t="str">
        <f t="shared" si="72"/>
        <v>Friday</v>
      </c>
      <c r="I510">
        <f t="shared" si="73"/>
        <v>2.4931915469195278</v>
      </c>
      <c r="J510">
        <f t="shared" si="74"/>
        <v>23.639252484312763</v>
      </c>
      <c r="K510">
        <f t="shared" si="75"/>
        <v>1.2926629848825162</v>
      </c>
      <c r="L510">
        <f t="shared" si="76"/>
        <v>0.97791501248634083</v>
      </c>
      <c r="M510">
        <f t="shared" si="77"/>
        <v>0.21587817975054027</v>
      </c>
      <c r="N510">
        <f t="shared" si="78"/>
        <v>27</v>
      </c>
      <c r="O510" t="str">
        <f t="shared" si="79"/>
        <v>Money</v>
      </c>
    </row>
    <row r="511" spans="1:15" hidden="1" x14ac:dyDescent="0.3">
      <c r="A511" t="s">
        <v>471</v>
      </c>
      <c r="B511" s="2">
        <v>43222</v>
      </c>
      <c r="C511" s="3">
        <v>14821877</v>
      </c>
      <c r="D511" s="4">
        <v>346405</v>
      </c>
      <c r="E511" s="4">
        <v>20929</v>
      </c>
      <c r="F511">
        <f t="shared" si="70"/>
        <v>2018</v>
      </c>
      <c r="G511" t="str">
        <f t="shared" si="71"/>
        <v>May</v>
      </c>
      <c r="H511" t="str">
        <f t="shared" si="72"/>
        <v>Wednesday</v>
      </c>
      <c r="I511">
        <f t="shared" si="73"/>
        <v>2.4783230895790052</v>
      </c>
      <c r="J511">
        <f t="shared" si="74"/>
        <v>23.371196509052126</v>
      </c>
      <c r="K511">
        <f t="shared" si="75"/>
        <v>1.4120343867379281</v>
      </c>
      <c r="L511">
        <f t="shared" si="76"/>
        <v>0.97803747067226965</v>
      </c>
      <c r="M511">
        <f t="shared" si="77"/>
        <v>0.21593997544318147</v>
      </c>
      <c r="N511">
        <f t="shared" si="78"/>
        <v>48</v>
      </c>
      <c r="O511" t="str">
        <f t="shared" si="79"/>
        <v>Money</v>
      </c>
    </row>
    <row r="512" spans="1:15" hidden="1" x14ac:dyDescent="0.3">
      <c r="A512" t="s">
        <v>417</v>
      </c>
      <c r="B512" s="2">
        <v>43459</v>
      </c>
      <c r="C512" s="3">
        <v>14578889</v>
      </c>
      <c r="D512" s="4">
        <v>487393</v>
      </c>
      <c r="E512" s="4">
        <v>33576</v>
      </c>
      <c r="F512">
        <f t="shared" si="70"/>
        <v>2018</v>
      </c>
      <c r="G512" t="str">
        <f t="shared" si="71"/>
        <v>December</v>
      </c>
      <c r="H512" t="str">
        <f t="shared" si="72"/>
        <v>Tuesday</v>
      </c>
      <c r="I512">
        <f t="shared" si="73"/>
        <v>3.5734478806992773</v>
      </c>
      <c r="J512">
        <f t="shared" si="74"/>
        <v>33.431422655045935</v>
      </c>
      <c r="K512">
        <f t="shared" si="75"/>
        <v>2.3030561519468322</v>
      </c>
      <c r="L512">
        <f t="shared" si="76"/>
        <v>0.97815071606910964</v>
      </c>
      <c r="M512">
        <f t="shared" si="77"/>
        <v>0.2162151219068949</v>
      </c>
      <c r="N512">
        <f t="shared" si="78"/>
        <v>26</v>
      </c>
      <c r="O512" t="str">
        <f t="shared" si="79"/>
        <v>Money</v>
      </c>
    </row>
    <row r="513" spans="1:15" hidden="1" x14ac:dyDescent="0.3">
      <c r="A513" t="s">
        <v>638</v>
      </c>
      <c r="B513" s="2">
        <v>42327</v>
      </c>
      <c r="C513" s="3">
        <v>14247886</v>
      </c>
      <c r="D513" s="4">
        <v>532307</v>
      </c>
      <c r="E513" s="4">
        <v>34725</v>
      </c>
      <c r="F513">
        <f t="shared" si="70"/>
        <v>2015</v>
      </c>
      <c r="G513" t="str">
        <f t="shared" si="71"/>
        <v>November</v>
      </c>
      <c r="H513" t="str">
        <f t="shared" si="72"/>
        <v>Thursday</v>
      </c>
      <c r="I513">
        <f t="shared" si="73"/>
        <v>3.9797623310573931</v>
      </c>
      <c r="J513">
        <f t="shared" si="74"/>
        <v>37.360419644008942</v>
      </c>
      <c r="K513">
        <f t="shared" si="75"/>
        <v>2.437203666564991</v>
      </c>
      <c r="L513">
        <f t="shared" si="76"/>
        <v>0.97858691864647185</v>
      </c>
      <c r="M513">
        <f t="shared" si="77"/>
        <v>0.21923101367295411</v>
      </c>
      <c r="N513">
        <f t="shared" si="78"/>
        <v>38</v>
      </c>
      <c r="O513" t="str">
        <f t="shared" si="79"/>
        <v>Other</v>
      </c>
    </row>
    <row r="514" spans="1:15" hidden="1" x14ac:dyDescent="0.3">
      <c r="A514" t="s">
        <v>505</v>
      </c>
      <c r="B514" s="2">
        <v>43012</v>
      </c>
      <c r="C514" s="3">
        <v>13823911</v>
      </c>
      <c r="D514" s="4">
        <v>599284</v>
      </c>
      <c r="E514" s="4">
        <v>38120</v>
      </c>
      <c r="F514">
        <f t="shared" ref="F514:F577" si="80">YEAR(B514)</f>
        <v>2017</v>
      </c>
      <c r="G514" t="str">
        <f t="shared" ref="G514:G577" si="81">TEXT(B514,"MMMM")</f>
        <v>October</v>
      </c>
      <c r="H514" t="str">
        <f t="shared" ref="H514:H577" si="82">TEXT(B514, "DDDD")</f>
        <v>Wednesday</v>
      </c>
      <c r="I514">
        <f t="shared" ref="I514:I577" si="83">((D514+E514)/C514)*100</f>
        <v>4.6108803796552218</v>
      </c>
      <c r="J514">
        <f t="shared" ref="J514:J577" si="84">(D514/C514)*1000</f>
        <v>43.351262895138724</v>
      </c>
      <c r="K514">
        <f t="shared" ref="K514:K577" si="85">(E514/C514)*1000</f>
        <v>2.7575409014134999</v>
      </c>
      <c r="L514">
        <f t="shared" ref="L514:L577" si="86">CORREL(C514:C1012, D514:D1012)</f>
        <v>0.97918321861599</v>
      </c>
      <c r="M514">
        <f t="shared" ref="M514:M577" si="87">CORREL(C514:C1012,E514:E1012)</f>
        <v>0.22308776405506461</v>
      </c>
      <c r="N514">
        <f t="shared" ref="N514:N577" si="88">LEN(A514)</f>
        <v>39</v>
      </c>
      <c r="O514" t="str">
        <f t="shared" ref="O514:O577" si="89">IF(ISNUMBER(SEARCH("$",A514)), "Money", IF(ISNUMBER(SEARCH("Win",A514)), "Challenge",IF(ISNUMBER(SEARCH("Challenge",A514)), "Challenge",IF(ISNUMBER(SEARCH("Last To Leave",A514)),"Challenge",IF(ISNUMBER(SEARCH("Giving Away", A514)),"Giveaway",IF(ISNUMBER(SEARCH("Stranded",A514)),"Survival", IF(ISNUMBER(SEARCH("Survive",A514)), "Survival", IF(ISNUMBER(SEARCH("Days",A514)),"Endurance","Other"))))))))</f>
        <v>Other</v>
      </c>
    </row>
    <row r="515" spans="1:15" hidden="1" x14ac:dyDescent="0.3">
      <c r="A515" t="s">
        <v>543</v>
      </c>
      <c r="B515" s="2">
        <v>42677</v>
      </c>
      <c r="C515" s="3">
        <v>13459378</v>
      </c>
      <c r="D515" s="4">
        <v>352607</v>
      </c>
      <c r="E515" s="4">
        <v>7766</v>
      </c>
      <c r="F515">
        <f t="shared" si="80"/>
        <v>2016</v>
      </c>
      <c r="G515" t="str">
        <f t="shared" si="81"/>
        <v>November</v>
      </c>
      <c r="H515" t="str">
        <f t="shared" si="82"/>
        <v>Thursday</v>
      </c>
      <c r="I515">
        <f t="shared" si="83"/>
        <v>2.6774862850274359</v>
      </c>
      <c r="J515">
        <f t="shared" si="84"/>
        <v>26.197867390305852</v>
      </c>
      <c r="K515">
        <f t="shared" si="85"/>
        <v>0.57699545996850676</v>
      </c>
      <c r="L515">
        <f t="shared" si="86"/>
        <v>0.98006033974618822</v>
      </c>
      <c r="M515">
        <f t="shared" si="87"/>
        <v>0.22900207396195704</v>
      </c>
      <c r="N515">
        <f t="shared" si="88"/>
        <v>33</v>
      </c>
      <c r="O515" t="str">
        <f t="shared" si="89"/>
        <v>Money</v>
      </c>
    </row>
    <row r="516" spans="1:15" hidden="1" x14ac:dyDescent="0.3">
      <c r="A516" t="s">
        <v>479</v>
      </c>
      <c r="B516" s="2">
        <v>43192</v>
      </c>
      <c r="C516" s="3">
        <v>13424822</v>
      </c>
      <c r="D516" s="4">
        <v>341237</v>
      </c>
      <c r="E516" s="4">
        <v>24029</v>
      </c>
      <c r="F516">
        <f t="shared" si="80"/>
        <v>2018</v>
      </c>
      <c r="G516" t="str">
        <f t="shared" si="81"/>
        <v>April</v>
      </c>
      <c r="H516" t="str">
        <f t="shared" si="82"/>
        <v>Monday</v>
      </c>
      <c r="I516">
        <f t="shared" si="83"/>
        <v>2.7208256467013121</v>
      </c>
      <c r="J516">
        <f t="shared" si="84"/>
        <v>25.418363088910976</v>
      </c>
      <c r="K516">
        <f t="shared" si="85"/>
        <v>1.7898933781021453</v>
      </c>
      <c r="L516">
        <f t="shared" si="86"/>
        <v>0.98021743008143758</v>
      </c>
      <c r="M516">
        <f t="shared" si="87"/>
        <v>0.22874221201111256</v>
      </c>
      <c r="N516">
        <f t="shared" si="88"/>
        <v>50</v>
      </c>
      <c r="O516" t="str">
        <f t="shared" si="89"/>
        <v>Other</v>
      </c>
    </row>
    <row r="517" spans="1:15" hidden="1" x14ac:dyDescent="0.3">
      <c r="A517" t="s">
        <v>923</v>
      </c>
      <c r="B517" s="2">
        <v>41524</v>
      </c>
      <c r="C517" s="3">
        <v>13394140</v>
      </c>
      <c r="D517" s="4">
        <v>1169635</v>
      </c>
      <c r="E517" s="4">
        <v>71504</v>
      </c>
      <c r="F517">
        <f t="shared" si="80"/>
        <v>2013</v>
      </c>
      <c r="G517" t="str">
        <f t="shared" si="81"/>
        <v>September</v>
      </c>
      <c r="H517" t="str">
        <f t="shared" si="82"/>
        <v>Saturday</v>
      </c>
      <c r="I517">
        <f t="shared" si="83"/>
        <v>9.2662836135802671</v>
      </c>
      <c r="J517">
        <f t="shared" si="84"/>
        <v>87.324382155181297</v>
      </c>
      <c r="K517">
        <f t="shared" si="85"/>
        <v>5.3384539806213764</v>
      </c>
      <c r="L517">
        <f t="shared" si="86"/>
        <v>0.98035641962709075</v>
      </c>
      <c r="M517">
        <f t="shared" si="87"/>
        <v>0.2304189482426956</v>
      </c>
      <c r="N517">
        <f t="shared" si="88"/>
        <v>41</v>
      </c>
      <c r="O517" t="str">
        <f t="shared" si="89"/>
        <v>Other</v>
      </c>
    </row>
    <row r="518" spans="1:15" hidden="1" x14ac:dyDescent="0.3">
      <c r="A518" t="s">
        <v>536</v>
      </c>
      <c r="B518" s="2">
        <v>42713</v>
      </c>
      <c r="C518" s="3">
        <v>11907923</v>
      </c>
      <c r="D518" s="4">
        <v>438881</v>
      </c>
      <c r="E518" s="4">
        <v>41094</v>
      </c>
      <c r="F518">
        <f t="shared" si="80"/>
        <v>2016</v>
      </c>
      <c r="G518" t="str">
        <f t="shared" si="81"/>
        <v>December</v>
      </c>
      <c r="H518" t="str">
        <f t="shared" si="82"/>
        <v>Friday</v>
      </c>
      <c r="I518">
        <f t="shared" si="83"/>
        <v>4.0307197149326548</v>
      </c>
      <c r="J518">
        <f t="shared" si="84"/>
        <v>36.856217494856153</v>
      </c>
      <c r="K518">
        <f t="shared" si="85"/>
        <v>3.4509796544703892</v>
      </c>
      <c r="L518">
        <f t="shared" si="86"/>
        <v>0.98538112510956866</v>
      </c>
      <c r="M518">
        <f t="shared" si="87"/>
        <v>0.27377203337657641</v>
      </c>
      <c r="N518">
        <f t="shared" si="88"/>
        <v>23</v>
      </c>
      <c r="O518" t="str">
        <f t="shared" si="89"/>
        <v>Other</v>
      </c>
    </row>
    <row r="519" spans="1:15" hidden="1" x14ac:dyDescent="0.3">
      <c r="A519" t="s">
        <v>517</v>
      </c>
      <c r="B519" s="2">
        <v>42901</v>
      </c>
      <c r="C519" s="3">
        <v>11419949</v>
      </c>
      <c r="D519" s="4">
        <v>565448</v>
      </c>
      <c r="E519" s="4">
        <v>33666</v>
      </c>
      <c r="F519">
        <f t="shared" si="80"/>
        <v>2017</v>
      </c>
      <c r="G519" t="str">
        <f t="shared" si="81"/>
        <v>June</v>
      </c>
      <c r="H519" t="str">
        <f t="shared" si="82"/>
        <v>Thursday</v>
      </c>
      <c r="I519">
        <f t="shared" si="83"/>
        <v>5.2462055653663606</v>
      </c>
      <c r="J519">
        <f t="shared" si="84"/>
        <v>49.514056498851268</v>
      </c>
      <c r="K519">
        <f t="shared" si="85"/>
        <v>2.9479991548123374</v>
      </c>
      <c r="L519">
        <f t="shared" si="86"/>
        <v>0.98579919336369426</v>
      </c>
      <c r="M519">
        <f t="shared" si="87"/>
        <v>0.29398671553850891</v>
      </c>
      <c r="N519">
        <f t="shared" si="88"/>
        <v>36</v>
      </c>
      <c r="O519" t="str">
        <f t="shared" si="89"/>
        <v>Money</v>
      </c>
    </row>
    <row r="520" spans="1:15" hidden="1" x14ac:dyDescent="0.3">
      <c r="A520" t="s">
        <v>486</v>
      </c>
      <c r="B520" s="2">
        <v>43162</v>
      </c>
      <c r="C520" s="3">
        <v>11395057</v>
      </c>
      <c r="D520" s="4">
        <v>273307</v>
      </c>
      <c r="E520" s="4">
        <v>15595</v>
      </c>
      <c r="F520">
        <f t="shared" si="80"/>
        <v>2018</v>
      </c>
      <c r="G520" t="str">
        <f t="shared" si="81"/>
        <v>March</v>
      </c>
      <c r="H520" t="str">
        <f t="shared" si="82"/>
        <v>Saturday</v>
      </c>
      <c r="I520">
        <f t="shared" si="83"/>
        <v>2.5353273792311879</v>
      </c>
      <c r="J520">
        <f t="shared" si="84"/>
        <v>23.984697926478123</v>
      </c>
      <c r="K520">
        <f t="shared" si="85"/>
        <v>1.3685758658337557</v>
      </c>
      <c r="L520">
        <f t="shared" si="86"/>
        <v>0.98669832677897951</v>
      </c>
      <c r="M520">
        <f t="shared" si="87"/>
        <v>0.31042744300258368</v>
      </c>
      <c r="N520">
        <f t="shared" si="88"/>
        <v>50</v>
      </c>
      <c r="O520" t="str">
        <f t="shared" si="89"/>
        <v>Money</v>
      </c>
    </row>
    <row r="521" spans="1:15" hidden="1" x14ac:dyDescent="0.3">
      <c r="A521" t="s">
        <v>464</v>
      </c>
      <c r="B521" s="2">
        <v>43259</v>
      </c>
      <c r="C521" s="3">
        <v>11375154</v>
      </c>
      <c r="D521" s="4">
        <v>292205</v>
      </c>
      <c r="E521" s="4">
        <v>18907</v>
      </c>
      <c r="F521">
        <f t="shared" si="80"/>
        <v>2018</v>
      </c>
      <c r="G521" t="str">
        <f t="shared" si="81"/>
        <v>June</v>
      </c>
      <c r="H521" t="str">
        <f t="shared" si="82"/>
        <v>Friday</v>
      </c>
      <c r="I521">
        <f t="shared" si="83"/>
        <v>2.7350135215751803</v>
      </c>
      <c r="J521">
        <f t="shared" si="84"/>
        <v>25.688003872299223</v>
      </c>
      <c r="K521">
        <f t="shared" si="85"/>
        <v>1.6621313434525808</v>
      </c>
      <c r="L521">
        <f t="shared" si="86"/>
        <v>0.98678224926360214</v>
      </c>
      <c r="M521">
        <f t="shared" si="87"/>
        <v>0.31305772287952738</v>
      </c>
      <c r="N521">
        <f t="shared" si="88"/>
        <v>49</v>
      </c>
      <c r="O521" t="str">
        <f t="shared" si="89"/>
        <v>Other</v>
      </c>
    </row>
    <row r="522" spans="1:15" hidden="1" x14ac:dyDescent="0.3">
      <c r="A522" t="s">
        <v>540</v>
      </c>
      <c r="B522" s="2">
        <v>42699</v>
      </c>
      <c r="C522" s="3">
        <v>11028616</v>
      </c>
      <c r="D522" s="4">
        <v>215572</v>
      </c>
      <c r="E522" s="4">
        <v>11781</v>
      </c>
      <c r="F522">
        <f t="shared" si="80"/>
        <v>2016</v>
      </c>
      <c r="G522" t="str">
        <f t="shared" si="81"/>
        <v>November</v>
      </c>
      <c r="H522" t="str">
        <f t="shared" si="82"/>
        <v>Friday</v>
      </c>
      <c r="I522">
        <f t="shared" si="83"/>
        <v>2.0614826012620258</v>
      </c>
      <c r="J522">
        <f t="shared" si="84"/>
        <v>19.546604941182103</v>
      </c>
      <c r="K522">
        <f t="shared" si="85"/>
        <v>1.0682210714381568</v>
      </c>
      <c r="L522">
        <f t="shared" si="86"/>
        <v>0.98689382486414523</v>
      </c>
      <c r="M522">
        <f t="shared" si="87"/>
        <v>0.31784259705124729</v>
      </c>
      <c r="N522">
        <f t="shared" si="88"/>
        <v>95</v>
      </c>
      <c r="O522" t="str">
        <f t="shared" si="89"/>
        <v>Other</v>
      </c>
    </row>
    <row r="523" spans="1:15" x14ac:dyDescent="0.3">
      <c r="A523" t="s">
        <v>18</v>
      </c>
      <c r="B523" s="2">
        <v>46147</v>
      </c>
      <c r="C523" s="3">
        <v>574352236</v>
      </c>
      <c r="D523" s="4">
        <v>5439422</v>
      </c>
      <c r="E523" s="4">
        <v>16883</v>
      </c>
      <c r="F523">
        <f t="shared" si="80"/>
        <v>2026</v>
      </c>
      <c r="G523" t="str">
        <f t="shared" si="81"/>
        <v>May</v>
      </c>
      <c r="H523" t="str">
        <f t="shared" si="82"/>
        <v>Tuesday</v>
      </c>
      <c r="I523">
        <f t="shared" si="83"/>
        <v>0.94999281938897162</v>
      </c>
      <c r="J523">
        <f t="shared" si="84"/>
        <v>9.4705333401017686</v>
      </c>
      <c r="K523">
        <f t="shared" si="85"/>
        <v>2.9394853787946252E-2</v>
      </c>
      <c r="L523">
        <f t="shared" si="86"/>
        <v>0.98692234746489871</v>
      </c>
      <c r="M523">
        <f t="shared" si="87"/>
        <v>0.31913716928176006</v>
      </c>
      <c r="N523">
        <f t="shared" si="88"/>
        <v>16</v>
      </c>
      <c r="O523" t="str">
        <f t="shared" si="89"/>
        <v>Other</v>
      </c>
    </row>
    <row r="524" spans="1:15" hidden="1" x14ac:dyDescent="0.3">
      <c r="A524" t="s">
        <v>511</v>
      </c>
      <c r="B524" s="2">
        <v>42962</v>
      </c>
      <c r="C524" s="3">
        <v>10887002</v>
      </c>
      <c r="D524" s="4">
        <v>226309</v>
      </c>
      <c r="E524" s="4">
        <v>17577</v>
      </c>
      <c r="F524">
        <f t="shared" si="80"/>
        <v>2017</v>
      </c>
      <c r="G524" t="str">
        <f t="shared" si="81"/>
        <v>August</v>
      </c>
      <c r="H524" t="str">
        <f t="shared" si="82"/>
        <v>Tuesday</v>
      </c>
      <c r="I524">
        <f t="shared" si="83"/>
        <v>2.2401575750606093</v>
      </c>
      <c r="J524">
        <f t="shared" si="84"/>
        <v>20.787081696136365</v>
      </c>
      <c r="K524">
        <f t="shared" si="85"/>
        <v>1.6144940544697244</v>
      </c>
      <c r="L524">
        <f t="shared" si="86"/>
        <v>0.99097129781698423</v>
      </c>
      <c r="M524">
        <f t="shared" si="87"/>
        <v>0.26656836503838521</v>
      </c>
      <c r="N524">
        <f t="shared" si="88"/>
        <v>43</v>
      </c>
      <c r="O524" t="str">
        <f t="shared" si="89"/>
        <v>Money</v>
      </c>
    </row>
    <row r="525" spans="1:15" hidden="1" x14ac:dyDescent="0.3">
      <c r="A525" t="s">
        <v>545</v>
      </c>
      <c r="B525" s="2">
        <v>42659</v>
      </c>
      <c r="C525" s="3">
        <v>9907166</v>
      </c>
      <c r="D525" s="4">
        <v>575329</v>
      </c>
      <c r="E525" s="4">
        <v>17612</v>
      </c>
      <c r="F525">
        <f t="shared" si="80"/>
        <v>2016</v>
      </c>
      <c r="G525" t="str">
        <f t="shared" si="81"/>
        <v>October</v>
      </c>
      <c r="H525" t="str">
        <f t="shared" si="82"/>
        <v>Sunday</v>
      </c>
      <c r="I525">
        <f t="shared" si="83"/>
        <v>5.984970878654905</v>
      </c>
      <c r="J525">
        <f t="shared" si="84"/>
        <v>58.072005657319153</v>
      </c>
      <c r="K525">
        <f t="shared" si="85"/>
        <v>1.7777031292298926</v>
      </c>
      <c r="L525">
        <f t="shared" si="86"/>
        <v>0.99101377167088833</v>
      </c>
      <c r="M525">
        <f t="shared" si="87"/>
        <v>0.26929953340678936</v>
      </c>
      <c r="N525">
        <f t="shared" si="88"/>
        <v>23</v>
      </c>
      <c r="O525" t="str">
        <f t="shared" si="89"/>
        <v>Other</v>
      </c>
    </row>
    <row r="526" spans="1:15" hidden="1" x14ac:dyDescent="0.3">
      <c r="A526" t="s">
        <v>493</v>
      </c>
      <c r="B526" s="2">
        <v>43133</v>
      </c>
      <c r="C526" s="3">
        <v>9228477</v>
      </c>
      <c r="D526" s="4">
        <v>227700</v>
      </c>
      <c r="E526" s="4">
        <v>10840</v>
      </c>
      <c r="F526">
        <f t="shared" si="80"/>
        <v>2018</v>
      </c>
      <c r="G526" t="str">
        <f t="shared" si="81"/>
        <v>February</v>
      </c>
      <c r="H526" t="str">
        <f t="shared" si="82"/>
        <v>Friday</v>
      </c>
      <c r="I526">
        <f t="shared" si="83"/>
        <v>2.5848252100536198</v>
      </c>
      <c r="J526">
        <f t="shared" si="84"/>
        <v>24.673627078444255</v>
      </c>
      <c r="K526">
        <f t="shared" si="85"/>
        <v>1.1746250220919443</v>
      </c>
      <c r="L526">
        <f t="shared" si="86"/>
        <v>0.99243589329187387</v>
      </c>
      <c r="M526">
        <f t="shared" si="87"/>
        <v>0.27258092135258566</v>
      </c>
      <c r="N526">
        <f t="shared" si="88"/>
        <v>40</v>
      </c>
      <c r="O526" t="str">
        <f t="shared" si="89"/>
        <v>Other</v>
      </c>
    </row>
    <row r="527" spans="1:15" hidden="1" x14ac:dyDescent="0.3">
      <c r="A527" t="s">
        <v>488</v>
      </c>
      <c r="B527" s="2">
        <v>43153</v>
      </c>
      <c r="C527" s="3">
        <v>8882440</v>
      </c>
      <c r="D527" s="4">
        <v>235189</v>
      </c>
      <c r="E527" s="4">
        <v>21739</v>
      </c>
      <c r="F527">
        <f t="shared" si="80"/>
        <v>2018</v>
      </c>
      <c r="G527" t="str">
        <f t="shared" si="81"/>
        <v>February</v>
      </c>
      <c r="H527" t="str">
        <f t="shared" si="82"/>
        <v>Thursday</v>
      </c>
      <c r="I527">
        <f t="shared" si="83"/>
        <v>2.8925385367083818</v>
      </c>
      <c r="J527">
        <f t="shared" si="84"/>
        <v>26.477972268881071</v>
      </c>
      <c r="K527">
        <f t="shared" si="85"/>
        <v>2.447413098202746</v>
      </c>
      <c r="L527">
        <f t="shared" si="86"/>
        <v>0.99250986294566756</v>
      </c>
      <c r="M527">
        <f t="shared" si="87"/>
        <v>0.27325593421285682</v>
      </c>
      <c r="N527">
        <f t="shared" si="88"/>
        <v>53</v>
      </c>
      <c r="O527" t="str">
        <f t="shared" si="89"/>
        <v>Other</v>
      </c>
    </row>
    <row r="528" spans="1:15" x14ac:dyDescent="0.3">
      <c r="A528" t="s">
        <v>31</v>
      </c>
      <c r="B528" s="2">
        <v>46115</v>
      </c>
      <c r="C528" s="3">
        <v>675992847</v>
      </c>
      <c r="D528" s="4">
        <v>8112213</v>
      </c>
      <c r="E528" s="4">
        <v>19719</v>
      </c>
      <c r="F528">
        <f t="shared" si="80"/>
        <v>2026</v>
      </c>
      <c r="G528" t="str">
        <f t="shared" si="81"/>
        <v>April</v>
      </c>
      <c r="H528" t="str">
        <f t="shared" si="82"/>
        <v>Friday</v>
      </c>
      <c r="I528">
        <f t="shared" si="83"/>
        <v>1.2029612496772468</v>
      </c>
      <c r="J528">
        <f t="shared" si="84"/>
        <v>12.000442069766457</v>
      </c>
      <c r="K528">
        <f t="shared" si="85"/>
        <v>2.9170427006012387E-2</v>
      </c>
      <c r="L528">
        <f t="shared" si="86"/>
        <v>0.9926028595202635</v>
      </c>
      <c r="M528">
        <f t="shared" si="87"/>
        <v>0.28042694990960154</v>
      </c>
      <c r="N528">
        <f t="shared" si="88"/>
        <v>29</v>
      </c>
      <c r="O528" t="str">
        <f t="shared" si="89"/>
        <v>Other</v>
      </c>
    </row>
    <row r="529" spans="1:15" hidden="1" x14ac:dyDescent="0.3">
      <c r="A529" t="s">
        <v>535</v>
      </c>
      <c r="B529" s="2">
        <v>42722</v>
      </c>
      <c r="C529" s="3">
        <v>8869396</v>
      </c>
      <c r="D529" s="4">
        <v>713680</v>
      </c>
      <c r="E529" s="4">
        <v>12994</v>
      </c>
      <c r="F529">
        <f t="shared" si="80"/>
        <v>2016</v>
      </c>
      <c r="G529" t="str">
        <f t="shared" si="81"/>
        <v>December</v>
      </c>
      <c r="H529" t="str">
        <f t="shared" si="82"/>
        <v>Sunday</v>
      </c>
      <c r="I529">
        <f t="shared" si="83"/>
        <v>8.1930494477865246</v>
      </c>
      <c r="J529">
        <f t="shared" si="84"/>
        <v>80.46545672332141</v>
      </c>
      <c r="K529">
        <f t="shared" si="85"/>
        <v>1.4650377545438269</v>
      </c>
      <c r="L529">
        <f t="shared" si="86"/>
        <v>0.89162078904479003</v>
      </c>
      <c r="M529">
        <f t="shared" si="87"/>
        <v>0.89306047898364949</v>
      </c>
      <c r="N529">
        <f t="shared" si="88"/>
        <v>32</v>
      </c>
      <c r="O529" t="str">
        <f t="shared" si="89"/>
        <v>Other</v>
      </c>
    </row>
    <row r="530" spans="1:15" hidden="1" x14ac:dyDescent="0.3">
      <c r="A530" t="s">
        <v>674</v>
      </c>
      <c r="B530" s="2">
        <v>42252</v>
      </c>
      <c r="C530" s="3">
        <v>8838373</v>
      </c>
      <c r="D530" s="4">
        <v>391462</v>
      </c>
      <c r="E530" s="4">
        <v>18779</v>
      </c>
      <c r="F530">
        <f t="shared" si="80"/>
        <v>2015</v>
      </c>
      <c r="G530" t="str">
        <f t="shared" si="81"/>
        <v>September</v>
      </c>
      <c r="H530" t="str">
        <f t="shared" si="82"/>
        <v>Saturday</v>
      </c>
      <c r="I530">
        <f t="shared" si="83"/>
        <v>4.6415895776292766</v>
      </c>
      <c r="J530">
        <f t="shared" si="84"/>
        <v>44.291183456502687</v>
      </c>
      <c r="K530">
        <f t="shared" si="85"/>
        <v>2.124712319790079</v>
      </c>
      <c r="L530">
        <f t="shared" si="86"/>
        <v>0.91056694996370879</v>
      </c>
      <c r="M530">
        <f t="shared" si="87"/>
        <v>0.89710663875231433</v>
      </c>
      <c r="N530">
        <f t="shared" si="88"/>
        <v>22</v>
      </c>
      <c r="O530" t="str">
        <f t="shared" si="89"/>
        <v>Other</v>
      </c>
    </row>
    <row r="531" spans="1:15" hidden="1" x14ac:dyDescent="0.3">
      <c r="A531" t="s">
        <v>485</v>
      </c>
      <c r="B531" s="2">
        <v>43167</v>
      </c>
      <c r="C531" s="3">
        <v>7842577</v>
      </c>
      <c r="D531" s="4">
        <v>248127</v>
      </c>
      <c r="E531" s="4">
        <v>16991</v>
      </c>
      <c r="F531">
        <f t="shared" si="80"/>
        <v>2018</v>
      </c>
      <c r="G531" t="str">
        <f t="shared" si="81"/>
        <v>March</v>
      </c>
      <c r="H531" t="str">
        <f t="shared" si="82"/>
        <v>Thursday</v>
      </c>
      <c r="I531">
        <f t="shared" si="83"/>
        <v>3.3804959772788967</v>
      </c>
      <c r="J531">
        <f t="shared" si="84"/>
        <v>31.638452513759191</v>
      </c>
      <c r="K531">
        <f t="shared" si="85"/>
        <v>2.1665072590297805</v>
      </c>
      <c r="L531">
        <f t="shared" si="86"/>
        <v>0.90063591816390731</v>
      </c>
      <c r="M531">
        <f t="shared" si="87"/>
        <v>0.89100254625527398</v>
      </c>
      <c r="N531">
        <f t="shared" si="88"/>
        <v>30</v>
      </c>
      <c r="O531" t="str">
        <f t="shared" si="89"/>
        <v>Money</v>
      </c>
    </row>
    <row r="532" spans="1:15" hidden="1" x14ac:dyDescent="0.3">
      <c r="A532" t="s">
        <v>528</v>
      </c>
      <c r="B532" s="2">
        <v>42788</v>
      </c>
      <c r="C532" s="3">
        <v>7742146</v>
      </c>
      <c r="D532" s="4">
        <v>321688</v>
      </c>
      <c r="E532" s="4">
        <v>24567</v>
      </c>
      <c r="F532">
        <f t="shared" si="80"/>
        <v>2017</v>
      </c>
      <c r="G532" t="str">
        <f t="shared" si="81"/>
        <v>February</v>
      </c>
      <c r="H532" t="str">
        <f t="shared" si="82"/>
        <v>Wednesday</v>
      </c>
      <c r="I532">
        <f t="shared" si="83"/>
        <v>4.4723388063206251</v>
      </c>
      <c r="J532">
        <f t="shared" si="84"/>
        <v>41.550236846476416</v>
      </c>
      <c r="K532">
        <f t="shared" si="85"/>
        <v>3.1731512167298321</v>
      </c>
      <c r="L532">
        <f t="shared" si="86"/>
        <v>0.89560770223056774</v>
      </c>
      <c r="M532">
        <f t="shared" si="87"/>
        <v>0.88539582642226533</v>
      </c>
      <c r="N532">
        <f t="shared" si="88"/>
        <v>100</v>
      </c>
      <c r="O532" t="str">
        <f t="shared" si="89"/>
        <v>Other</v>
      </c>
    </row>
    <row r="533" spans="1:15" hidden="1" x14ac:dyDescent="0.3">
      <c r="A533" t="s">
        <v>635</v>
      </c>
      <c r="B533" s="2">
        <v>42337</v>
      </c>
      <c r="C533" s="3">
        <v>7620693</v>
      </c>
      <c r="D533" s="4">
        <v>347607</v>
      </c>
      <c r="E533" s="4">
        <v>24365</v>
      </c>
      <c r="F533">
        <f t="shared" si="80"/>
        <v>2015</v>
      </c>
      <c r="G533" t="str">
        <f t="shared" si="81"/>
        <v>November</v>
      </c>
      <c r="H533" t="str">
        <f t="shared" si="82"/>
        <v>Sunday</v>
      </c>
      <c r="I533">
        <f t="shared" si="83"/>
        <v>4.8810784006126475</v>
      </c>
      <c r="J533">
        <f t="shared" si="84"/>
        <v>45.6135682148592</v>
      </c>
      <c r="K533">
        <f t="shared" si="85"/>
        <v>3.1972157912672774</v>
      </c>
      <c r="L533">
        <f t="shared" si="86"/>
        <v>0.88526181049469688</v>
      </c>
      <c r="M533">
        <f t="shared" si="87"/>
        <v>0.87373489379747182</v>
      </c>
      <c r="N533">
        <f t="shared" si="88"/>
        <v>38</v>
      </c>
      <c r="O533" t="str">
        <f t="shared" si="89"/>
        <v>Money</v>
      </c>
    </row>
    <row r="534" spans="1:15" hidden="1" x14ac:dyDescent="0.3">
      <c r="A534" t="s">
        <v>526</v>
      </c>
      <c r="B534" s="2">
        <v>42802</v>
      </c>
      <c r="C534" s="3">
        <v>7424033</v>
      </c>
      <c r="D534" s="4">
        <v>320988</v>
      </c>
      <c r="E534" s="4">
        <v>14878</v>
      </c>
      <c r="F534">
        <f t="shared" si="80"/>
        <v>2017</v>
      </c>
      <c r="G534" t="str">
        <f t="shared" si="81"/>
        <v>March</v>
      </c>
      <c r="H534" t="str">
        <f t="shared" si="82"/>
        <v>Wednesday</v>
      </c>
      <c r="I534">
        <f t="shared" si="83"/>
        <v>4.5240370025294876</v>
      </c>
      <c r="J534">
        <f t="shared" si="84"/>
        <v>43.236337985027816</v>
      </c>
      <c r="K534">
        <f t="shared" si="85"/>
        <v>2.0040320402670626</v>
      </c>
      <c r="L534">
        <f t="shared" si="86"/>
        <v>0.87270871704081432</v>
      </c>
      <c r="M534">
        <f t="shared" si="87"/>
        <v>0.85994011444667018</v>
      </c>
      <c r="N534">
        <f t="shared" si="88"/>
        <v>17</v>
      </c>
      <c r="O534" t="str">
        <f t="shared" si="89"/>
        <v>Other</v>
      </c>
    </row>
    <row r="535" spans="1:15" hidden="1" x14ac:dyDescent="0.3">
      <c r="A535" t="s">
        <v>500</v>
      </c>
      <c r="B535" s="2">
        <v>43077</v>
      </c>
      <c r="C535" s="3">
        <v>7411463</v>
      </c>
      <c r="D535" s="4">
        <v>201070</v>
      </c>
      <c r="E535" s="4">
        <v>10581</v>
      </c>
      <c r="F535">
        <f t="shared" si="80"/>
        <v>2017</v>
      </c>
      <c r="G535" t="str">
        <f t="shared" si="81"/>
        <v>December</v>
      </c>
      <c r="H535" t="str">
        <f t="shared" si="82"/>
        <v>Friday</v>
      </c>
      <c r="I535">
        <f t="shared" si="83"/>
        <v>2.8557249762968526</v>
      </c>
      <c r="J535">
        <f t="shared" si="84"/>
        <v>27.129596410317369</v>
      </c>
      <c r="K535">
        <f t="shared" si="85"/>
        <v>1.4276533526511566</v>
      </c>
      <c r="L535">
        <f t="shared" si="86"/>
        <v>0.85796437913116919</v>
      </c>
      <c r="M535">
        <f t="shared" si="87"/>
        <v>0.85238043723255119</v>
      </c>
      <c r="N535">
        <f t="shared" si="88"/>
        <v>27</v>
      </c>
      <c r="O535" t="str">
        <f t="shared" si="89"/>
        <v>Other</v>
      </c>
    </row>
    <row r="536" spans="1:15" hidden="1" x14ac:dyDescent="0.3">
      <c r="A536" t="s">
        <v>981</v>
      </c>
      <c r="B536" s="2">
        <v>40977</v>
      </c>
      <c r="C536" s="3">
        <v>6752770</v>
      </c>
      <c r="D536" s="4">
        <v>0</v>
      </c>
      <c r="E536" s="4">
        <v>10522</v>
      </c>
      <c r="F536">
        <f t="shared" si="80"/>
        <v>2012</v>
      </c>
      <c r="G536" t="str">
        <f t="shared" si="81"/>
        <v>March</v>
      </c>
      <c r="H536" t="str">
        <f t="shared" si="82"/>
        <v>Friday</v>
      </c>
      <c r="I536">
        <f t="shared" si="83"/>
        <v>0.15581753858046402</v>
      </c>
      <c r="J536">
        <f t="shared" si="84"/>
        <v>0</v>
      </c>
      <c r="K536">
        <f t="shared" si="85"/>
        <v>1.5581753858046401</v>
      </c>
      <c r="L536">
        <f t="shared" si="86"/>
        <v>0.85213282253895006</v>
      </c>
      <c r="M536">
        <f t="shared" si="87"/>
        <v>0.85753775836143487</v>
      </c>
      <c r="N536">
        <f t="shared" si="88"/>
        <v>51</v>
      </c>
      <c r="O536" t="str">
        <f t="shared" si="89"/>
        <v>Other</v>
      </c>
    </row>
    <row r="537" spans="1:15" hidden="1" x14ac:dyDescent="0.3">
      <c r="A537" t="s">
        <v>513</v>
      </c>
      <c r="B537" s="2">
        <v>42914</v>
      </c>
      <c r="C537" s="3">
        <v>6684514</v>
      </c>
      <c r="D537" s="4">
        <v>229215</v>
      </c>
      <c r="E537" s="4">
        <v>18780</v>
      </c>
      <c r="F537">
        <f t="shared" si="80"/>
        <v>2017</v>
      </c>
      <c r="G537" t="str">
        <f t="shared" si="81"/>
        <v>June</v>
      </c>
      <c r="H537" t="str">
        <f t="shared" si="82"/>
        <v>Wednesday</v>
      </c>
      <c r="I537">
        <f t="shared" si="83"/>
        <v>3.7099929777991343</v>
      </c>
      <c r="J537">
        <f t="shared" si="84"/>
        <v>34.290451033538119</v>
      </c>
      <c r="K537">
        <f t="shared" si="85"/>
        <v>2.8094787444532243</v>
      </c>
      <c r="L537">
        <f t="shared" si="86"/>
        <v>0.90483016975411912</v>
      </c>
      <c r="M537">
        <f t="shared" si="87"/>
        <v>0.86100235091022803</v>
      </c>
      <c r="N537">
        <f t="shared" si="88"/>
        <v>45</v>
      </c>
      <c r="O537" t="str">
        <f t="shared" si="89"/>
        <v>Money</v>
      </c>
    </row>
    <row r="538" spans="1:15" hidden="1" x14ac:dyDescent="0.3">
      <c r="A538" t="s">
        <v>507</v>
      </c>
      <c r="B538" s="2">
        <v>42975</v>
      </c>
      <c r="C538" s="3">
        <v>6141828</v>
      </c>
      <c r="D538" s="4">
        <v>229294</v>
      </c>
      <c r="E538" s="4">
        <v>11037</v>
      </c>
      <c r="F538">
        <f t="shared" si="80"/>
        <v>2017</v>
      </c>
      <c r="G538" t="str">
        <f t="shared" si="81"/>
        <v>August</v>
      </c>
      <c r="H538" t="str">
        <f t="shared" si="82"/>
        <v>Monday</v>
      </c>
      <c r="I538">
        <f t="shared" si="83"/>
        <v>3.9130206837443184</v>
      </c>
      <c r="J538">
        <f t="shared" si="84"/>
        <v>37.333184843339801</v>
      </c>
      <c r="K538">
        <f t="shared" si="85"/>
        <v>1.7970219941033843</v>
      </c>
      <c r="L538">
        <f t="shared" si="86"/>
        <v>0.89793488700287305</v>
      </c>
      <c r="M538">
        <f t="shared" si="87"/>
        <v>0.84501800022108986</v>
      </c>
      <c r="N538">
        <f t="shared" si="88"/>
        <v>35</v>
      </c>
      <c r="O538" t="str">
        <f t="shared" si="89"/>
        <v>Other</v>
      </c>
    </row>
    <row r="539" spans="1:15" hidden="1" x14ac:dyDescent="0.3">
      <c r="A539" t="s">
        <v>504</v>
      </c>
      <c r="B539" s="2">
        <v>43034</v>
      </c>
      <c r="C539" s="3">
        <v>5975669</v>
      </c>
      <c r="D539" s="4">
        <v>204159</v>
      </c>
      <c r="E539" s="4">
        <v>10034</v>
      </c>
      <c r="F539">
        <f t="shared" si="80"/>
        <v>2017</v>
      </c>
      <c r="G539" t="str">
        <f t="shared" si="81"/>
        <v>October</v>
      </c>
      <c r="H539" t="str">
        <f t="shared" si="82"/>
        <v>Thursday</v>
      </c>
      <c r="I539">
        <f t="shared" si="83"/>
        <v>3.5844187487626913</v>
      </c>
      <c r="J539">
        <f t="shared" si="84"/>
        <v>34.165044951452295</v>
      </c>
      <c r="K539">
        <f t="shared" si="85"/>
        <v>1.6791425361746108</v>
      </c>
      <c r="L539">
        <f t="shared" si="86"/>
        <v>0.88909215745842207</v>
      </c>
      <c r="M539">
        <f t="shared" si="87"/>
        <v>0.84391869230149652</v>
      </c>
      <c r="N539">
        <f t="shared" si="88"/>
        <v>16</v>
      </c>
      <c r="O539" t="str">
        <f t="shared" si="89"/>
        <v>Other</v>
      </c>
    </row>
    <row r="540" spans="1:15" hidden="1" x14ac:dyDescent="0.3">
      <c r="A540" t="s">
        <v>533</v>
      </c>
      <c r="B540" s="2">
        <v>42727</v>
      </c>
      <c r="C540" s="3">
        <v>4989659</v>
      </c>
      <c r="D540" s="4">
        <v>89510</v>
      </c>
      <c r="E540" s="4">
        <v>14920</v>
      </c>
      <c r="F540">
        <f t="shared" si="80"/>
        <v>2016</v>
      </c>
      <c r="G540" t="str">
        <f t="shared" si="81"/>
        <v>December</v>
      </c>
      <c r="H540" t="str">
        <f t="shared" si="82"/>
        <v>Friday</v>
      </c>
      <c r="I540">
        <f t="shared" si="83"/>
        <v>2.0929285949200134</v>
      </c>
      <c r="J540">
        <f t="shared" si="84"/>
        <v>17.939101650032597</v>
      </c>
      <c r="K540">
        <f t="shared" si="85"/>
        <v>2.9901842991675385</v>
      </c>
      <c r="L540">
        <f t="shared" si="86"/>
        <v>0.88189652546568087</v>
      </c>
      <c r="M540">
        <f t="shared" si="87"/>
        <v>0.84676725283413878</v>
      </c>
      <c r="N540">
        <f t="shared" si="88"/>
        <v>45</v>
      </c>
      <c r="O540" t="str">
        <f t="shared" si="89"/>
        <v>Other</v>
      </c>
    </row>
    <row r="541" spans="1:15" hidden="1" x14ac:dyDescent="0.3">
      <c r="A541" t="s">
        <v>506</v>
      </c>
      <c r="B541" s="2">
        <v>42977</v>
      </c>
      <c r="C541" s="3">
        <v>4675968</v>
      </c>
      <c r="D541" s="4">
        <v>127748</v>
      </c>
      <c r="E541" s="4">
        <v>7987</v>
      </c>
      <c r="F541">
        <f t="shared" si="80"/>
        <v>2017</v>
      </c>
      <c r="G541" t="str">
        <f t="shared" si="81"/>
        <v>August</v>
      </c>
      <c r="H541" t="str">
        <f t="shared" si="82"/>
        <v>Wednesday</v>
      </c>
      <c r="I541">
        <f t="shared" si="83"/>
        <v>2.9028214051079906</v>
      </c>
      <c r="J541">
        <f t="shared" si="84"/>
        <v>27.320118529468122</v>
      </c>
      <c r="K541">
        <f t="shared" si="85"/>
        <v>1.7080955216117817</v>
      </c>
      <c r="L541">
        <f t="shared" si="86"/>
        <v>0.89416070665886849</v>
      </c>
      <c r="M541">
        <f t="shared" si="87"/>
        <v>0.83420886680175588</v>
      </c>
      <c r="N541">
        <f t="shared" si="88"/>
        <v>28</v>
      </c>
      <c r="O541" t="str">
        <f t="shared" si="89"/>
        <v>Money</v>
      </c>
    </row>
    <row r="542" spans="1:15" hidden="1" x14ac:dyDescent="0.3">
      <c r="A542" t="s">
        <v>525</v>
      </c>
      <c r="B542" s="2">
        <v>42808</v>
      </c>
      <c r="C542" s="3">
        <v>4169209</v>
      </c>
      <c r="D542" s="4">
        <v>96150</v>
      </c>
      <c r="E542" s="4">
        <v>9233</v>
      </c>
      <c r="F542">
        <f t="shared" si="80"/>
        <v>2017</v>
      </c>
      <c r="G542" t="str">
        <f t="shared" si="81"/>
        <v>March</v>
      </c>
      <c r="H542" t="str">
        <f t="shared" si="82"/>
        <v>Tuesday</v>
      </c>
      <c r="I542">
        <f t="shared" si="83"/>
        <v>2.5276497292412063</v>
      </c>
      <c r="J542">
        <f t="shared" si="84"/>
        <v>23.061928533685887</v>
      </c>
      <c r="K542">
        <f t="shared" si="85"/>
        <v>2.2145687587261755</v>
      </c>
      <c r="L542">
        <f t="shared" si="86"/>
        <v>0.89643123672965397</v>
      </c>
      <c r="M542">
        <f t="shared" si="87"/>
        <v>0.83669132652139255</v>
      </c>
      <c r="N542">
        <f t="shared" si="88"/>
        <v>20</v>
      </c>
      <c r="O542" t="str">
        <f t="shared" si="89"/>
        <v>Other</v>
      </c>
    </row>
    <row r="543" spans="1:15" hidden="1" x14ac:dyDescent="0.3">
      <c r="A543" t="s">
        <v>529</v>
      </c>
      <c r="B543" s="2">
        <v>42784</v>
      </c>
      <c r="C543" s="3">
        <v>4145145</v>
      </c>
      <c r="D543" s="4">
        <v>156358</v>
      </c>
      <c r="E543" s="4">
        <v>19162</v>
      </c>
      <c r="F543">
        <f t="shared" si="80"/>
        <v>2017</v>
      </c>
      <c r="G543" t="str">
        <f t="shared" si="81"/>
        <v>February</v>
      </c>
      <c r="H543" t="str">
        <f t="shared" si="82"/>
        <v>Saturday</v>
      </c>
      <c r="I543">
        <f t="shared" si="83"/>
        <v>4.234351271185929</v>
      </c>
      <c r="J543">
        <f t="shared" si="84"/>
        <v>37.72075524499143</v>
      </c>
      <c r="K543">
        <f t="shared" si="85"/>
        <v>4.6227574668678661</v>
      </c>
      <c r="L543">
        <f t="shared" si="86"/>
        <v>0.90276460450006413</v>
      </c>
      <c r="M543">
        <f t="shared" si="87"/>
        <v>0.83332105496754383</v>
      </c>
      <c r="N543">
        <f t="shared" si="88"/>
        <v>35</v>
      </c>
      <c r="O543" t="str">
        <f t="shared" si="89"/>
        <v>Other</v>
      </c>
    </row>
    <row r="544" spans="1:15" hidden="1" x14ac:dyDescent="0.3">
      <c r="A544" t="s">
        <v>542</v>
      </c>
      <c r="B544" s="2">
        <v>42685</v>
      </c>
      <c r="C544" s="3">
        <v>3891564</v>
      </c>
      <c r="D544" s="4">
        <v>225088</v>
      </c>
      <c r="E544" s="4">
        <v>4878</v>
      </c>
      <c r="F544">
        <f t="shared" si="80"/>
        <v>2016</v>
      </c>
      <c r="G544" t="str">
        <f t="shared" si="81"/>
        <v>November</v>
      </c>
      <c r="H544" t="str">
        <f t="shared" si="82"/>
        <v>Friday</v>
      </c>
      <c r="I544">
        <f t="shared" si="83"/>
        <v>5.9093464735515076</v>
      </c>
      <c r="J544">
        <f t="shared" si="84"/>
        <v>57.839984129774045</v>
      </c>
      <c r="K544">
        <f t="shared" si="85"/>
        <v>1.2534806057410337</v>
      </c>
      <c r="L544">
        <f t="shared" si="86"/>
        <v>0.899175617628031</v>
      </c>
      <c r="M544">
        <f t="shared" si="87"/>
        <v>0.82142610475759592</v>
      </c>
      <c r="N544">
        <f t="shared" si="88"/>
        <v>38</v>
      </c>
      <c r="O544" t="str">
        <f t="shared" si="89"/>
        <v>Money</v>
      </c>
    </row>
    <row r="545" spans="1:15" hidden="1" x14ac:dyDescent="0.3">
      <c r="A545" t="s">
        <v>541</v>
      </c>
      <c r="B545" s="2">
        <v>42693</v>
      </c>
      <c r="C545" s="3">
        <v>3820036</v>
      </c>
      <c r="D545" s="4">
        <v>326445</v>
      </c>
      <c r="E545" s="4">
        <v>18071</v>
      </c>
      <c r="F545">
        <f t="shared" si="80"/>
        <v>2016</v>
      </c>
      <c r="G545" t="str">
        <f t="shared" si="81"/>
        <v>November</v>
      </c>
      <c r="H545" t="str">
        <f t="shared" si="82"/>
        <v>Saturday</v>
      </c>
      <c r="I545">
        <f t="shared" si="83"/>
        <v>9.0186584629045381</v>
      </c>
      <c r="J545">
        <f t="shared" si="84"/>
        <v>85.456000938211048</v>
      </c>
      <c r="K545">
        <f t="shared" si="85"/>
        <v>4.7305836908343268</v>
      </c>
      <c r="L545">
        <f t="shared" si="86"/>
        <v>0.89203012324261055</v>
      </c>
      <c r="M545">
        <f t="shared" si="87"/>
        <v>0.83059552852605634</v>
      </c>
      <c r="N545">
        <f t="shared" si="88"/>
        <v>30</v>
      </c>
      <c r="O545" t="str">
        <f t="shared" si="89"/>
        <v>Other</v>
      </c>
    </row>
    <row r="546" spans="1:15" hidden="1" x14ac:dyDescent="0.3">
      <c r="A546" t="s">
        <v>571</v>
      </c>
      <c r="B546" s="2">
        <v>42525</v>
      </c>
      <c r="C546" s="3">
        <v>3790080</v>
      </c>
      <c r="D546" s="4">
        <v>166052</v>
      </c>
      <c r="E546" s="4">
        <v>6903</v>
      </c>
      <c r="F546">
        <f t="shared" si="80"/>
        <v>2016</v>
      </c>
      <c r="G546" t="str">
        <f t="shared" si="81"/>
        <v>June</v>
      </c>
      <c r="H546" t="str">
        <f t="shared" si="82"/>
        <v>Saturday</v>
      </c>
      <c r="I546">
        <f t="shared" si="83"/>
        <v>4.5633601401553525</v>
      </c>
      <c r="J546">
        <f t="shared" si="84"/>
        <v>43.812267814927388</v>
      </c>
      <c r="K546">
        <f t="shared" si="85"/>
        <v>1.82133358662614</v>
      </c>
      <c r="L546">
        <f t="shared" si="86"/>
        <v>0.90556302335371253</v>
      </c>
      <c r="M546">
        <f t="shared" si="87"/>
        <v>0.81973163903562496</v>
      </c>
      <c r="N546">
        <f t="shared" si="88"/>
        <v>41</v>
      </c>
      <c r="O546" t="str">
        <f t="shared" si="89"/>
        <v>Other</v>
      </c>
    </row>
    <row r="547" spans="1:15" hidden="1" x14ac:dyDescent="0.3">
      <c r="A547" t="s">
        <v>559</v>
      </c>
      <c r="B547" s="2">
        <v>42584</v>
      </c>
      <c r="C547" s="3">
        <v>3631816</v>
      </c>
      <c r="D547" s="4">
        <v>120354</v>
      </c>
      <c r="E547" s="4">
        <v>7311</v>
      </c>
      <c r="F547">
        <f t="shared" si="80"/>
        <v>2016</v>
      </c>
      <c r="G547" t="str">
        <f t="shared" si="81"/>
        <v>August</v>
      </c>
      <c r="H547" t="str">
        <f t="shared" si="82"/>
        <v>Tuesday</v>
      </c>
      <c r="I547">
        <f t="shared" si="83"/>
        <v>3.5151835885958977</v>
      </c>
      <c r="J547">
        <f t="shared" si="84"/>
        <v>33.138793374994769</v>
      </c>
      <c r="K547">
        <f t="shared" si="85"/>
        <v>2.0130425109642118</v>
      </c>
      <c r="L547">
        <f t="shared" si="86"/>
        <v>0.89835241913838781</v>
      </c>
      <c r="M547">
        <f t="shared" si="87"/>
        <v>0.81976437182593431</v>
      </c>
      <c r="N547">
        <f t="shared" si="88"/>
        <v>29</v>
      </c>
      <c r="O547" t="str">
        <f t="shared" si="89"/>
        <v>Money</v>
      </c>
    </row>
    <row r="548" spans="1:15" hidden="1" x14ac:dyDescent="0.3">
      <c r="A548" t="s">
        <v>554</v>
      </c>
      <c r="B548" s="2">
        <v>42605</v>
      </c>
      <c r="C548" s="3">
        <v>3378245</v>
      </c>
      <c r="D548" s="4">
        <v>139231</v>
      </c>
      <c r="E548" s="4">
        <v>6764</v>
      </c>
      <c r="F548">
        <f t="shared" si="80"/>
        <v>2016</v>
      </c>
      <c r="G548" t="str">
        <f t="shared" si="81"/>
        <v>August</v>
      </c>
      <c r="H548" t="str">
        <f t="shared" si="82"/>
        <v>Tuesday</v>
      </c>
      <c r="I548">
        <f t="shared" si="83"/>
        <v>4.3216226176609451</v>
      </c>
      <c r="J548">
        <f t="shared" si="84"/>
        <v>41.214003128843522</v>
      </c>
      <c r="K548">
        <f t="shared" si="85"/>
        <v>2.0022230477659257</v>
      </c>
      <c r="L548">
        <f t="shared" si="86"/>
        <v>0.89526648056626368</v>
      </c>
      <c r="M548">
        <f t="shared" si="87"/>
        <v>0.81777684836424402</v>
      </c>
      <c r="N548">
        <f t="shared" si="88"/>
        <v>41</v>
      </c>
      <c r="O548" t="str">
        <f t="shared" si="89"/>
        <v>Other</v>
      </c>
    </row>
    <row r="549" spans="1:15" hidden="1" x14ac:dyDescent="0.3">
      <c r="A549" t="s">
        <v>530</v>
      </c>
      <c r="B549" s="2">
        <v>42775</v>
      </c>
      <c r="C549" s="3">
        <v>3362826</v>
      </c>
      <c r="D549" s="4">
        <v>96551</v>
      </c>
      <c r="E549" s="4">
        <v>5631</v>
      </c>
      <c r="F549">
        <f t="shared" si="80"/>
        <v>2017</v>
      </c>
      <c r="G549" t="str">
        <f t="shared" si="81"/>
        <v>February</v>
      </c>
      <c r="H549" t="str">
        <f t="shared" si="82"/>
        <v>Thursday</v>
      </c>
      <c r="I549">
        <f t="shared" si="83"/>
        <v>3.038575293518011</v>
      </c>
      <c r="J549">
        <f t="shared" si="84"/>
        <v>28.71126843910449</v>
      </c>
      <c r="K549">
        <f t="shared" si="85"/>
        <v>1.6744844960756222</v>
      </c>
      <c r="L549">
        <f t="shared" si="86"/>
        <v>0.88888349339825179</v>
      </c>
      <c r="M549">
        <f t="shared" si="87"/>
        <v>0.81661642405693979</v>
      </c>
      <c r="N549">
        <f t="shared" si="88"/>
        <v>40</v>
      </c>
      <c r="O549" t="str">
        <f t="shared" si="89"/>
        <v>Other</v>
      </c>
    </row>
    <row r="550" spans="1:15" hidden="1" x14ac:dyDescent="0.3">
      <c r="A550" t="s">
        <v>556</v>
      </c>
      <c r="B550" s="2">
        <v>42596</v>
      </c>
      <c r="C550" s="3">
        <v>3157501</v>
      </c>
      <c r="D550" s="4">
        <v>151452</v>
      </c>
      <c r="E550" s="4">
        <v>5447</v>
      </c>
      <c r="F550">
        <f t="shared" si="80"/>
        <v>2016</v>
      </c>
      <c r="G550" t="str">
        <f t="shared" si="81"/>
        <v>August</v>
      </c>
      <c r="H550" t="str">
        <f t="shared" si="82"/>
        <v>Sunday</v>
      </c>
      <c r="I550">
        <f t="shared" si="83"/>
        <v>4.9690878957758047</v>
      </c>
      <c r="J550">
        <f t="shared" si="84"/>
        <v>47.965780533402842</v>
      </c>
      <c r="K550">
        <f t="shared" si="85"/>
        <v>1.7250984243552101</v>
      </c>
      <c r="L550">
        <f t="shared" si="86"/>
        <v>0.88901387205462234</v>
      </c>
      <c r="M550">
        <f t="shared" si="87"/>
        <v>0.82051269437760965</v>
      </c>
      <c r="N550">
        <f t="shared" si="88"/>
        <v>33</v>
      </c>
      <c r="O550" t="str">
        <f t="shared" si="89"/>
        <v>Other</v>
      </c>
    </row>
    <row r="551" spans="1:15" hidden="1" x14ac:dyDescent="0.3">
      <c r="A551" t="s">
        <v>552</v>
      </c>
      <c r="B551" s="2">
        <v>42608</v>
      </c>
      <c r="C551" s="3">
        <v>3107818</v>
      </c>
      <c r="D551" s="4">
        <v>59732</v>
      </c>
      <c r="E551" s="4">
        <v>3400</v>
      </c>
      <c r="F551">
        <f t="shared" si="80"/>
        <v>2016</v>
      </c>
      <c r="G551" t="str">
        <f t="shared" si="81"/>
        <v>August</v>
      </c>
      <c r="H551" t="str">
        <f t="shared" si="82"/>
        <v>Friday</v>
      </c>
      <c r="I551">
        <f t="shared" si="83"/>
        <v>2.0313930867251555</v>
      </c>
      <c r="J551">
        <f t="shared" si="84"/>
        <v>19.219915709349774</v>
      </c>
      <c r="K551">
        <f t="shared" si="85"/>
        <v>1.0940151579017821</v>
      </c>
      <c r="L551">
        <f t="shared" si="86"/>
        <v>0.88108787922281073</v>
      </c>
      <c r="M551">
        <f t="shared" si="87"/>
        <v>0.82428563842264613</v>
      </c>
      <c r="N551">
        <f t="shared" si="88"/>
        <v>39</v>
      </c>
      <c r="O551" t="str">
        <f t="shared" si="89"/>
        <v>Other</v>
      </c>
    </row>
    <row r="552" spans="1:15" hidden="1" x14ac:dyDescent="0.3">
      <c r="A552" t="s">
        <v>891</v>
      </c>
      <c r="B552" s="2">
        <v>41671</v>
      </c>
      <c r="C552" s="3">
        <v>3073055</v>
      </c>
      <c r="D552" s="4">
        <v>224337</v>
      </c>
      <c r="E552" s="4">
        <v>14478</v>
      </c>
      <c r="F552">
        <f t="shared" si="80"/>
        <v>2014</v>
      </c>
      <c r="G552" t="str">
        <f t="shared" si="81"/>
        <v>February</v>
      </c>
      <c r="H552" t="str">
        <f t="shared" si="82"/>
        <v>Saturday</v>
      </c>
      <c r="I552">
        <f t="shared" si="83"/>
        <v>7.7712569413824362</v>
      </c>
      <c r="J552">
        <f t="shared" si="84"/>
        <v>73.001296755183347</v>
      </c>
      <c r="K552">
        <f t="shared" si="85"/>
        <v>4.7112726586409943</v>
      </c>
      <c r="L552">
        <f t="shared" si="86"/>
        <v>0.89032892594260804</v>
      </c>
      <c r="M552">
        <f t="shared" si="87"/>
        <v>0.83884126275539572</v>
      </c>
      <c r="N552">
        <f t="shared" si="88"/>
        <v>21</v>
      </c>
      <c r="O552" t="str">
        <f t="shared" si="89"/>
        <v>Other</v>
      </c>
    </row>
    <row r="553" spans="1:15" hidden="1" x14ac:dyDescent="0.3">
      <c r="A553" t="s">
        <v>509</v>
      </c>
      <c r="B553" s="2">
        <v>42967</v>
      </c>
      <c r="C553" s="3">
        <v>2803587</v>
      </c>
      <c r="D553" s="4">
        <v>123291</v>
      </c>
      <c r="E553" s="4">
        <v>8442</v>
      </c>
      <c r="F553">
        <f t="shared" si="80"/>
        <v>2017</v>
      </c>
      <c r="G553" t="str">
        <f t="shared" si="81"/>
        <v>August</v>
      </c>
      <c r="H553" t="str">
        <f t="shared" si="82"/>
        <v>Sunday</v>
      </c>
      <c r="I553">
        <f t="shared" si="83"/>
        <v>4.6987305904899692</v>
      </c>
      <c r="J553">
        <f t="shared" si="84"/>
        <v>43.976163393538343</v>
      </c>
      <c r="K553">
        <f t="shared" si="85"/>
        <v>3.0111425113613381</v>
      </c>
      <c r="L553">
        <f t="shared" si="86"/>
        <v>0.89154366480270031</v>
      </c>
      <c r="M553">
        <f t="shared" si="87"/>
        <v>0.8260673177500808</v>
      </c>
      <c r="N553">
        <f t="shared" si="88"/>
        <v>58</v>
      </c>
      <c r="O553" t="str">
        <f t="shared" si="89"/>
        <v>Other</v>
      </c>
    </row>
    <row r="554" spans="1:15" hidden="1" x14ac:dyDescent="0.3">
      <c r="A554" t="s">
        <v>588</v>
      </c>
      <c r="B554" s="2">
        <v>42464</v>
      </c>
      <c r="C554" s="3">
        <v>2567477</v>
      </c>
      <c r="D554" s="4">
        <v>139094</v>
      </c>
      <c r="E554" s="4">
        <v>12835</v>
      </c>
      <c r="F554">
        <f t="shared" si="80"/>
        <v>2016</v>
      </c>
      <c r="G554" t="str">
        <f t="shared" si="81"/>
        <v>April</v>
      </c>
      <c r="H554" t="str">
        <f t="shared" si="82"/>
        <v>Monday</v>
      </c>
      <c r="I554">
        <f t="shared" si="83"/>
        <v>5.917443466874289</v>
      </c>
      <c r="J554">
        <f t="shared" si="84"/>
        <v>54.175363596246434</v>
      </c>
      <c r="K554">
        <f t="shared" si="85"/>
        <v>4.9990710724964629</v>
      </c>
      <c r="L554">
        <f t="shared" si="86"/>
        <v>0.8844803972092905</v>
      </c>
      <c r="M554">
        <f t="shared" si="87"/>
        <v>0.81790106581323874</v>
      </c>
      <c r="N554">
        <f t="shared" si="88"/>
        <v>48</v>
      </c>
      <c r="O554" t="str">
        <f t="shared" si="89"/>
        <v>Other</v>
      </c>
    </row>
    <row r="555" spans="1:15" hidden="1" x14ac:dyDescent="0.3">
      <c r="A555" t="s">
        <v>539</v>
      </c>
      <c r="B555" s="2">
        <v>42702</v>
      </c>
      <c r="C555" s="3">
        <v>2538665</v>
      </c>
      <c r="D555" s="4">
        <v>183051</v>
      </c>
      <c r="E555" s="4">
        <v>12276</v>
      </c>
      <c r="F555">
        <f t="shared" si="80"/>
        <v>2016</v>
      </c>
      <c r="G555" t="str">
        <f t="shared" si="81"/>
        <v>November</v>
      </c>
      <c r="H555" t="str">
        <f t="shared" si="82"/>
        <v>Monday</v>
      </c>
      <c r="I555">
        <f t="shared" si="83"/>
        <v>7.6940833075651973</v>
      </c>
      <c r="J555">
        <f t="shared" si="84"/>
        <v>72.105220657313978</v>
      </c>
      <c r="K555">
        <f t="shared" si="85"/>
        <v>4.8356124183379841</v>
      </c>
      <c r="L555">
        <f t="shared" si="86"/>
        <v>0.87805984654793467</v>
      </c>
      <c r="M555">
        <f t="shared" si="87"/>
        <v>0.80753168165957012</v>
      </c>
      <c r="N555">
        <f t="shared" si="88"/>
        <v>37</v>
      </c>
      <c r="O555" t="str">
        <f t="shared" si="89"/>
        <v>Other</v>
      </c>
    </row>
    <row r="556" spans="1:15" hidden="1" x14ac:dyDescent="0.3">
      <c r="A556" t="s">
        <v>499</v>
      </c>
      <c r="B556" s="2">
        <v>43086</v>
      </c>
      <c r="C556" s="3">
        <v>2457405</v>
      </c>
      <c r="D556" s="4">
        <v>84917</v>
      </c>
      <c r="E556" s="4">
        <v>9760</v>
      </c>
      <c r="F556">
        <f t="shared" si="80"/>
        <v>2017</v>
      </c>
      <c r="G556" t="str">
        <f t="shared" si="81"/>
        <v>December</v>
      </c>
      <c r="H556" t="str">
        <f t="shared" si="82"/>
        <v>Sunday</v>
      </c>
      <c r="I556">
        <f t="shared" si="83"/>
        <v>3.8527226891782189</v>
      </c>
      <c r="J556">
        <f t="shared" si="84"/>
        <v>34.555557590222207</v>
      </c>
      <c r="K556">
        <f t="shared" si="85"/>
        <v>3.9716693015599791</v>
      </c>
      <c r="L556">
        <f t="shared" si="86"/>
        <v>0.88214118034275091</v>
      </c>
      <c r="M556">
        <f t="shared" si="87"/>
        <v>0.79575821261911983</v>
      </c>
      <c r="N556">
        <f t="shared" si="88"/>
        <v>41</v>
      </c>
      <c r="O556" t="str">
        <f t="shared" si="89"/>
        <v>Other</v>
      </c>
    </row>
    <row r="557" spans="1:15" hidden="1" x14ac:dyDescent="0.3">
      <c r="A557" t="s">
        <v>560</v>
      </c>
      <c r="B557" s="2">
        <v>42565</v>
      </c>
      <c r="C557" s="3">
        <v>2332777</v>
      </c>
      <c r="D557" s="4">
        <v>64638</v>
      </c>
      <c r="E557" s="4">
        <v>2726</v>
      </c>
      <c r="F557">
        <f t="shared" si="80"/>
        <v>2016</v>
      </c>
      <c r="G557" t="str">
        <f t="shared" si="81"/>
        <v>July</v>
      </c>
      <c r="H557" t="str">
        <f t="shared" si="82"/>
        <v>Thursday</v>
      </c>
      <c r="I557">
        <f t="shared" si="83"/>
        <v>2.8877170856880019</v>
      </c>
      <c r="J557">
        <f t="shared" si="84"/>
        <v>27.708606523469665</v>
      </c>
      <c r="K557">
        <f t="shared" si="85"/>
        <v>1.1685643334103517</v>
      </c>
      <c r="L557">
        <f t="shared" si="86"/>
        <v>0.87716754202096325</v>
      </c>
      <c r="M557">
        <f t="shared" si="87"/>
        <v>0.78256692966028873</v>
      </c>
      <c r="N557">
        <f t="shared" si="88"/>
        <v>22</v>
      </c>
      <c r="O557" t="str">
        <f t="shared" si="89"/>
        <v>Other</v>
      </c>
    </row>
    <row r="558" spans="1:15" hidden="1" x14ac:dyDescent="0.3">
      <c r="A558" t="s">
        <v>595</v>
      </c>
      <c r="B558" s="2">
        <v>42448</v>
      </c>
      <c r="C558" s="3">
        <v>2190055</v>
      </c>
      <c r="D558" s="4">
        <v>90226</v>
      </c>
      <c r="E558" s="4">
        <v>2938</v>
      </c>
      <c r="F558">
        <f t="shared" si="80"/>
        <v>2016</v>
      </c>
      <c r="G558" t="str">
        <f t="shared" si="81"/>
        <v>March</v>
      </c>
      <c r="H558" t="str">
        <f t="shared" si="82"/>
        <v>Saturday</v>
      </c>
      <c r="I558">
        <f t="shared" si="83"/>
        <v>4.2539570924017891</v>
      </c>
      <c r="J558">
        <f t="shared" si="84"/>
        <v>41.198052103714296</v>
      </c>
      <c r="K558">
        <f t="shared" si="85"/>
        <v>1.3415188203035997</v>
      </c>
      <c r="L558">
        <f t="shared" si="86"/>
        <v>0.87598388599528632</v>
      </c>
      <c r="M558">
        <f t="shared" si="87"/>
        <v>0.79158924362427652</v>
      </c>
      <c r="N558">
        <f t="shared" si="88"/>
        <v>31</v>
      </c>
      <c r="O558" t="str">
        <f t="shared" si="89"/>
        <v>Other</v>
      </c>
    </row>
    <row r="559" spans="1:15" hidden="1" x14ac:dyDescent="0.3">
      <c r="A559" t="s">
        <v>521</v>
      </c>
      <c r="B559" s="2">
        <v>42824</v>
      </c>
      <c r="C559" s="3">
        <v>2170322</v>
      </c>
      <c r="D559" s="4">
        <v>72687</v>
      </c>
      <c r="E559" s="4">
        <v>4952</v>
      </c>
      <c r="F559">
        <f t="shared" si="80"/>
        <v>2017</v>
      </c>
      <c r="G559" t="str">
        <f t="shared" si="81"/>
        <v>March</v>
      </c>
      <c r="H559" t="str">
        <f t="shared" si="82"/>
        <v>Thursday</v>
      </c>
      <c r="I559">
        <f t="shared" si="83"/>
        <v>3.5773032757351211</v>
      </c>
      <c r="J559">
        <f t="shared" si="84"/>
        <v>33.491343680799439</v>
      </c>
      <c r="K559">
        <f t="shared" si="85"/>
        <v>2.2816890765517743</v>
      </c>
      <c r="L559">
        <f t="shared" si="86"/>
        <v>0.86986924638476881</v>
      </c>
      <c r="M559">
        <f t="shared" si="87"/>
        <v>0.79835918440361386</v>
      </c>
      <c r="N559">
        <f t="shared" si="88"/>
        <v>100</v>
      </c>
      <c r="O559" t="str">
        <f t="shared" si="89"/>
        <v>Other</v>
      </c>
    </row>
    <row r="560" spans="1:15" hidden="1" x14ac:dyDescent="0.3">
      <c r="A560" t="s">
        <v>896</v>
      </c>
      <c r="B560" s="2">
        <v>41650</v>
      </c>
      <c r="C560" s="3">
        <v>2162473</v>
      </c>
      <c r="D560" s="4">
        <v>30670</v>
      </c>
      <c r="E560" s="4">
        <v>2196</v>
      </c>
      <c r="F560">
        <f t="shared" si="80"/>
        <v>2014</v>
      </c>
      <c r="G560" t="str">
        <f t="shared" si="81"/>
        <v>January</v>
      </c>
      <c r="H560" t="str">
        <f t="shared" si="82"/>
        <v>Saturday</v>
      </c>
      <c r="I560">
        <f t="shared" si="83"/>
        <v>1.5198340048638757</v>
      </c>
      <c r="J560">
        <f t="shared" si="84"/>
        <v>14.182836040033795</v>
      </c>
      <c r="K560">
        <f t="shared" si="85"/>
        <v>1.0155040086049629</v>
      </c>
      <c r="L560">
        <f t="shared" si="86"/>
        <v>0.86564832632386168</v>
      </c>
      <c r="M560">
        <f t="shared" si="87"/>
        <v>0.79587059828881945</v>
      </c>
      <c r="N560">
        <f t="shared" si="88"/>
        <v>54</v>
      </c>
      <c r="O560" t="str">
        <f t="shared" si="89"/>
        <v>Other</v>
      </c>
    </row>
    <row r="561" spans="1:15" hidden="1" x14ac:dyDescent="0.3">
      <c r="A561" t="s">
        <v>596</v>
      </c>
      <c r="B561" s="2">
        <v>42447</v>
      </c>
      <c r="C561" s="3">
        <v>2067973</v>
      </c>
      <c r="D561" s="4">
        <v>72887</v>
      </c>
      <c r="E561" s="4">
        <v>3751</v>
      </c>
      <c r="F561">
        <f t="shared" si="80"/>
        <v>2016</v>
      </c>
      <c r="G561" t="str">
        <f t="shared" si="81"/>
        <v>March</v>
      </c>
      <c r="H561" t="str">
        <f t="shared" si="82"/>
        <v>Friday</v>
      </c>
      <c r="I561">
        <f t="shared" si="83"/>
        <v>3.7059478049278205</v>
      </c>
      <c r="J561">
        <f t="shared" si="84"/>
        <v>35.245624580204868</v>
      </c>
      <c r="K561">
        <f t="shared" si="85"/>
        <v>1.813853469073339</v>
      </c>
      <c r="L561">
        <f t="shared" si="86"/>
        <v>0.87622855835479863</v>
      </c>
      <c r="M561">
        <f t="shared" si="87"/>
        <v>0.8082288935104065</v>
      </c>
      <c r="N561">
        <f t="shared" si="88"/>
        <v>40</v>
      </c>
      <c r="O561" t="str">
        <f t="shared" si="89"/>
        <v>Other</v>
      </c>
    </row>
    <row r="562" spans="1:15" hidden="1" x14ac:dyDescent="0.3">
      <c r="A562" t="s">
        <v>532</v>
      </c>
      <c r="B562" s="2">
        <v>42729</v>
      </c>
      <c r="C562" s="3">
        <v>1995502</v>
      </c>
      <c r="D562" s="4">
        <v>56233</v>
      </c>
      <c r="E562" s="4">
        <v>8185</v>
      </c>
      <c r="F562">
        <f t="shared" si="80"/>
        <v>2016</v>
      </c>
      <c r="G562" t="str">
        <f t="shared" si="81"/>
        <v>December</v>
      </c>
      <c r="H562" t="str">
        <f t="shared" si="82"/>
        <v>Sunday</v>
      </c>
      <c r="I562">
        <f t="shared" si="83"/>
        <v>3.2281601321371762</v>
      </c>
      <c r="J562">
        <f t="shared" si="84"/>
        <v>28.179876542343731</v>
      </c>
      <c r="K562">
        <f t="shared" si="85"/>
        <v>4.101724779028034</v>
      </c>
      <c r="L562">
        <f t="shared" si="86"/>
        <v>0.87197590227179711</v>
      </c>
      <c r="M562">
        <f t="shared" si="87"/>
        <v>0.81126079115371985</v>
      </c>
      <c r="N562">
        <f t="shared" si="88"/>
        <v>46</v>
      </c>
      <c r="O562" t="str">
        <f t="shared" si="89"/>
        <v>Other</v>
      </c>
    </row>
    <row r="563" spans="1:15" hidden="1" x14ac:dyDescent="0.3">
      <c r="A563" t="s">
        <v>524</v>
      </c>
      <c r="B563" s="2">
        <v>42813</v>
      </c>
      <c r="C563" s="3">
        <v>1975121</v>
      </c>
      <c r="D563" s="4">
        <v>95714</v>
      </c>
      <c r="E563" s="4">
        <v>8799</v>
      </c>
      <c r="F563">
        <f t="shared" si="80"/>
        <v>2017</v>
      </c>
      <c r="G563" t="str">
        <f t="shared" si="81"/>
        <v>March</v>
      </c>
      <c r="H563" t="str">
        <f t="shared" si="82"/>
        <v>Sunday</v>
      </c>
      <c r="I563">
        <f t="shared" si="83"/>
        <v>5.291473281890072</v>
      </c>
      <c r="J563">
        <f t="shared" si="84"/>
        <v>48.459815879634718</v>
      </c>
      <c r="K563">
        <f t="shared" si="85"/>
        <v>4.454916939266</v>
      </c>
      <c r="L563">
        <f t="shared" si="86"/>
        <v>0.87127893051354421</v>
      </c>
      <c r="M563">
        <f t="shared" si="87"/>
        <v>0.80116044671125231</v>
      </c>
      <c r="N563">
        <f t="shared" si="88"/>
        <v>34</v>
      </c>
      <c r="O563" t="str">
        <f t="shared" si="89"/>
        <v>Other</v>
      </c>
    </row>
    <row r="564" spans="1:15" hidden="1" x14ac:dyDescent="0.3">
      <c r="A564" t="s">
        <v>558</v>
      </c>
      <c r="B564" s="2">
        <v>42589</v>
      </c>
      <c r="C564" s="3">
        <v>1942610</v>
      </c>
      <c r="D564" s="4">
        <v>127408</v>
      </c>
      <c r="E564" s="4">
        <v>4537</v>
      </c>
      <c r="F564">
        <f t="shared" si="80"/>
        <v>2016</v>
      </c>
      <c r="G564" t="str">
        <f t="shared" si="81"/>
        <v>August</v>
      </c>
      <c r="H564" t="str">
        <f t="shared" si="82"/>
        <v>Sunday</v>
      </c>
      <c r="I564">
        <f t="shared" si="83"/>
        <v>6.7921507662371763</v>
      </c>
      <c r="J564">
        <f t="shared" si="84"/>
        <v>65.58598998254925</v>
      </c>
      <c r="K564">
        <f t="shared" si="85"/>
        <v>2.335517679822507</v>
      </c>
      <c r="L564">
        <f t="shared" si="86"/>
        <v>0.86423642757761654</v>
      </c>
      <c r="M564">
        <f t="shared" si="87"/>
        <v>0.78974831750016306</v>
      </c>
      <c r="N564">
        <f t="shared" si="88"/>
        <v>35</v>
      </c>
      <c r="O564" t="str">
        <f t="shared" si="89"/>
        <v>Other</v>
      </c>
    </row>
    <row r="565" spans="1:15" hidden="1" x14ac:dyDescent="0.3">
      <c r="A565" t="s">
        <v>537</v>
      </c>
      <c r="B565" s="2">
        <v>42709</v>
      </c>
      <c r="C565" s="3">
        <v>1849382</v>
      </c>
      <c r="D565" s="4">
        <v>92644</v>
      </c>
      <c r="E565" s="4">
        <v>7558</v>
      </c>
      <c r="F565">
        <f t="shared" si="80"/>
        <v>2016</v>
      </c>
      <c r="G565" t="str">
        <f t="shared" si="81"/>
        <v>December</v>
      </c>
      <c r="H565" t="str">
        <f t="shared" si="82"/>
        <v>Monday</v>
      </c>
      <c r="I565">
        <f t="shared" si="83"/>
        <v>5.418134274043978</v>
      </c>
      <c r="J565">
        <f t="shared" si="84"/>
        <v>50.094572132744879</v>
      </c>
      <c r="K565">
        <f t="shared" si="85"/>
        <v>4.0867706076948949</v>
      </c>
      <c r="L565">
        <f t="shared" si="86"/>
        <v>0.86152081674954173</v>
      </c>
      <c r="M565">
        <f t="shared" si="87"/>
        <v>0.78729302312038441</v>
      </c>
      <c r="N565">
        <f t="shared" si="88"/>
        <v>41</v>
      </c>
      <c r="O565" t="str">
        <f t="shared" si="89"/>
        <v>Other</v>
      </c>
    </row>
    <row r="566" spans="1:15" hidden="1" x14ac:dyDescent="0.3">
      <c r="A566" t="s">
        <v>548</v>
      </c>
      <c r="B566" s="2">
        <v>42647</v>
      </c>
      <c r="C566" s="3">
        <v>1845490</v>
      </c>
      <c r="D566" s="4">
        <v>58002</v>
      </c>
      <c r="E566" s="4">
        <v>4851</v>
      </c>
      <c r="F566">
        <f t="shared" si="80"/>
        <v>2016</v>
      </c>
      <c r="G566" t="str">
        <f t="shared" si="81"/>
        <v>October</v>
      </c>
      <c r="H566" t="str">
        <f t="shared" si="82"/>
        <v>Tuesday</v>
      </c>
      <c r="I566">
        <f t="shared" si="83"/>
        <v>3.4057621553083464</v>
      </c>
      <c r="J566">
        <f t="shared" si="84"/>
        <v>31.429051363052629</v>
      </c>
      <c r="K566">
        <f t="shared" si="85"/>
        <v>2.6285701900308318</v>
      </c>
      <c r="L566">
        <f t="shared" si="86"/>
        <v>0.85439778194045424</v>
      </c>
      <c r="M566">
        <f t="shared" si="87"/>
        <v>0.77606866388685225</v>
      </c>
      <c r="N566">
        <f t="shared" si="88"/>
        <v>47</v>
      </c>
      <c r="O566" t="str">
        <f t="shared" si="89"/>
        <v>Other</v>
      </c>
    </row>
    <row r="567" spans="1:15" hidden="1" x14ac:dyDescent="0.3">
      <c r="A567" t="s">
        <v>725</v>
      </c>
      <c r="B567" s="2">
        <v>42210</v>
      </c>
      <c r="C567" s="3">
        <v>1830962</v>
      </c>
      <c r="D567" s="4">
        <v>18621</v>
      </c>
      <c r="E567" s="4">
        <v>2758</v>
      </c>
      <c r="F567">
        <f t="shared" si="80"/>
        <v>2015</v>
      </c>
      <c r="G567" t="str">
        <f t="shared" si="81"/>
        <v>July</v>
      </c>
      <c r="H567" t="str">
        <f t="shared" si="82"/>
        <v>Saturday</v>
      </c>
      <c r="I567">
        <f t="shared" si="83"/>
        <v>1.1676375588351915</v>
      </c>
      <c r="J567">
        <f t="shared" si="84"/>
        <v>10.170063605907714</v>
      </c>
      <c r="K567">
        <f t="shared" si="85"/>
        <v>1.5063119824442015</v>
      </c>
      <c r="L567">
        <f t="shared" si="86"/>
        <v>0.85041175435205318</v>
      </c>
      <c r="M567">
        <f t="shared" si="87"/>
        <v>0.77099511493687578</v>
      </c>
      <c r="N567">
        <f t="shared" si="88"/>
        <v>48</v>
      </c>
      <c r="O567" t="str">
        <f t="shared" si="89"/>
        <v>Other</v>
      </c>
    </row>
    <row r="568" spans="1:15" hidden="1" x14ac:dyDescent="0.3">
      <c r="A568" t="s">
        <v>655</v>
      </c>
      <c r="B568" s="2">
        <v>42285</v>
      </c>
      <c r="C568" s="3">
        <v>1797257</v>
      </c>
      <c r="D568" s="4">
        <v>133141</v>
      </c>
      <c r="E568" s="4">
        <v>13072</v>
      </c>
      <c r="F568">
        <f t="shared" si="80"/>
        <v>2015</v>
      </c>
      <c r="G568" t="str">
        <f t="shared" si="81"/>
        <v>October</v>
      </c>
      <c r="H568" t="str">
        <f t="shared" si="82"/>
        <v>Thursday</v>
      </c>
      <c r="I568">
        <f t="shared" si="83"/>
        <v>8.1353418014229462</v>
      </c>
      <c r="J568">
        <f t="shared" si="84"/>
        <v>74.080112081911494</v>
      </c>
      <c r="K568">
        <f t="shared" si="85"/>
        <v>7.273305932317971</v>
      </c>
      <c r="L568">
        <f t="shared" si="86"/>
        <v>0.86519627801219623</v>
      </c>
      <c r="M568">
        <f t="shared" si="87"/>
        <v>0.77710673211769887</v>
      </c>
      <c r="N568">
        <f t="shared" si="88"/>
        <v>29</v>
      </c>
      <c r="O568" t="str">
        <f t="shared" si="89"/>
        <v>Other</v>
      </c>
    </row>
    <row r="569" spans="1:15" hidden="1" x14ac:dyDescent="0.3">
      <c r="A569" t="s">
        <v>670</v>
      </c>
      <c r="B569" s="2">
        <v>42260</v>
      </c>
      <c r="C569" s="3">
        <v>1767687</v>
      </c>
      <c r="D569" s="4">
        <v>33698</v>
      </c>
      <c r="E569" s="4">
        <v>2766</v>
      </c>
      <c r="F569">
        <f t="shared" si="80"/>
        <v>2015</v>
      </c>
      <c r="G569" t="str">
        <f t="shared" si="81"/>
        <v>September</v>
      </c>
      <c r="H569" t="str">
        <f t="shared" si="82"/>
        <v>Sunday</v>
      </c>
      <c r="I569">
        <f t="shared" si="83"/>
        <v>2.062808630713469</v>
      </c>
      <c r="J569">
        <f t="shared" si="84"/>
        <v>19.063329650554653</v>
      </c>
      <c r="K569">
        <f t="shared" si="85"/>
        <v>1.5647566565800393</v>
      </c>
      <c r="L569">
        <f t="shared" si="86"/>
        <v>0.87112267608258209</v>
      </c>
      <c r="M569">
        <f t="shared" si="87"/>
        <v>0.77745217312959736</v>
      </c>
      <c r="N569">
        <f t="shared" si="88"/>
        <v>37</v>
      </c>
      <c r="O569" t="str">
        <f t="shared" si="89"/>
        <v>Other</v>
      </c>
    </row>
    <row r="570" spans="1:15" hidden="1" x14ac:dyDescent="0.3">
      <c r="A570" t="s">
        <v>980</v>
      </c>
      <c r="B570" s="2">
        <v>41286</v>
      </c>
      <c r="C570" s="3">
        <v>1747531</v>
      </c>
      <c r="D570" s="4">
        <v>60536</v>
      </c>
      <c r="E570" s="4">
        <v>4750</v>
      </c>
      <c r="F570">
        <f t="shared" si="80"/>
        <v>2013</v>
      </c>
      <c r="G570" t="str">
        <f t="shared" si="81"/>
        <v>January</v>
      </c>
      <c r="H570" t="str">
        <f t="shared" si="82"/>
        <v>Saturday</v>
      </c>
      <c r="I570">
        <f t="shared" si="83"/>
        <v>3.7358993917704462</v>
      </c>
      <c r="J570">
        <f t="shared" si="84"/>
        <v>34.640873323563362</v>
      </c>
      <c r="K570">
        <f t="shared" si="85"/>
        <v>2.7181205941411055</v>
      </c>
      <c r="L570">
        <f t="shared" si="86"/>
        <v>0.87639489670107751</v>
      </c>
      <c r="M570">
        <f t="shared" si="87"/>
        <v>0.78232247463646065</v>
      </c>
      <c r="N570">
        <f t="shared" si="88"/>
        <v>30</v>
      </c>
      <c r="O570" t="str">
        <f t="shared" si="89"/>
        <v>Other</v>
      </c>
    </row>
    <row r="571" spans="1:15" hidden="1" x14ac:dyDescent="0.3">
      <c r="A571" t="s">
        <v>753</v>
      </c>
      <c r="B571" s="2">
        <v>42185</v>
      </c>
      <c r="C571" s="3">
        <v>1697863</v>
      </c>
      <c r="D571" s="4">
        <v>115899</v>
      </c>
      <c r="E571" s="4">
        <v>12957</v>
      </c>
      <c r="F571">
        <f t="shared" si="80"/>
        <v>2015</v>
      </c>
      <c r="G571" t="str">
        <f t="shared" si="81"/>
        <v>June</v>
      </c>
      <c r="H571" t="str">
        <f t="shared" si="82"/>
        <v>Tuesday</v>
      </c>
      <c r="I571">
        <f t="shared" si="83"/>
        <v>7.5893049085821414</v>
      </c>
      <c r="J571">
        <f t="shared" si="84"/>
        <v>68.261691314316877</v>
      </c>
      <c r="K571">
        <f t="shared" si="85"/>
        <v>7.6313577715045326</v>
      </c>
      <c r="L571">
        <f t="shared" si="86"/>
        <v>0.87119264901487314</v>
      </c>
      <c r="M571">
        <f t="shared" si="87"/>
        <v>0.77570728088369612</v>
      </c>
      <c r="N571">
        <f t="shared" si="88"/>
        <v>24</v>
      </c>
      <c r="O571" t="str">
        <f t="shared" si="89"/>
        <v>Other</v>
      </c>
    </row>
    <row r="572" spans="1:15" hidden="1" x14ac:dyDescent="0.3">
      <c r="A572" t="s">
        <v>555</v>
      </c>
      <c r="B572" s="2">
        <v>42603</v>
      </c>
      <c r="C572" s="3">
        <v>1661452</v>
      </c>
      <c r="D572" s="4">
        <v>124022</v>
      </c>
      <c r="E572" s="4">
        <v>3543</v>
      </c>
      <c r="F572">
        <f t="shared" si="80"/>
        <v>2016</v>
      </c>
      <c r="G572" t="str">
        <f t="shared" si="81"/>
        <v>August</v>
      </c>
      <c r="H572" t="str">
        <f t="shared" si="82"/>
        <v>Sunday</v>
      </c>
      <c r="I572">
        <f t="shared" si="83"/>
        <v>7.6779226844952486</v>
      </c>
      <c r="J572">
        <f t="shared" si="84"/>
        <v>74.646754766312839</v>
      </c>
      <c r="K572">
        <f t="shared" si="85"/>
        <v>2.1324720786396476</v>
      </c>
      <c r="L572">
        <f t="shared" si="86"/>
        <v>0.87490197139741965</v>
      </c>
      <c r="M572">
        <f t="shared" si="87"/>
        <v>0.78814994796871907</v>
      </c>
      <c r="N572">
        <f t="shared" si="88"/>
        <v>34</v>
      </c>
      <c r="O572" t="str">
        <f t="shared" si="89"/>
        <v>Other</v>
      </c>
    </row>
    <row r="573" spans="1:15" hidden="1" x14ac:dyDescent="0.3">
      <c r="A573" t="s">
        <v>544</v>
      </c>
      <c r="B573" s="2">
        <v>42668</v>
      </c>
      <c r="C573" s="3">
        <v>1646489</v>
      </c>
      <c r="D573" s="4">
        <v>38419</v>
      </c>
      <c r="E573" s="4">
        <v>2784</v>
      </c>
      <c r="F573">
        <f t="shared" si="80"/>
        <v>2016</v>
      </c>
      <c r="G573" t="str">
        <f t="shared" si="81"/>
        <v>October</v>
      </c>
      <c r="H573" t="str">
        <f t="shared" si="82"/>
        <v>Tuesday</v>
      </c>
      <c r="I573">
        <f t="shared" si="83"/>
        <v>2.5024764817742482</v>
      </c>
      <c r="J573">
        <f t="shared" si="84"/>
        <v>23.333894122584482</v>
      </c>
      <c r="K573">
        <f t="shared" si="85"/>
        <v>1.6908706951579999</v>
      </c>
      <c r="L573">
        <f t="shared" si="86"/>
        <v>0.89564812187468079</v>
      </c>
      <c r="M573">
        <f t="shared" si="87"/>
        <v>0.7851930336399372</v>
      </c>
      <c r="N573">
        <f t="shared" si="88"/>
        <v>25</v>
      </c>
      <c r="O573" t="str">
        <f t="shared" si="89"/>
        <v>Money</v>
      </c>
    </row>
    <row r="574" spans="1:15" hidden="1" x14ac:dyDescent="0.3">
      <c r="A574" t="s">
        <v>561</v>
      </c>
      <c r="B574" s="2">
        <v>42559</v>
      </c>
      <c r="C574" s="3">
        <v>1594343</v>
      </c>
      <c r="D574" s="4">
        <v>84462</v>
      </c>
      <c r="E574" s="4">
        <v>8570</v>
      </c>
      <c r="F574">
        <f t="shared" si="80"/>
        <v>2016</v>
      </c>
      <c r="G574" t="str">
        <f t="shared" si="81"/>
        <v>July</v>
      </c>
      <c r="H574" t="str">
        <f t="shared" si="82"/>
        <v>Friday</v>
      </c>
      <c r="I574">
        <f t="shared" si="83"/>
        <v>5.8351308344565753</v>
      </c>
      <c r="J574">
        <f t="shared" si="84"/>
        <v>52.97605345901102</v>
      </c>
      <c r="K574">
        <f t="shared" si="85"/>
        <v>5.3752548855547388</v>
      </c>
      <c r="L574">
        <f t="shared" si="86"/>
        <v>0.89568258887105601</v>
      </c>
      <c r="M574">
        <f t="shared" si="87"/>
        <v>0.787900693601852</v>
      </c>
      <c r="N574">
        <f t="shared" si="88"/>
        <v>23</v>
      </c>
      <c r="O574" t="str">
        <f t="shared" si="89"/>
        <v>Other</v>
      </c>
    </row>
    <row r="575" spans="1:15" hidden="1" x14ac:dyDescent="0.3">
      <c r="A575" t="s">
        <v>692</v>
      </c>
      <c r="B575" s="2">
        <v>42234</v>
      </c>
      <c r="C575" s="3">
        <v>1591915</v>
      </c>
      <c r="D575" s="4">
        <v>38785</v>
      </c>
      <c r="E575" s="4">
        <v>2773</v>
      </c>
      <c r="F575">
        <f t="shared" si="80"/>
        <v>2015</v>
      </c>
      <c r="G575" t="str">
        <f t="shared" si="81"/>
        <v>August</v>
      </c>
      <c r="H575" t="str">
        <f t="shared" si="82"/>
        <v>Tuesday</v>
      </c>
      <c r="I575">
        <f t="shared" si="83"/>
        <v>2.6105665189410239</v>
      </c>
      <c r="J575">
        <f t="shared" si="84"/>
        <v>24.363738013650227</v>
      </c>
      <c r="K575">
        <f t="shared" si="85"/>
        <v>1.7419271757600123</v>
      </c>
      <c r="L575">
        <f t="shared" si="86"/>
        <v>0.89563747075925004</v>
      </c>
      <c r="M575">
        <f t="shared" si="87"/>
        <v>0.77829705601802357</v>
      </c>
      <c r="N575">
        <f t="shared" si="88"/>
        <v>3</v>
      </c>
      <c r="O575" t="str">
        <f t="shared" si="89"/>
        <v>Other</v>
      </c>
    </row>
    <row r="576" spans="1:15" hidden="1" x14ac:dyDescent="0.3">
      <c r="A576" t="s">
        <v>979</v>
      </c>
      <c r="B576" s="2">
        <v>41286</v>
      </c>
      <c r="C576" s="3">
        <v>1491514</v>
      </c>
      <c r="D576" s="4">
        <v>51394</v>
      </c>
      <c r="E576" s="4">
        <v>4237</v>
      </c>
      <c r="F576">
        <f t="shared" si="80"/>
        <v>2013</v>
      </c>
      <c r="G576" t="str">
        <f t="shared" si="81"/>
        <v>January</v>
      </c>
      <c r="H576" t="str">
        <f t="shared" si="82"/>
        <v>Saturday</v>
      </c>
      <c r="I576">
        <f t="shared" si="83"/>
        <v>3.7298342489577703</v>
      </c>
      <c r="J576">
        <f t="shared" si="84"/>
        <v>34.457604823018762</v>
      </c>
      <c r="K576">
        <f t="shared" si="85"/>
        <v>2.8407376665589466</v>
      </c>
      <c r="L576">
        <f t="shared" si="86"/>
        <v>0.89429653275437992</v>
      </c>
      <c r="M576">
        <f t="shared" si="87"/>
        <v>0.77962928301297119</v>
      </c>
      <c r="N576">
        <f t="shared" si="88"/>
        <v>25</v>
      </c>
      <c r="O576" t="str">
        <f t="shared" si="89"/>
        <v>Other</v>
      </c>
    </row>
    <row r="577" spans="1:15" hidden="1" x14ac:dyDescent="0.3">
      <c r="A577" t="s">
        <v>553</v>
      </c>
      <c r="B577" s="2">
        <v>42606</v>
      </c>
      <c r="C577" s="3">
        <v>1483253</v>
      </c>
      <c r="D577" s="4">
        <v>50674</v>
      </c>
      <c r="E577" s="4">
        <v>2983</v>
      </c>
      <c r="F577">
        <f t="shared" si="80"/>
        <v>2016</v>
      </c>
      <c r="G577" t="str">
        <f t="shared" si="81"/>
        <v>August</v>
      </c>
      <c r="H577" t="str">
        <f t="shared" si="82"/>
        <v>Wednesday</v>
      </c>
      <c r="I577">
        <f t="shared" si="83"/>
        <v>3.6175217579199233</v>
      </c>
      <c r="J577">
        <f t="shared" si="84"/>
        <v>34.164097426399948</v>
      </c>
      <c r="K577">
        <f t="shared" si="85"/>
        <v>2.0111201527992866</v>
      </c>
      <c r="L577">
        <f t="shared" si="86"/>
        <v>0.88833954562787809</v>
      </c>
      <c r="M577">
        <f t="shared" si="87"/>
        <v>0.77022100391249171</v>
      </c>
      <c r="N577">
        <f t="shared" si="88"/>
        <v>30</v>
      </c>
      <c r="O577" t="str">
        <f t="shared" si="89"/>
        <v>Other</v>
      </c>
    </row>
    <row r="578" spans="1:15" hidden="1" x14ac:dyDescent="0.3">
      <c r="A578" t="s">
        <v>662</v>
      </c>
      <c r="B578" s="2">
        <v>42272</v>
      </c>
      <c r="C578" s="3">
        <v>1382226</v>
      </c>
      <c r="D578" s="4">
        <v>72034</v>
      </c>
      <c r="E578" s="4">
        <v>3992</v>
      </c>
      <c r="F578">
        <f t="shared" ref="F578:F641" si="90">YEAR(B578)</f>
        <v>2015</v>
      </c>
      <c r="G578" t="str">
        <f t="shared" ref="G578:G641" si="91">TEXT(B578,"MMMM")</f>
        <v>September</v>
      </c>
      <c r="H578" t="str">
        <f t="shared" ref="H578:H641" si="92">TEXT(B578, "DDDD")</f>
        <v>Friday</v>
      </c>
      <c r="I578">
        <f t="shared" ref="I578:I641" si="93">((D578+E578)/C578)*100</f>
        <v>5.5002582790368582</v>
      </c>
      <c r="J578">
        <f t="shared" ref="J578:J641" si="94">(D578/C578)*1000</f>
        <v>52.114487789985141</v>
      </c>
      <c r="K578">
        <f t="shared" ref="K578:K641" si="95">(E578/C578)*1000</f>
        <v>2.8880950003834398</v>
      </c>
      <c r="L578">
        <f t="shared" ref="L578:L641" si="96">CORREL(C578:C1076, D578:D1076)</f>
        <v>0.88179703409407872</v>
      </c>
      <c r="M578">
        <f t="shared" ref="M578:M641" si="97">CORREL(C578:C1076,E578:E1076)</f>
        <v>0.76849263295044268</v>
      </c>
      <c r="N578">
        <f t="shared" ref="N578:N641" si="98">LEN(A578)</f>
        <v>37</v>
      </c>
      <c r="O578" t="str">
        <f t="shared" ref="O578:O641" si="99">IF(ISNUMBER(SEARCH("$",A578)), "Money", IF(ISNUMBER(SEARCH("Win",A578)), "Challenge",IF(ISNUMBER(SEARCH("Challenge",A578)), "Challenge",IF(ISNUMBER(SEARCH("Last To Leave",A578)),"Challenge",IF(ISNUMBER(SEARCH("Giving Away", A578)),"Giveaway",IF(ISNUMBER(SEARCH("Stranded",A578)),"Survival", IF(ISNUMBER(SEARCH("Survive",A578)), "Survival", IF(ISNUMBER(SEARCH("Days",A578)),"Endurance","Other"))))))))</f>
        <v>Other</v>
      </c>
    </row>
    <row r="579" spans="1:15" hidden="1" x14ac:dyDescent="0.3">
      <c r="A579" t="s">
        <v>978</v>
      </c>
      <c r="B579" s="2">
        <v>41287</v>
      </c>
      <c r="C579" s="3">
        <v>1377198</v>
      </c>
      <c r="D579" s="4">
        <v>46596</v>
      </c>
      <c r="E579" s="4">
        <v>4053</v>
      </c>
      <c r="F579">
        <f t="shared" si="90"/>
        <v>2013</v>
      </c>
      <c r="G579" t="str">
        <f t="shared" si="91"/>
        <v>January</v>
      </c>
      <c r="H579" t="str">
        <f t="shared" si="92"/>
        <v>Sunday</v>
      </c>
      <c r="I579">
        <f t="shared" si="93"/>
        <v>3.6776846902188352</v>
      </c>
      <c r="J579">
        <f t="shared" si="94"/>
        <v>33.833914949048719</v>
      </c>
      <c r="K579">
        <f t="shared" si="95"/>
        <v>2.9429319531396354</v>
      </c>
      <c r="L579">
        <f t="shared" si="96"/>
        <v>0.88115198722045496</v>
      </c>
      <c r="M579">
        <f t="shared" si="97"/>
        <v>0.759387249803121</v>
      </c>
      <c r="N579">
        <f t="shared" si="98"/>
        <v>36</v>
      </c>
      <c r="O579" t="str">
        <f t="shared" si="99"/>
        <v>Other</v>
      </c>
    </row>
    <row r="580" spans="1:15" hidden="1" x14ac:dyDescent="0.3">
      <c r="A580" t="s">
        <v>566</v>
      </c>
      <c r="B580" s="2">
        <v>42540</v>
      </c>
      <c r="C580" s="3">
        <v>1356860</v>
      </c>
      <c r="D580" s="4">
        <v>35578</v>
      </c>
      <c r="E580" s="4">
        <v>2740</v>
      </c>
      <c r="F580">
        <f t="shared" si="90"/>
        <v>2016</v>
      </c>
      <c r="G580" t="str">
        <f t="shared" si="91"/>
        <v>June</v>
      </c>
      <c r="H580" t="str">
        <f t="shared" si="92"/>
        <v>Sunday</v>
      </c>
      <c r="I580">
        <f t="shared" si="93"/>
        <v>2.8240201642026443</v>
      </c>
      <c r="J580">
        <f t="shared" si="94"/>
        <v>26.22083339474964</v>
      </c>
      <c r="K580">
        <f t="shared" si="95"/>
        <v>2.0193682472768009</v>
      </c>
      <c r="L580">
        <f t="shared" si="96"/>
        <v>0.87437743392107425</v>
      </c>
      <c r="M580">
        <f t="shared" si="97"/>
        <v>0.74915274798276255</v>
      </c>
      <c r="N580">
        <f t="shared" si="98"/>
        <v>46</v>
      </c>
      <c r="O580" t="str">
        <f t="shared" si="99"/>
        <v>Other</v>
      </c>
    </row>
    <row r="581" spans="1:15" hidden="1" x14ac:dyDescent="0.3">
      <c r="A581" t="s">
        <v>709</v>
      </c>
      <c r="B581" s="2">
        <v>42218</v>
      </c>
      <c r="C581" s="3">
        <v>1264136</v>
      </c>
      <c r="D581" s="4">
        <v>14927</v>
      </c>
      <c r="E581" s="4">
        <v>729</v>
      </c>
      <c r="F581">
        <f t="shared" si="90"/>
        <v>2015</v>
      </c>
      <c r="G581" t="str">
        <f t="shared" si="91"/>
        <v>August</v>
      </c>
      <c r="H581" t="str">
        <f t="shared" si="92"/>
        <v>Sunday</v>
      </c>
      <c r="I581">
        <f t="shared" si="93"/>
        <v>1.2384743413683337</v>
      </c>
      <c r="J581">
        <f t="shared" si="94"/>
        <v>11.808064955036484</v>
      </c>
      <c r="K581">
        <f t="shared" si="95"/>
        <v>0.57667845864685452</v>
      </c>
      <c r="L581">
        <f t="shared" si="96"/>
        <v>0.87043841917664388</v>
      </c>
      <c r="M581">
        <f t="shared" si="97"/>
        <v>0.74755384340620534</v>
      </c>
      <c r="N581">
        <f t="shared" si="98"/>
        <v>23</v>
      </c>
      <c r="O581" t="str">
        <f t="shared" si="99"/>
        <v>Other</v>
      </c>
    </row>
    <row r="582" spans="1:15" hidden="1" x14ac:dyDescent="0.3">
      <c r="A582" t="s">
        <v>547</v>
      </c>
      <c r="B582" s="2">
        <v>42652</v>
      </c>
      <c r="C582" s="3">
        <v>1251554</v>
      </c>
      <c r="D582" s="4">
        <v>55317</v>
      </c>
      <c r="E582" s="4">
        <v>3085</v>
      </c>
      <c r="F582">
        <f t="shared" si="90"/>
        <v>2016</v>
      </c>
      <c r="G582" t="str">
        <f t="shared" si="91"/>
        <v>October</v>
      </c>
      <c r="H582" t="str">
        <f t="shared" si="92"/>
        <v>Sunday</v>
      </c>
      <c r="I582">
        <f t="shared" si="93"/>
        <v>4.6663587827612716</v>
      </c>
      <c r="J582">
        <f t="shared" si="94"/>
        <v>44.19865223554077</v>
      </c>
      <c r="K582">
        <f t="shared" si="95"/>
        <v>2.4649355920719365</v>
      </c>
      <c r="L582">
        <f t="shared" si="96"/>
        <v>0.88155499354734235</v>
      </c>
      <c r="M582">
        <f t="shared" si="97"/>
        <v>0.76667099693191298</v>
      </c>
      <c r="N582">
        <f t="shared" si="98"/>
        <v>32</v>
      </c>
      <c r="O582" t="str">
        <f t="shared" si="99"/>
        <v>Other</v>
      </c>
    </row>
    <row r="583" spans="1:15" hidden="1" x14ac:dyDescent="0.3">
      <c r="A583" t="s">
        <v>648</v>
      </c>
      <c r="B583" s="2">
        <v>42295</v>
      </c>
      <c r="C583" s="3">
        <v>1219128</v>
      </c>
      <c r="D583" s="4">
        <v>35938</v>
      </c>
      <c r="E583" s="4">
        <v>2622</v>
      </c>
      <c r="F583">
        <f t="shared" si="90"/>
        <v>2015</v>
      </c>
      <c r="G583" t="str">
        <f t="shared" si="91"/>
        <v>October</v>
      </c>
      <c r="H583" t="str">
        <f t="shared" si="92"/>
        <v>Sunday</v>
      </c>
      <c r="I583">
        <f t="shared" si="93"/>
        <v>3.162916445196895</v>
      </c>
      <c r="J583">
        <f t="shared" si="94"/>
        <v>29.478446889908199</v>
      </c>
      <c r="K583">
        <f t="shared" si="95"/>
        <v>2.1507175620607515</v>
      </c>
      <c r="L583">
        <f t="shared" si="96"/>
        <v>0.87622226195944164</v>
      </c>
      <c r="M583">
        <f t="shared" si="97"/>
        <v>0.7622711902038537</v>
      </c>
      <c r="N583">
        <f t="shared" si="98"/>
        <v>18</v>
      </c>
      <c r="O583" t="str">
        <f t="shared" si="99"/>
        <v>Other</v>
      </c>
    </row>
    <row r="584" spans="1:15" hidden="1" x14ac:dyDescent="0.3">
      <c r="A584" t="s">
        <v>562</v>
      </c>
      <c r="B584" s="2">
        <v>42553</v>
      </c>
      <c r="C584" s="3">
        <v>1207797</v>
      </c>
      <c r="D584" s="4">
        <v>45872</v>
      </c>
      <c r="E584" s="4">
        <v>5025</v>
      </c>
      <c r="F584">
        <f t="shared" si="90"/>
        <v>2016</v>
      </c>
      <c r="G584" t="str">
        <f t="shared" si="91"/>
        <v>July</v>
      </c>
      <c r="H584" t="str">
        <f t="shared" si="92"/>
        <v>Saturday</v>
      </c>
      <c r="I584">
        <f t="shared" si="93"/>
        <v>4.2140359679648149</v>
      </c>
      <c r="J584">
        <f t="shared" si="94"/>
        <v>37.979892316341243</v>
      </c>
      <c r="K584">
        <f t="shared" si="95"/>
        <v>4.1604673633069131</v>
      </c>
      <c r="L584">
        <f t="shared" si="96"/>
        <v>0.8711124339346642</v>
      </c>
      <c r="M584">
        <f t="shared" si="97"/>
        <v>0.76115012165749441</v>
      </c>
      <c r="N584">
        <f t="shared" si="98"/>
        <v>45</v>
      </c>
      <c r="O584" t="str">
        <f t="shared" si="99"/>
        <v>Other</v>
      </c>
    </row>
    <row r="585" spans="1:15" hidden="1" x14ac:dyDescent="0.3">
      <c r="A585" t="s">
        <v>977</v>
      </c>
      <c r="B585" s="2">
        <v>41287</v>
      </c>
      <c r="C585" s="3">
        <v>1199681</v>
      </c>
      <c r="D585" s="4">
        <v>39151</v>
      </c>
      <c r="E585" s="4">
        <v>3500</v>
      </c>
      <c r="F585">
        <f t="shared" si="90"/>
        <v>2013</v>
      </c>
      <c r="G585" t="str">
        <f t="shared" si="91"/>
        <v>January</v>
      </c>
      <c r="H585" t="str">
        <f t="shared" si="92"/>
        <v>Sunday</v>
      </c>
      <c r="I585">
        <f t="shared" si="93"/>
        <v>3.5551950893612552</v>
      </c>
      <c r="J585">
        <f t="shared" si="94"/>
        <v>32.634508673555715</v>
      </c>
      <c r="K585">
        <f t="shared" si="95"/>
        <v>2.9174422200568317</v>
      </c>
      <c r="L585">
        <f t="shared" si="96"/>
        <v>0.86367748226731356</v>
      </c>
      <c r="M585">
        <f t="shared" si="97"/>
        <v>0.74689350577179825</v>
      </c>
      <c r="N585">
        <f t="shared" si="98"/>
        <v>25</v>
      </c>
      <c r="O585" t="str">
        <f t="shared" si="99"/>
        <v>Other</v>
      </c>
    </row>
    <row r="586" spans="1:15" hidden="1" x14ac:dyDescent="0.3">
      <c r="A586" t="s">
        <v>624</v>
      </c>
      <c r="B586" s="2">
        <v>42361</v>
      </c>
      <c r="C586" s="3">
        <v>1025874</v>
      </c>
      <c r="D586" s="4">
        <v>31276</v>
      </c>
      <c r="E586" s="4">
        <v>1803</v>
      </c>
      <c r="F586">
        <f t="shared" si="90"/>
        <v>2015</v>
      </c>
      <c r="G586" t="str">
        <f t="shared" si="91"/>
        <v>December</v>
      </c>
      <c r="H586" t="str">
        <f t="shared" si="92"/>
        <v>Wednesday</v>
      </c>
      <c r="I586">
        <f t="shared" si="93"/>
        <v>3.2244700616255022</v>
      </c>
      <c r="J586">
        <f t="shared" si="94"/>
        <v>30.487174838235493</v>
      </c>
      <c r="K586">
        <f t="shared" si="95"/>
        <v>1.757525778019523</v>
      </c>
      <c r="L586">
        <f t="shared" si="96"/>
        <v>0.85619317201210554</v>
      </c>
      <c r="M586">
        <f t="shared" si="97"/>
        <v>0.73787723291840901</v>
      </c>
      <c r="N586">
        <f t="shared" si="98"/>
        <v>14</v>
      </c>
      <c r="O586" t="str">
        <f t="shared" si="99"/>
        <v>Other</v>
      </c>
    </row>
    <row r="587" spans="1:15" hidden="1" x14ac:dyDescent="0.3">
      <c r="A587" t="s">
        <v>872</v>
      </c>
      <c r="B587" s="2">
        <v>41733</v>
      </c>
      <c r="C587" s="3">
        <v>1000554</v>
      </c>
      <c r="D587" s="4">
        <v>19237</v>
      </c>
      <c r="E587" s="4">
        <v>1872</v>
      </c>
      <c r="F587">
        <f t="shared" si="90"/>
        <v>2014</v>
      </c>
      <c r="G587" t="str">
        <f t="shared" si="91"/>
        <v>April</v>
      </c>
      <c r="H587" t="str">
        <f t="shared" si="92"/>
        <v>Friday</v>
      </c>
      <c r="I587">
        <f t="shared" si="93"/>
        <v>2.1097312089102638</v>
      </c>
      <c r="J587">
        <f t="shared" si="94"/>
        <v>19.226348602874008</v>
      </c>
      <c r="K587">
        <f t="shared" si="95"/>
        <v>1.8709634862286295</v>
      </c>
      <c r="L587">
        <f t="shared" si="96"/>
        <v>0.85116517460384888</v>
      </c>
      <c r="M587">
        <f t="shared" si="97"/>
        <v>0.7406488392265691</v>
      </c>
      <c r="N587">
        <f t="shared" si="98"/>
        <v>23</v>
      </c>
      <c r="O587" t="str">
        <f t="shared" si="99"/>
        <v>Other</v>
      </c>
    </row>
    <row r="588" spans="1:15" hidden="1" x14ac:dyDescent="0.3">
      <c r="A588" t="s">
        <v>685</v>
      </c>
      <c r="B588" s="2">
        <v>42239</v>
      </c>
      <c r="C588" s="3">
        <v>966099</v>
      </c>
      <c r="D588" s="4">
        <v>59129</v>
      </c>
      <c r="E588" s="4">
        <v>5262</v>
      </c>
      <c r="F588">
        <f t="shared" si="90"/>
        <v>2015</v>
      </c>
      <c r="G588" t="str">
        <f t="shared" si="91"/>
        <v>August</v>
      </c>
      <c r="H588" t="str">
        <f t="shared" si="92"/>
        <v>Sunday</v>
      </c>
      <c r="I588">
        <f t="shared" si="93"/>
        <v>6.6650519253202827</v>
      </c>
      <c r="J588">
        <f t="shared" si="94"/>
        <v>61.203872480977623</v>
      </c>
      <c r="K588">
        <f t="shared" si="95"/>
        <v>5.4466467722252068</v>
      </c>
      <c r="L588">
        <f t="shared" si="96"/>
        <v>0.85269575193565195</v>
      </c>
      <c r="M588">
        <f t="shared" si="97"/>
        <v>0.74264892537740945</v>
      </c>
      <c r="N588">
        <f t="shared" si="98"/>
        <v>15</v>
      </c>
      <c r="O588" t="str">
        <f t="shared" si="99"/>
        <v>Other</v>
      </c>
    </row>
    <row r="589" spans="1:15" hidden="1" x14ac:dyDescent="0.3">
      <c r="A589" t="s">
        <v>515</v>
      </c>
      <c r="B589" s="2">
        <v>42909</v>
      </c>
      <c r="C589" s="3">
        <v>964372</v>
      </c>
      <c r="D589" s="4">
        <v>29972</v>
      </c>
      <c r="E589" s="4">
        <v>4534</v>
      </c>
      <c r="F589">
        <f t="shared" si="90"/>
        <v>2017</v>
      </c>
      <c r="G589" t="str">
        <f t="shared" si="91"/>
        <v>June</v>
      </c>
      <c r="H589" t="str">
        <f t="shared" si="92"/>
        <v>Friday</v>
      </c>
      <c r="I589">
        <f t="shared" si="93"/>
        <v>3.5780798281161217</v>
      </c>
      <c r="J589">
        <f t="shared" si="94"/>
        <v>31.079293052888307</v>
      </c>
      <c r="K589">
        <f t="shared" si="95"/>
        <v>4.7015052282729073</v>
      </c>
      <c r="L589">
        <f t="shared" si="96"/>
        <v>0.85997280657065056</v>
      </c>
      <c r="M589">
        <f t="shared" si="97"/>
        <v>0.73179542602876424</v>
      </c>
      <c r="N589">
        <f t="shared" si="98"/>
        <v>30</v>
      </c>
      <c r="O589" t="str">
        <f t="shared" si="99"/>
        <v>Challenge</v>
      </c>
    </row>
    <row r="590" spans="1:15" hidden="1" x14ac:dyDescent="0.3">
      <c r="A590" t="s">
        <v>976</v>
      </c>
      <c r="B590" s="2">
        <v>41295</v>
      </c>
      <c r="C590" s="3">
        <v>954129</v>
      </c>
      <c r="D590" s="4">
        <v>34940</v>
      </c>
      <c r="E590" s="4">
        <v>4571</v>
      </c>
      <c r="F590">
        <f t="shared" si="90"/>
        <v>2013</v>
      </c>
      <c r="G590" t="str">
        <f t="shared" si="91"/>
        <v>January</v>
      </c>
      <c r="H590" t="str">
        <f t="shared" si="92"/>
        <v>Monday</v>
      </c>
      <c r="I590">
        <f t="shared" si="93"/>
        <v>4.1410543018816117</v>
      </c>
      <c r="J590">
        <f t="shared" si="94"/>
        <v>36.619786213394626</v>
      </c>
      <c r="K590">
        <f t="shared" si="95"/>
        <v>4.7907568054214895</v>
      </c>
      <c r="L590">
        <f t="shared" si="96"/>
        <v>0.85472128704908434</v>
      </c>
      <c r="M590">
        <f t="shared" si="97"/>
        <v>0.71948776917874491</v>
      </c>
      <c r="N590">
        <f t="shared" si="98"/>
        <v>32</v>
      </c>
      <c r="O590" t="str">
        <f t="shared" si="99"/>
        <v>Other</v>
      </c>
    </row>
    <row r="591" spans="1:15" hidden="1" x14ac:dyDescent="0.3">
      <c r="A591" t="s">
        <v>625</v>
      </c>
      <c r="B591" s="2">
        <v>42360</v>
      </c>
      <c r="C591" s="3">
        <v>953558</v>
      </c>
      <c r="D591" s="4">
        <v>20558</v>
      </c>
      <c r="E591" s="4">
        <v>1947</v>
      </c>
      <c r="F591">
        <f t="shared" si="90"/>
        <v>2015</v>
      </c>
      <c r="G591" t="str">
        <f t="shared" si="91"/>
        <v>December</v>
      </c>
      <c r="H591" t="str">
        <f t="shared" si="92"/>
        <v>Tuesday</v>
      </c>
      <c r="I591">
        <f t="shared" si="93"/>
        <v>2.3601081423468737</v>
      </c>
      <c r="J591">
        <f t="shared" si="94"/>
        <v>21.559254916848268</v>
      </c>
      <c r="K591">
        <f t="shared" si="95"/>
        <v>2.0418265066204677</v>
      </c>
      <c r="L591">
        <f t="shared" si="96"/>
        <v>0.84851827967020044</v>
      </c>
      <c r="M591">
        <f t="shared" si="97"/>
        <v>0.70622281659093611</v>
      </c>
      <c r="N591">
        <f t="shared" si="98"/>
        <v>61</v>
      </c>
      <c r="O591" t="str">
        <f t="shared" si="99"/>
        <v>Other</v>
      </c>
    </row>
    <row r="592" spans="1:15" hidden="1" x14ac:dyDescent="0.3">
      <c r="A592" t="s">
        <v>565</v>
      </c>
      <c r="B592" s="2">
        <v>42542</v>
      </c>
      <c r="C592" s="3">
        <v>947826</v>
      </c>
      <c r="D592" s="4">
        <v>35358</v>
      </c>
      <c r="E592" s="4">
        <v>1722</v>
      </c>
      <c r="F592">
        <f t="shared" si="90"/>
        <v>2016</v>
      </c>
      <c r="G592" t="str">
        <f t="shared" si="91"/>
        <v>June</v>
      </c>
      <c r="H592" t="str">
        <f t="shared" si="92"/>
        <v>Tuesday</v>
      </c>
      <c r="I592">
        <f t="shared" si="93"/>
        <v>3.9121104506523348</v>
      </c>
      <c r="J592">
        <f t="shared" si="94"/>
        <v>37.304315349019753</v>
      </c>
      <c r="K592">
        <f t="shared" si="95"/>
        <v>1.8167891575035926</v>
      </c>
      <c r="L592">
        <f t="shared" si="96"/>
        <v>0.84744750794086876</v>
      </c>
      <c r="M592">
        <f t="shared" si="97"/>
        <v>0.70540652266740278</v>
      </c>
      <c r="N592">
        <f t="shared" si="98"/>
        <v>30</v>
      </c>
      <c r="O592" t="str">
        <f t="shared" si="99"/>
        <v>Other</v>
      </c>
    </row>
    <row r="593" spans="1:15" hidden="1" x14ac:dyDescent="0.3">
      <c r="A593" t="s">
        <v>917</v>
      </c>
      <c r="B593" s="2">
        <v>41590</v>
      </c>
      <c r="C593" s="3">
        <v>938967</v>
      </c>
      <c r="D593" s="4">
        <v>16121</v>
      </c>
      <c r="E593" s="4">
        <v>1527</v>
      </c>
      <c r="F593">
        <f t="shared" si="90"/>
        <v>2013</v>
      </c>
      <c r="G593" t="str">
        <f t="shared" si="91"/>
        <v>November</v>
      </c>
      <c r="H593" t="str">
        <f t="shared" si="92"/>
        <v>Tuesday</v>
      </c>
      <c r="I593">
        <f t="shared" si="93"/>
        <v>1.8795122725292797</v>
      </c>
      <c r="J593">
        <f t="shared" si="94"/>
        <v>17.168867489485788</v>
      </c>
      <c r="K593">
        <f t="shared" si="95"/>
        <v>1.6262552358070093</v>
      </c>
      <c r="L593">
        <f t="shared" si="96"/>
        <v>0.84039939198137192</v>
      </c>
      <c r="M593">
        <f t="shared" si="97"/>
        <v>0.70704162102396628</v>
      </c>
      <c r="N593">
        <f t="shared" si="98"/>
        <v>39</v>
      </c>
      <c r="O593" t="str">
        <f t="shared" si="99"/>
        <v>Other</v>
      </c>
    </row>
    <row r="594" spans="1:15" hidden="1" x14ac:dyDescent="0.3">
      <c r="A594" t="s">
        <v>968</v>
      </c>
      <c r="B594" s="2">
        <v>41358</v>
      </c>
      <c r="C594" s="3">
        <v>910996</v>
      </c>
      <c r="D594" s="4">
        <v>0</v>
      </c>
      <c r="E594" s="4">
        <v>1906</v>
      </c>
      <c r="F594">
        <f t="shared" si="90"/>
        <v>2013</v>
      </c>
      <c r="G594" t="str">
        <f t="shared" si="91"/>
        <v>March</v>
      </c>
      <c r="H594" t="str">
        <f t="shared" si="92"/>
        <v>Monday</v>
      </c>
      <c r="I594">
        <f t="shared" si="93"/>
        <v>0.2092215553086951</v>
      </c>
      <c r="J594">
        <f t="shared" si="94"/>
        <v>0</v>
      </c>
      <c r="K594">
        <f t="shared" si="95"/>
        <v>2.0922155530869508</v>
      </c>
      <c r="L594">
        <f t="shared" si="96"/>
        <v>0.8431856066739275</v>
      </c>
      <c r="M594">
        <f t="shared" si="97"/>
        <v>0.71107506208493032</v>
      </c>
      <c r="N594">
        <f t="shared" si="98"/>
        <v>28</v>
      </c>
      <c r="O594" t="str">
        <f t="shared" si="99"/>
        <v>Other</v>
      </c>
    </row>
    <row r="595" spans="1:15" hidden="1" x14ac:dyDescent="0.3">
      <c r="A595" t="s">
        <v>862</v>
      </c>
      <c r="B595" s="2">
        <v>41774</v>
      </c>
      <c r="C595" s="3">
        <v>893951</v>
      </c>
      <c r="D595" s="4">
        <v>8155</v>
      </c>
      <c r="E595" s="4">
        <v>638</v>
      </c>
      <c r="F595">
        <f t="shared" si="90"/>
        <v>2014</v>
      </c>
      <c r="G595" t="str">
        <f t="shared" si="91"/>
        <v>May</v>
      </c>
      <c r="H595" t="str">
        <f t="shared" si="92"/>
        <v>Thursday</v>
      </c>
      <c r="I595">
        <f t="shared" si="93"/>
        <v>0.98361095854247038</v>
      </c>
      <c r="J595">
        <f t="shared" si="94"/>
        <v>9.122423935987543</v>
      </c>
      <c r="K595">
        <f t="shared" si="95"/>
        <v>0.71368564943716151</v>
      </c>
      <c r="L595">
        <f t="shared" si="96"/>
        <v>0.87125416834652292</v>
      </c>
      <c r="M595">
        <f t="shared" si="97"/>
        <v>0.71074594436208061</v>
      </c>
      <c r="N595">
        <f t="shared" si="98"/>
        <v>50</v>
      </c>
      <c r="O595" t="str">
        <f t="shared" si="99"/>
        <v>Other</v>
      </c>
    </row>
    <row r="596" spans="1:15" hidden="1" x14ac:dyDescent="0.3">
      <c r="A596" t="s">
        <v>651</v>
      </c>
      <c r="B596" s="2">
        <v>42290</v>
      </c>
      <c r="C596" s="3">
        <v>871578</v>
      </c>
      <c r="D596" s="4">
        <v>24015</v>
      </c>
      <c r="E596" s="4">
        <v>1175</v>
      </c>
      <c r="F596">
        <f t="shared" si="90"/>
        <v>2015</v>
      </c>
      <c r="G596" t="str">
        <f t="shared" si="91"/>
        <v>October</v>
      </c>
      <c r="H596" t="str">
        <f t="shared" si="92"/>
        <v>Tuesday</v>
      </c>
      <c r="I596">
        <f t="shared" si="93"/>
        <v>2.8901601463093378</v>
      </c>
      <c r="J596">
        <f t="shared" si="94"/>
        <v>27.553471978411569</v>
      </c>
      <c r="K596">
        <f t="shared" si="95"/>
        <v>1.348129484681807</v>
      </c>
      <c r="L596">
        <f t="shared" si="96"/>
        <v>0.88499536792486977</v>
      </c>
      <c r="M596">
        <f t="shared" si="97"/>
        <v>0.72626433698762294</v>
      </c>
      <c r="N596">
        <f t="shared" si="98"/>
        <v>40</v>
      </c>
      <c r="O596" t="str">
        <f t="shared" si="99"/>
        <v>Other</v>
      </c>
    </row>
    <row r="597" spans="1:15" hidden="1" x14ac:dyDescent="0.3">
      <c r="A597" t="s">
        <v>550</v>
      </c>
      <c r="B597" s="2">
        <v>42618</v>
      </c>
      <c r="C597" s="3">
        <v>859670</v>
      </c>
      <c r="D597" s="4">
        <v>35522</v>
      </c>
      <c r="E597" s="4">
        <v>4548</v>
      </c>
      <c r="F597">
        <f t="shared" si="90"/>
        <v>2016</v>
      </c>
      <c r="G597" t="str">
        <f t="shared" si="91"/>
        <v>September</v>
      </c>
      <c r="H597" t="str">
        <f t="shared" si="92"/>
        <v>Monday</v>
      </c>
      <c r="I597">
        <f t="shared" si="93"/>
        <v>4.6610908837111911</v>
      </c>
      <c r="J597">
        <f t="shared" si="94"/>
        <v>41.320506706061629</v>
      </c>
      <c r="K597">
        <f t="shared" si="95"/>
        <v>5.2904021310502864</v>
      </c>
      <c r="L597">
        <f t="shared" si="96"/>
        <v>0.88211263697644104</v>
      </c>
      <c r="M597">
        <f t="shared" si="97"/>
        <v>0.73443307874424446</v>
      </c>
      <c r="N597">
        <f t="shared" si="98"/>
        <v>41</v>
      </c>
      <c r="O597" t="str">
        <f t="shared" si="99"/>
        <v>Challenge</v>
      </c>
    </row>
    <row r="598" spans="1:15" hidden="1" x14ac:dyDescent="0.3">
      <c r="A598" t="s">
        <v>557</v>
      </c>
      <c r="B598" s="2">
        <v>42590</v>
      </c>
      <c r="C598" s="3">
        <v>853688</v>
      </c>
      <c r="D598" s="4">
        <v>42142</v>
      </c>
      <c r="E598" s="4">
        <v>6643</v>
      </c>
      <c r="F598">
        <f t="shared" si="90"/>
        <v>2016</v>
      </c>
      <c r="G598" t="str">
        <f t="shared" si="91"/>
        <v>August</v>
      </c>
      <c r="H598" t="str">
        <f t="shared" si="92"/>
        <v>Monday</v>
      </c>
      <c r="I598">
        <f t="shared" si="93"/>
        <v>5.7146170497886821</v>
      </c>
      <c r="J598">
        <f t="shared" si="94"/>
        <v>49.364639071885748</v>
      </c>
      <c r="K598">
        <f t="shared" si="95"/>
        <v>7.7815314260010684</v>
      </c>
      <c r="L598">
        <f t="shared" si="96"/>
        <v>0.87735974043336751</v>
      </c>
      <c r="M598">
        <f t="shared" si="97"/>
        <v>0.72127605780793769</v>
      </c>
      <c r="N598">
        <f t="shared" si="98"/>
        <v>34</v>
      </c>
      <c r="O598" t="str">
        <f t="shared" si="99"/>
        <v>Other</v>
      </c>
    </row>
    <row r="599" spans="1:15" hidden="1" x14ac:dyDescent="0.3">
      <c r="A599" t="s">
        <v>688</v>
      </c>
      <c r="B599" s="2">
        <v>42236</v>
      </c>
      <c r="C599" s="3">
        <v>816672</v>
      </c>
      <c r="D599" s="4">
        <v>26609</v>
      </c>
      <c r="E599" s="4">
        <v>2595</v>
      </c>
      <c r="F599">
        <f t="shared" si="90"/>
        <v>2015</v>
      </c>
      <c r="G599" t="str">
        <f t="shared" si="91"/>
        <v>August</v>
      </c>
      <c r="H599" t="str">
        <f t="shared" si="92"/>
        <v>Thursday</v>
      </c>
      <c r="I599">
        <f t="shared" si="93"/>
        <v>3.5759766466831238</v>
      </c>
      <c r="J599">
        <f t="shared" si="94"/>
        <v>32.582236197641159</v>
      </c>
      <c r="K599">
        <f t="shared" si="95"/>
        <v>3.1775302691900786</v>
      </c>
      <c r="L599">
        <f t="shared" si="96"/>
        <v>0.87644558365166425</v>
      </c>
      <c r="M599">
        <f t="shared" si="97"/>
        <v>0.71983459693103147</v>
      </c>
      <c r="N599">
        <f t="shared" si="98"/>
        <v>28</v>
      </c>
      <c r="O599" t="str">
        <f t="shared" si="99"/>
        <v>Other</v>
      </c>
    </row>
    <row r="600" spans="1:15" hidden="1" x14ac:dyDescent="0.3">
      <c r="A600" t="s">
        <v>971</v>
      </c>
      <c r="B600" s="2">
        <v>41301</v>
      </c>
      <c r="C600" s="3">
        <v>757478</v>
      </c>
      <c r="D600" s="4">
        <v>25964</v>
      </c>
      <c r="E600" s="4">
        <v>2759</v>
      </c>
      <c r="F600">
        <f t="shared" si="90"/>
        <v>2013</v>
      </c>
      <c r="G600" t="str">
        <f t="shared" si="91"/>
        <v>January</v>
      </c>
      <c r="H600" t="str">
        <f t="shared" si="92"/>
        <v>Sunday</v>
      </c>
      <c r="I600">
        <f t="shared" si="93"/>
        <v>3.7919253100420076</v>
      </c>
      <c r="J600">
        <f t="shared" si="94"/>
        <v>34.276903091574937</v>
      </c>
      <c r="K600">
        <f t="shared" si="95"/>
        <v>3.6423500088451415</v>
      </c>
      <c r="L600">
        <f t="shared" si="96"/>
        <v>0.8713965815663256</v>
      </c>
      <c r="M600">
        <f t="shared" si="97"/>
        <v>0.71112547361505263</v>
      </c>
      <c r="N600">
        <f t="shared" si="98"/>
        <v>38</v>
      </c>
      <c r="O600" t="str">
        <f t="shared" si="99"/>
        <v>Other</v>
      </c>
    </row>
    <row r="601" spans="1:15" hidden="1" x14ac:dyDescent="0.3">
      <c r="A601" t="s">
        <v>945</v>
      </c>
      <c r="B601" s="2">
        <v>41463</v>
      </c>
      <c r="C601" s="3">
        <v>747081</v>
      </c>
      <c r="D601" s="4">
        <v>25855</v>
      </c>
      <c r="E601" s="4">
        <v>2698</v>
      </c>
      <c r="F601">
        <f t="shared" si="90"/>
        <v>2013</v>
      </c>
      <c r="G601" t="str">
        <f t="shared" si="91"/>
        <v>July</v>
      </c>
      <c r="H601" t="str">
        <f t="shared" si="92"/>
        <v>Monday</v>
      </c>
      <c r="I601">
        <f t="shared" si="93"/>
        <v>3.8219416636214816</v>
      </c>
      <c r="J601">
        <f t="shared" si="94"/>
        <v>34.608027777443141</v>
      </c>
      <c r="K601">
        <f t="shared" si="95"/>
        <v>3.6113888587716727</v>
      </c>
      <c r="L601">
        <f t="shared" si="96"/>
        <v>0.86670812313205092</v>
      </c>
      <c r="M601">
        <f t="shared" si="97"/>
        <v>0.7014738632949139</v>
      </c>
      <c r="N601">
        <f t="shared" si="98"/>
        <v>43</v>
      </c>
      <c r="O601" t="str">
        <f t="shared" si="99"/>
        <v>Other</v>
      </c>
    </row>
    <row r="602" spans="1:15" hidden="1" x14ac:dyDescent="0.3">
      <c r="A602" t="s">
        <v>587</v>
      </c>
      <c r="B602" s="2">
        <v>42464</v>
      </c>
      <c r="C602" s="3">
        <v>743939</v>
      </c>
      <c r="D602" s="4">
        <v>21464</v>
      </c>
      <c r="E602" s="4">
        <v>1836</v>
      </c>
      <c r="F602">
        <f t="shared" si="90"/>
        <v>2016</v>
      </c>
      <c r="G602" t="str">
        <f t="shared" si="91"/>
        <v>April</v>
      </c>
      <c r="H602" t="str">
        <f t="shared" si="92"/>
        <v>Monday</v>
      </c>
      <c r="I602">
        <f t="shared" si="93"/>
        <v>3.131977218562275</v>
      </c>
      <c r="J602">
        <f t="shared" si="94"/>
        <v>28.851827905244921</v>
      </c>
      <c r="K602">
        <f t="shared" si="95"/>
        <v>2.4679442803778264</v>
      </c>
      <c r="L602">
        <f t="shared" si="96"/>
        <v>0.86180320534763233</v>
      </c>
      <c r="M602">
        <f t="shared" si="97"/>
        <v>0.69160491290865644</v>
      </c>
      <c r="N602">
        <f t="shared" si="98"/>
        <v>32</v>
      </c>
      <c r="O602" t="str">
        <f t="shared" si="99"/>
        <v>Other</v>
      </c>
    </row>
    <row r="603" spans="1:15" hidden="1" x14ac:dyDescent="0.3">
      <c r="A603" t="s">
        <v>658</v>
      </c>
      <c r="B603" s="2">
        <v>42280</v>
      </c>
      <c r="C603" s="3">
        <v>731929</v>
      </c>
      <c r="D603" s="4">
        <v>15890</v>
      </c>
      <c r="E603" s="4">
        <v>828</v>
      </c>
      <c r="F603">
        <f t="shared" si="90"/>
        <v>2015</v>
      </c>
      <c r="G603" t="str">
        <f t="shared" si="91"/>
        <v>October</v>
      </c>
      <c r="H603" t="str">
        <f t="shared" si="92"/>
        <v>Saturday</v>
      </c>
      <c r="I603">
        <f t="shared" si="93"/>
        <v>2.2841013267680337</v>
      </c>
      <c r="J603">
        <f t="shared" si="94"/>
        <v>21.709756000923587</v>
      </c>
      <c r="K603">
        <f t="shared" si="95"/>
        <v>1.1312572667567482</v>
      </c>
      <c r="L603">
        <f t="shared" si="96"/>
        <v>0.85770680888184103</v>
      </c>
      <c r="M603">
        <f t="shared" si="97"/>
        <v>0.68789856815126826</v>
      </c>
      <c r="N603">
        <f t="shared" si="98"/>
        <v>51</v>
      </c>
      <c r="O603" t="str">
        <f t="shared" si="99"/>
        <v>Other</v>
      </c>
    </row>
    <row r="604" spans="1:15" hidden="1" x14ac:dyDescent="0.3">
      <c r="A604" t="s">
        <v>564</v>
      </c>
      <c r="B604" s="2">
        <v>42547</v>
      </c>
      <c r="C604" s="3">
        <v>723173</v>
      </c>
      <c r="D604" s="4">
        <v>17281</v>
      </c>
      <c r="E604" s="4">
        <v>1394</v>
      </c>
      <c r="F604">
        <f t="shared" si="90"/>
        <v>2016</v>
      </c>
      <c r="G604" t="str">
        <f t="shared" si="91"/>
        <v>June</v>
      </c>
      <c r="H604" t="str">
        <f t="shared" si="92"/>
        <v>Sunday</v>
      </c>
      <c r="I604">
        <f t="shared" si="93"/>
        <v>2.5823696404594751</v>
      </c>
      <c r="J604">
        <f t="shared" si="94"/>
        <v>23.896080191046956</v>
      </c>
      <c r="K604">
        <f t="shared" si="95"/>
        <v>1.9276162135477957</v>
      </c>
      <c r="L604">
        <f t="shared" si="96"/>
        <v>0.85726882243533975</v>
      </c>
      <c r="M604">
        <f t="shared" si="97"/>
        <v>0.69694056790918801</v>
      </c>
      <c r="N604">
        <f t="shared" si="98"/>
        <v>46</v>
      </c>
      <c r="O604" t="str">
        <f t="shared" si="99"/>
        <v>Other</v>
      </c>
    </row>
    <row r="605" spans="1:15" hidden="1" x14ac:dyDescent="0.3">
      <c r="A605" t="s">
        <v>568</v>
      </c>
      <c r="B605" s="2">
        <v>42534</v>
      </c>
      <c r="C605" s="3">
        <v>688881</v>
      </c>
      <c r="D605" s="4">
        <v>19114</v>
      </c>
      <c r="E605" s="4">
        <v>3604</v>
      </c>
      <c r="F605">
        <f t="shared" si="90"/>
        <v>2016</v>
      </c>
      <c r="G605" t="str">
        <f t="shared" si="91"/>
        <v>June</v>
      </c>
      <c r="H605" t="str">
        <f t="shared" si="92"/>
        <v>Monday</v>
      </c>
      <c r="I605">
        <f t="shared" si="93"/>
        <v>3.2978119588143673</v>
      </c>
      <c r="J605">
        <f t="shared" si="94"/>
        <v>27.746446773825959</v>
      </c>
      <c r="K605">
        <f t="shared" si="95"/>
        <v>5.2316728143177116</v>
      </c>
      <c r="L605">
        <f t="shared" si="96"/>
        <v>0.85552731913348312</v>
      </c>
      <c r="M605">
        <f t="shared" si="97"/>
        <v>0.69828129385504711</v>
      </c>
      <c r="N605">
        <f t="shared" si="98"/>
        <v>27</v>
      </c>
      <c r="O605" t="str">
        <f t="shared" si="99"/>
        <v>Other</v>
      </c>
    </row>
    <row r="606" spans="1:15" hidden="1" x14ac:dyDescent="0.3">
      <c r="A606" t="s">
        <v>957</v>
      </c>
      <c r="B606" s="2">
        <v>41382</v>
      </c>
      <c r="C606" s="3">
        <v>681463</v>
      </c>
      <c r="D606" s="4">
        <v>21486</v>
      </c>
      <c r="E606" s="4">
        <v>1707</v>
      </c>
      <c r="F606">
        <f t="shared" si="90"/>
        <v>2013</v>
      </c>
      <c r="G606" t="str">
        <f t="shared" si="91"/>
        <v>April</v>
      </c>
      <c r="H606" t="str">
        <f t="shared" si="92"/>
        <v>Thursday</v>
      </c>
      <c r="I606">
        <f t="shared" si="93"/>
        <v>3.4034129512534061</v>
      </c>
      <c r="J606">
        <f t="shared" si="94"/>
        <v>31.529224624080836</v>
      </c>
      <c r="K606">
        <f t="shared" si="95"/>
        <v>2.5049048884532246</v>
      </c>
      <c r="L606">
        <f t="shared" si="96"/>
        <v>0.85218701259168739</v>
      </c>
      <c r="M606">
        <f t="shared" si="97"/>
        <v>0.68634932931461656</v>
      </c>
      <c r="N606">
        <f t="shared" si="98"/>
        <v>11</v>
      </c>
      <c r="O606" t="str">
        <f t="shared" si="99"/>
        <v>Other</v>
      </c>
    </row>
    <row r="607" spans="1:15" hidden="1" x14ac:dyDescent="0.3">
      <c r="A607" t="s">
        <v>930</v>
      </c>
      <c r="B607" s="2">
        <v>41495</v>
      </c>
      <c r="C607" s="3">
        <v>677714</v>
      </c>
      <c r="D607" s="4">
        <v>19790</v>
      </c>
      <c r="E607" s="4">
        <v>1718</v>
      </c>
      <c r="F607">
        <f t="shared" si="90"/>
        <v>2013</v>
      </c>
      <c r="G607" t="str">
        <f t="shared" si="91"/>
        <v>August</v>
      </c>
      <c r="H607" t="str">
        <f t="shared" si="92"/>
        <v>Friday</v>
      </c>
      <c r="I607">
        <f t="shared" si="93"/>
        <v>3.1736101069182578</v>
      </c>
      <c r="J607">
        <f t="shared" si="94"/>
        <v>29.201108432170503</v>
      </c>
      <c r="K607">
        <f t="shared" si="95"/>
        <v>2.5349926370120732</v>
      </c>
      <c r="L607">
        <f t="shared" si="96"/>
        <v>0.84756029149279877</v>
      </c>
      <c r="M607">
        <f t="shared" si="97"/>
        <v>0.68304376891873642</v>
      </c>
      <c r="N607">
        <f t="shared" si="98"/>
        <v>55</v>
      </c>
      <c r="O607" t="str">
        <f t="shared" si="99"/>
        <v>Challenge</v>
      </c>
    </row>
    <row r="608" spans="1:15" hidden="1" x14ac:dyDescent="0.3">
      <c r="A608" t="s">
        <v>956</v>
      </c>
      <c r="B608" s="2">
        <v>41385</v>
      </c>
      <c r="C608" s="3">
        <v>674901</v>
      </c>
      <c r="D608" s="4">
        <v>19736</v>
      </c>
      <c r="E608" s="4">
        <v>2113</v>
      </c>
      <c r="F608">
        <f t="shared" si="90"/>
        <v>2013</v>
      </c>
      <c r="G608" t="str">
        <f t="shared" si="91"/>
        <v>April</v>
      </c>
      <c r="H608" t="str">
        <f t="shared" si="92"/>
        <v>Sunday</v>
      </c>
      <c r="I608">
        <f t="shared" si="93"/>
        <v>3.2373637022318831</v>
      </c>
      <c r="J608">
        <f t="shared" si="94"/>
        <v>29.242807463613183</v>
      </c>
      <c r="K608">
        <f t="shared" si="95"/>
        <v>3.1308295587056474</v>
      </c>
      <c r="L608">
        <f t="shared" si="96"/>
        <v>0.84338402174666804</v>
      </c>
      <c r="M608">
        <f t="shared" si="97"/>
        <v>0.67951825180533965</v>
      </c>
      <c r="N608">
        <f t="shared" si="98"/>
        <v>35</v>
      </c>
      <c r="O608" t="str">
        <f t="shared" si="99"/>
        <v>Other</v>
      </c>
    </row>
    <row r="609" spans="1:15" hidden="1" x14ac:dyDescent="0.3">
      <c r="A609" t="s">
        <v>577</v>
      </c>
      <c r="B609" s="2">
        <v>42491</v>
      </c>
      <c r="C609" s="3">
        <v>652708</v>
      </c>
      <c r="D609" s="4">
        <v>13064</v>
      </c>
      <c r="E609" s="4">
        <v>1335</v>
      </c>
      <c r="F609">
        <f t="shared" si="90"/>
        <v>2016</v>
      </c>
      <c r="G609" t="str">
        <f t="shared" si="91"/>
        <v>May</v>
      </c>
      <c r="H609" t="str">
        <f t="shared" si="92"/>
        <v>Sunday</v>
      </c>
      <c r="I609">
        <f t="shared" si="93"/>
        <v>2.2060400669211959</v>
      </c>
      <c r="J609">
        <f t="shared" si="94"/>
        <v>20.015075654044381</v>
      </c>
      <c r="K609">
        <f t="shared" si="95"/>
        <v>2.0453250151675788</v>
      </c>
      <c r="L609">
        <f t="shared" si="96"/>
        <v>0.83898168456902067</v>
      </c>
      <c r="M609">
        <f t="shared" si="97"/>
        <v>0.67204973589222383</v>
      </c>
      <c r="N609">
        <f t="shared" si="98"/>
        <v>34</v>
      </c>
      <c r="O609" t="str">
        <f t="shared" si="99"/>
        <v>Other</v>
      </c>
    </row>
    <row r="610" spans="1:15" hidden="1" x14ac:dyDescent="0.3">
      <c r="A610" t="s">
        <v>973</v>
      </c>
      <c r="B610" s="2">
        <v>41300</v>
      </c>
      <c r="C610" s="3">
        <v>648551</v>
      </c>
      <c r="D610" s="4">
        <v>25814</v>
      </c>
      <c r="E610" s="4">
        <v>2463</v>
      </c>
      <c r="F610">
        <f t="shared" si="90"/>
        <v>2013</v>
      </c>
      <c r="G610" t="str">
        <f t="shared" si="91"/>
        <v>January</v>
      </c>
      <c r="H610" t="str">
        <f t="shared" si="92"/>
        <v>Saturday</v>
      </c>
      <c r="I610">
        <f t="shared" si="93"/>
        <v>4.3600271990945965</v>
      </c>
      <c r="J610">
        <f t="shared" si="94"/>
        <v>39.802575279353512</v>
      </c>
      <c r="K610">
        <f t="shared" si="95"/>
        <v>3.797696711592458</v>
      </c>
      <c r="L610">
        <f t="shared" si="96"/>
        <v>0.83983770905682054</v>
      </c>
      <c r="M610">
        <f t="shared" si="97"/>
        <v>0.67243680455351307</v>
      </c>
      <c r="N610">
        <f t="shared" si="98"/>
        <v>48</v>
      </c>
      <c r="O610" t="str">
        <f t="shared" si="99"/>
        <v>Other</v>
      </c>
    </row>
    <row r="611" spans="1:15" hidden="1" x14ac:dyDescent="0.3">
      <c r="A611" t="s">
        <v>751</v>
      </c>
      <c r="B611" s="2">
        <v>42186</v>
      </c>
      <c r="C611" s="3">
        <v>644185</v>
      </c>
      <c r="D611" s="4">
        <v>14248</v>
      </c>
      <c r="E611" s="4">
        <v>728</v>
      </c>
      <c r="F611">
        <f t="shared" si="90"/>
        <v>2015</v>
      </c>
      <c r="G611" t="str">
        <f t="shared" si="91"/>
        <v>July</v>
      </c>
      <c r="H611" t="str">
        <f t="shared" si="92"/>
        <v>Wednesday</v>
      </c>
      <c r="I611">
        <f t="shared" si="93"/>
        <v>2.3247980005743694</v>
      </c>
      <c r="J611">
        <f t="shared" si="94"/>
        <v>22.117869866575596</v>
      </c>
      <c r="K611">
        <f t="shared" si="95"/>
        <v>1.1301101391680961</v>
      </c>
      <c r="L611">
        <f t="shared" si="96"/>
        <v>0.83408674615463141</v>
      </c>
      <c r="M611">
        <f t="shared" si="97"/>
        <v>0.66205631364662521</v>
      </c>
      <c r="N611">
        <f t="shared" si="98"/>
        <v>39</v>
      </c>
      <c r="O611" t="str">
        <f t="shared" si="99"/>
        <v>Other</v>
      </c>
    </row>
    <row r="612" spans="1:15" hidden="1" x14ac:dyDescent="0.3">
      <c r="A612" t="s">
        <v>599</v>
      </c>
      <c r="B612" s="2">
        <v>42428</v>
      </c>
      <c r="C612" s="3">
        <v>640382</v>
      </c>
      <c r="D612" s="4">
        <v>24876</v>
      </c>
      <c r="E612" s="4">
        <v>1161</v>
      </c>
      <c r="F612">
        <f t="shared" si="90"/>
        <v>2016</v>
      </c>
      <c r="G612" t="str">
        <f t="shared" si="91"/>
        <v>February</v>
      </c>
      <c r="H612" t="str">
        <f t="shared" si="92"/>
        <v>Sunday</v>
      </c>
      <c r="I612">
        <f t="shared" si="93"/>
        <v>4.0658544431292567</v>
      </c>
      <c r="J612">
        <f t="shared" si="94"/>
        <v>38.8455640539553</v>
      </c>
      <c r="K612">
        <f t="shared" si="95"/>
        <v>1.8129803773372768</v>
      </c>
      <c r="L612">
        <f t="shared" si="96"/>
        <v>0.83333546804117042</v>
      </c>
      <c r="M612">
        <f t="shared" si="97"/>
        <v>0.67129535493301562</v>
      </c>
      <c r="N612">
        <f t="shared" si="98"/>
        <v>27</v>
      </c>
      <c r="O612" t="str">
        <f t="shared" si="99"/>
        <v>Other</v>
      </c>
    </row>
    <row r="613" spans="1:15" hidden="1" x14ac:dyDescent="0.3">
      <c r="A613" t="s">
        <v>888</v>
      </c>
      <c r="B613" s="2">
        <v>41692</v>
      </c>
      <c r="C613" s="3">
        <v>638731</v>
      </c>
      <c r="D613" s="4">
        <v>19943</v>
      </c>
      <c r="E613" s="4">
        <v>2267</v>
      </c>
      <c r="F613">
        <f t="shared" si="90"/>
        <v>2014</v>
      </c>
      <c r="G613" t="str">
        <f t="shared" si="91"/>
        <v>February</v>
      </c>
      <c r="H613" t="str">
        <f t="shared" si="92"/>
        <v>Saturday</v>
      </c>
      <c r="I613">
        <f t="shared" si="93"/>
        <v>3.4772071498017163</v>
      </c>
      <c r="J613">
        <f t="shared" si="94"/>
        <v>31.222846550425768</v>
      </c>
      <c r="K613">
        <f t="shared" si="95"/>
        <v>3.5492249475913962</v>
      </c>
      <c r="L613">
        <f t="shared" si="96"/>
        <v>0.82696656062033913</v>
      </c>
      <c r="M613">
        <f t="shared" si="97"/>
        <v>0.67414735578343177</v>
      </c>
      <c r="N613">
        <f t="shared" si="98"/>
        <v>27</v>
      </c>
      <c r="O613" t="str">
        <f t="shared" si="99"/>
        <v>Other</v>
      </c>
    </row>
    <row r="614" spans="1:15" hidden="1" x14ac:dyDescent="0.3">
      <c r="A614" t="s">
        <v>974</v>
      </c>
      <c r="B614" s="2">
        <v>41300</v>
      </c>
      <c r="C614" s="3">
        <v>630111</v>
      </c>
      <c r="D614" s="4">
        <v>0</v>
      </c>
      <c r="E614" s="4">
        <v>2101</v>
      </c>
      <c r="F614">
        <f t="shared" si="90"/>
        <v>2013</v>
      </c>
      <c r="G614" t="str">
        <f t="shared" si="91"/>
        <v>January</v>
      </c>
      <c r="H614" t="str">
        <f t="shared" si="92"/>
        <v>Saturday</v>
      </c>
      <c r="I614">
        <f t="shared" si="93"/>
        <v>0.33343331571738949</v>
      </c>
      <c r="J614">
        <f t="shared" si="94"/>
        <v>0</v>
      </c>
      <c r="K614">
        <f t="shared" si="95"/>
        <v>3.3343331571738948</v>
      </c>
      <c r="L614">
        <f t="shared" si="96"/>
        <v>0.82117852354506493</v>
      </c>
      <c r="M614">
        <f t="shared" si="97"/>
        <v>0.66467756439469672</v>
      </c>
      <c r="N614">
        <f t="shared" si="98"/>
        <v>25</v>
      </c>
      <c r="O614" t="str">
        <f t="shared" si="99"/>
        <v>Other</v>
      </c>
    </row>
    <row r="615" spans="1:15" hidden="1" x14ac:dyDescent="0.3">
      <c r="A615" t="s">
        <v>970</v>
      </c>
      <c r="B615" s="2">
        <v>41301</v>
      </c>
      <c r="C615" s="3">
        <v>623240</v>
      </c>
      <c r="D615" s="4">
        <v>24226</v>
      </c>
      <c r="E615" s="4">
        <v>2516</v>
      </c>
      <c r="F615">
        <f t="shared" si="90"/>
        <v>2013</v>
      </c>
      <c r="G615" t="str">
        <f t="shared" si="91"/>
        <v>January</v>
      </c>
      <c r="H615" t="str">
        <f t="shared" si="92"/>
        <v>Sunday</v>
      </c>
      <c r="I615">
        <f t="shared" si="93"/>
        <v>4.2908029009691289</v>
      </c>
      <c r="J615">
        <f t="shared" si="94"/>
        <v>38.871060907515563</v>
      </c>
      <c r="K615">
        <f t="shared" si="95"/>
        <v>4.0369681021757273</v>
      </c>
      <c r="L615">
        <f t="shared" si="96"/>
        <v>0.8475151391943837</v>
      </c>
      <c r="M615">
        <f t="shared" si="97"/>
        <v>0.65614738898992608</v>
      </c>
      <c r="N615">
        <f t="shared" si="98"/>
        <v>33</v>
      </c>
      <c r="O615" t="str">
        <f t="shared" si="99"/>
        <v>Other</v>
      </c>
    </row>
    <row r="616" spans="1:15" hidden="1" x14ac:dyDescent="0.3">
      <c r="A616" t="s">
        <v>569</v>
      </c>
      <c r="B616" s="2">
        <v>42532</v>
      </c>
      <c r="C616" s="3">
        <v>618577</v>
      </c>
      <c r="D616" s="4">
        <v>23676</v>
      </c>
      <c r="E616" s="4">
        <v>3557</v>
      </c>
      <c r="F616">
        <f t="shared" si="90"/>
        <v>2016</v>
      </c>
      <c r="G616" t="str">
        <f t="shared" si="91"/>
        <v>June</v>
      </c>
      <c r="H616" t="str">
        <f t="shared" si="92"/>
        <v>Saturday</v>
      </c>
      <c r="I616">
        <f t="shared" si="93"/>
        <v>4.4025238571754199</v>
      </c>
      <c r="J616">
        <f t="shared" si="94"/>
        <v>38.274943943922906</v>
      </c>
      <c r="K616">
        <f t="shared" si="95"/>
        <v>5.7502946278312965</v>
      </c>
      <c r="L616">
        <f t="shared" si="96"/>
        <v>0.8414632881626507</v>
      </c>
      <c r="M616">
        <f t="shared" si="97"/>
        <v>0.64378444453783623</v>
      </c>
      <c r="N616">
        <f t="shared" si="98"/>
        <v>22</v>
      </c>
      <c r="O616" t="str">
        <f t="shared" si="99"/>
        <v>Other</v>
      </c>
    </row>
    <row r="617" spans="1:15" hidden="1" x14ac:dyDescent="0.3">
      <c r="A617" t="s">
        <v>975</v>
      </c>
      <c r="B617" s="2">
        <v>41297</v>
      </c>
      <c r="C617" s="3">
        <v>612112</v>
      </c>
      <c r="D617" s="4">
        <v>26546</v>
      </c>
      <c r="E617" s="4">
        <v>2539</v>
      </c>
      <c r="F617">
        <f t="shared" si="90"/>
        <v>2013</v>
      </c>
      <c r="G617" t="str">
        <f t="shared" si="91"/>
        <v>January</v>
      </c>
      <c r="H617" t="str">
        <f t="shared" si="92"/>
        <v>Wednesday</v>
      </c>
      <c r="I617">
        <f t="shared" si="93"/>
        <v>4.7515814099380504</v>
      </c>
      <c r="J617">
        <f t="shared" si="94"/>
        <v>43.367880387902865</v>
      </c>
      <c r="K617">
        <f t="shared" si="95"/>
        <v>4.1479337114776387</v>
      </c>
      <c r="L617">
        <f t="shared" si="96"/>
        <v>0.83498477739285715</v>
      </c>
      <c r="M617">
        <f t="shared" si="97"/>
        <v>0.62662053760541325</v>
      </c>
      <c r="N617">
        <f t="shared" si="98"/>
        <v>29</v>
      </c>
      <c r="O617" t="str">
        <f t="shared" si="99"/>
        <v>Other</v>
      </c>
    </row>
    <row r="618" spans="1:15" hidden="1" x14ac:dyDescent="0.3">
      <c r="A618" t="s">
        <v>867</v>
      </c>
      <c r="B618" s="2">
        <v>41749</v>
      </c>
      <c r="C618" s="3">
        <v>602225</v>
      </c>
      <c r="D618" s="4">
        <v>10794</v>
      </c>
      <c r="E618" s="4">
        <v>455</v>
      </c>
      <c r="F618">
        <f t="shared" si="90"/>
        <v>2014</v>
      </c>
      <c r="G618" t="str">
        <f t="shared" si="91"/>
        <v>April</v>
      </c>
      <c r="H618" t="str">
        <f t="shared" si="92"/>
        <v>Sunday</v>
      </c>
      <c r="I618">
        <f t="shared" si="93"/>
        <v>1.8679065133463406</v>
      </c>
      <c r="J618">
        <f t="shared" si="94"/>
        <v>17.923533563037072</v>
      </c>
      <c r="K618">
        <f t="shared" si="95"/>
        <v>0.75553157042633567</v>
      </c>
      <c r="L618">
        <f t="shared" si="96"/>
        <v>0.82898407509142713</v>
      </c>
      <c r="M618">
        <f t="shared" si="97"/>
        <v>0.61179115953699525</v>
      </c>
      <c r="N618">
        <f t="shared" si="98"/>
        <v>11</v>
      </c>
      <c r="O618" t="str">
        <f t="shared" si="99"/>
        <v>Other</v>
      </c>
    </row>
    <row r="619" spans="1:15" hidden="1" x14ac:dyDescent="0.3">
      <c r="A619" t="s">
        <v>527</v>
      </c>
      <c r="B619" s="2">
        <v>42801</v>
      </c>
      <c r="C619" s="3">
        <v>580420</v>
      </c>
      <c r="D619" s="4">
        <v>19886</v>
      </c>
      <c r="E619" s="4">
        <v>3561</v>
      </c>
      <c r="F619">
        <f t="shared" si="90"/>
        <v>2017</v>
      </c>
      <c r="G619" t="str">
        <f t="shared" si="91"/>
        <v>March</v>
      </c>
      <c r="H619" t="str">
        <f t="shared" si="92"/>
        <v>Tuesday</v>
      </c>
      <c r="I619">
        <f t="shared" si="93"/>
        <v>4.039660935184866</v>
      </c>
      <c r="J619">
        <f t="shared" si="94"/>
        <v>34.261396919472112</v>
      </c>
      <c r="K619">
        <f t="shared" si="95"/>
        <v>6.1352124323765551</v>
      </c>
      <c r="L619">
        <f t="shared" si="96"/>
        <v>0.83153648447550332</v>
      </c>
      <c r="M619">
        <f t="shared" si="97"/>
        <v>0.62602903899226503</v>
      </c>
      <c r="N619">
        <f t="shared" si="98"/>
        <v>36</v>
      </c>
      <c r="O619" t="str">
        <f t="shared" si="99"/>
        <v>Other</v>
      </c>
    </row>
    <row r="620" spans="1:15" hidden="1" x14ac:dyDescent="0.3">
      <c r="A620" t="s">
        <v>629</v>
      </c>
      <c r="B620" s="2">
        <v>42348</v>
      </c>
      <c r="C620" s="3">
        <v>572566</v>
      </c>
      <c r="D620" s="4">
        <v>15810</v>
      </c>
      <c r="E620" s="4">
        <v>1252</v>
      </c>
      <c r="F620">
        <f t="shared" si="90"/>
        <v>2015</v>
      </c>
      <c r="G620" t="str">
        <f t="shared" si="91"/>
        <v>December</v>
      </c>
      <c r="H620" t="str">
        <f t="shared" si="92"/>
        <v>Thursday</v>
      </c>
      <c r="I620">
        <f t="shared" si="93"/>
        <v>2.9799184722809251</v>
      </c>
      <c r="J620">
        <f t="shared" si="94"/>
        <v>27.612537244614597</v>
      </c>
      <c r="K620">
        <f t="shared" si="95"/>
        <v>2.1866474781946534</v>
      </c>
      <c r="L620">
        <f t="shared" si="96"/>
        <v>0.82519261491636275</v>
      </c>
      <c r="M620">
        <f t="shared" si="97"/>
        <v>0.60864890696985174</v>
      </c>
      <c r="N620">
        <f t="shared" si="98"/>
        <v>13</v>
      </c>
      <c r="O620" t="str">
        <f t="shared" si="99"/>
        <v>Other</v>
      </c>
    </row>
    <row r="621" spans="1:15" hidden="1" x14ac:dyDescent="0.3">
      <c r="A621" t="s">
        <v>807</v>
      </c>
      <c r="B621" s="2">
        <v>42098</v>
      </c>
      <c r="C621" s="3">
        <v>564572</v>
      </c>
      <c r="D621" s="4">
        <v>18558</v>
      </c>
      <c r="E621" s="4">
        <v>1224</v>
      </c>
      <c r="F621">
        <f t="shared" si="90"/>
        <v>2015</v>
      </c>
      <c r="G621" t="str">
        <f t="shared" si="91"/>
        <v>April</v>
      </c>
      <c r="H621" t="str">
        <f t="shared" si="92"/>
        <v>Saturday</v>
      </c>
      <c r="I621">
        <f t="shared" si="93"/>
        <v>3.5038932146829813</v>
      </c>
      <c r="J621">
        <f t="shared" si="94"/>
        <v>32.870918146843984</v>
      </c>
      <c r="K621">
        <f t="shared" si="95"/>
        <v>2.1680139999858303</v>
      </c>
      <c r="L621">
        <f t="shared" si="96"/>
        <v>0.82079101687380951</v>
      </c>
      <c r="M621">
        <f t="shared" si="97"/>
        <v>0.60704072680771604</v>
      </c>
      <c r="N621">
        <f t="shared" si="98"/>
        <v>28</v>
      </c>
      <c r="O621" t="str">
        <f t="shared" si="99"/>
        <v>Other</v>
      </c>
    </row>
    <row r="622" spans="1:15" hidden="1" x14ac:dyDescent="0.3">
      <c r="A622" t="s">
        <v>885</v>
      </c>
      <c r="B622" s="2">
        <v>41696</v>
      </c>
      <c r="C622" s="3">
        <v>557797</v>
      </c>
      <c r="D622" s="4">
        <v>9496</v>
      </c>
      <c r="E622" s="4">
        <v>1901</v>
      </c>
      <c r="F622">
        <f t="shared" si="90"/>
        <v>2014</v>
      </c>
      <c r="G622" t="str">
        <f t="shared" si="91"/>
        <v>February</v>
      </c>
      <c r="H622" t="str">
        <f t="shared" si="92"/>
        <v>Wednesday</v>
      </c>
      <c r="I622">
        <f t="shared" si="93"/>
        <v>2.0432164389553904</v>
      </c>
      <c r="J622">
        <f t="shared" si="94"/>
        <v>17.024114507607607</v>
      </c>
      <c r="K622">
        <f t="shared" si="95"/>
        <v>3.4080498819462997</v>
      </c>
      <c r="L622">
        <f t="shared" si="96"/>
        <v>0.81431947987636377</v>
      </c>
      <c r="M622">
        <f t="shared" si="97"/>
        <v>0.60579836343356486</v>
      </c>
      <c r="N622">
        <f t="shared" si="98"/>
        <v>40</v>
      </c>
      <c r="O622" t="str">
        <f t="shared" si="99"/>
        <v>Other</v>
      </c>
    </row>
    <row r="623" spans="1:15" hidden="1" x14ac:dyDescent="0.3">
      <c r="A623" t="s">
        <v>630</v>
      </c>
      <c r="B623" s="2">
        <v>42346</v>
      </c>
      <c r="C623" s="3">
        <v>536207</v>
      </c>
      <c r="D623" s="4">
        <v>14011</v>
      </c>
      <c r="E623" s="4">
        <v>854</v>
      </c>
      <c r="F623">
        <f t="shared" si="90"/>
        <v>2015</v>
      </c>
      <c r="G623" t="str">
        <f t="shared" si="91"/>
        <v>December</v>
      </c>
      <c r="H623" t="str">
        <f t="shared" si="92"/>
        <v>Tuesday</v>
      </c>
      <c r="I623">
        <f t="shared" si="93"/>
        <v>2.7722502690192408</v>
      </c>
      <c r="J623">
        <f t="shared" si="94"/>
        <v>26.129834187170253</v>
      </c>
      <c r="K623">
        <f t="shared" si="95"/>
        <v>1.5926685030221537</v>
      </c>
      <c r="L623">
        <f t="shared" si="96"/>
        <v>0.81769567713045466</v>
      </c>
      <c r="M623">
        <f t="shared" si="97"/>
        <v>0.59513190919083858</v>
      </c>
      <c r="N623">
        <f t="shared" si="98"/>
        <v>45</v>
      </c>
      <c r="O623" t="str">
        <f t="shared" si="99"/>
        <v>Other</v>
      </c>
    </row>
    <row r="624" spans="1:15" hidden="1" x14ac:dyDescent="0.3">
      <c r="A624" t="s">
        <v>874</v>
      </c>
      <c r="B624" s="2">
        <v>41729</v>
      </c>
      <c r="C624" s="3">
        <v>528482</v>
      </c>
      <c r="D624" s="4">
        <v>10573</v>
      </c>
      <c r="E624" s="4">
        <v>1079</v>
      </c>
      <c r="F624">
        <f t="shared" si="90"/>
        <v>2014</v>
      </c>
      <c r="G624" t="str">
        <f t="shared" si="91"/>
        <v>March</v>
      </c>
      <c r="H624" t="str">
        <f t="shared" si="92"/>
        <v>Monday</v>
      </c>
      <c r="I624">
        <f t="shared" si="93"/>
        <v>2.2048054616808139</v>
      </c>
      <c r="J624">
        <f t="shared" si="94"/>
        <v>20.00635783243327</v>
      </c>
      <c r="K624">
        <f t="shared" si="95"/>
        <v>2.0416967843748699</v>
      </c>
      <c r="L624">
        <f t="shared" si="96"/>
        <v>0.81434527914078314</v>
      </c>
      <c r="M624">
        <f t="shared" si="97"/>
        <v>0.59954290141015976</v>
      </c>
      <c r="N624">
        <f t="shared" si="98"/>
        <v>21</v>
      </c>
      <c r="O624" t="str">
        <f t="shared" si="99"/>
        <v>Other</v>
      </c>
    </row>
    <row r="625" spans="1:15" hidden="1" x14ac:dyDescent="0.3">
      <c r="A625" t="s">
        <v>892</v>
      </c>
      <c r="B625" s="2">
        <v>41659</v>
      </c>
      <c r="C625" s="3">
        <v>524301</v>
      </c>
      <c r="D625" s="4">
        <v>7785</v>
      </c>
      <c r="E625" s="4">
        <v>792</v>
      </c>
      <c r="F625">
        <f t="shared" si="90"/>
        <v>2014</v>
      </c>
      <c r="G625" t="str">
        <f t="shared" si="91"/>
        <v>January</v>
      </c>
      <c r="H625" t="str">
        <f t="shared" si="92"/>
        <v>Monday</v>
      </c>
      <c r="I625">
        <f t="shared" si="93"/>
        <v>1.6358923595415611</v>
      </c>
      <c r="J625">
        <f t="shared" si="94"/>
        <v>14.848340933929174</v>
      </c>
      <c r="K625">
        <f t="shared" si="95"/>
        <v>1.5105826614864362</v>
      </c>
      <c r="L625">
        <f t="shared" si="96"/>
        <v>0.81524426312829645</v>
      </c>
      <c r="M625">
        <f t="shared" si="97"/>
        <v>0.60003177397426088</v>
      </c>
      <c r="N625">
        <f t="shared" si="98"/>
        <v>19</v>
      </c>
      <c r="O625" t="str">
        <f t="shared" si="99"/>
        <v>Other</v>
      </c>
    </row>
    <row r="626" spans="1:15" hidden="1" x14ac:dyDescent="0.3">
      <c r="A626" t="s">
        <v>633</v>
      </c>
      <c r="B626" s="2">
        <v>42340</v>
      </c>
      <c r="C626" s="3">
        <v>520671</v>
      </c>
      <c r="D626" s="4">
        <v>16363</v>
      </c>
      <c r="E626" s="4">
        <v>1708</v>
      </c>
      <c r="F626">
        <f t="shared" si="90"/>
        <v>2015</v>
      </c>
      <c r="G626" t="str">
        <f t="shared" si="91"/>
        <v>December</v>
      </c>
      <c r="H626" t="str">
        <f t="shared" si="92"/>
        <v>Wednesday</v>
      </c>
      <c r="I626">
        <f t="shared" si="93"/>
        <v>3.4707137520622426</v>
      </c>
      <c r="J626">
        <f t="shared" si="94"/>
        <v>31.42675509102677</v>
      </c>
      <c r="K626">
        <f t="shared" si="95"/>
        <v>3.2803824295956563</v>
      </c>
      <c r="L626">
        <f t="shared" si="96"/>
        <v>0.82118047253681625</v>
      </c>
      <c r="M626">
        <f t="shared" si="97"/>
        <v>0.6057482547428128</v>
      </c>
      <c r="N626">
        <f t="shared" si="98"/>
        <v>16</v>
      </c>
      <c r="O626" t="str">
        <f t="shared" si="99"/>
        <v>Other</v>
      </c>
    </row>
    <row r="627" spans="1:15" hidden="1" x14ac:dyDescent="0.3">
      <c r="A627" t="s">
        <v>914</v>
      </c>
      <c r="B627" s="2">
        <v>41595</v>
      </c>
      <c r="C627" s="3">
        <v>509101</v>
      </c>
      <c r="D627" s="4">
        <v>7940</v>
      </c>
      <c r="E627" s="4">
        <v>821</v>
      </c>
      <c r="F627">
        <f t="shared" si="90"/>
        <v>2013</v>
      </c>
      <c r="G627" t="str">
        <f t="shared" si="91"/>
        <v>November</v>
      </c>
      <c r="H627" t="str">
        <f t="shared" si="92"/>
        <v>Sunday</v>
      </c>
      <c r="I627">
        <f t="shared" si="93"/>
        <v>1.7208766040530268</v>
      </c>
      <c r="J627">
        <f t="shared" si="94"/>
        <v>15.596119434061217</v>
      </c>
      <c r="K627">
        <f t="shared" si="95"/>
        <v>1.6126466064690503</v>
      </c>
      <c r="L627">
        <f t="shared" si="96"/>
        <v>0.81572740130894317</v>
      </c>
      <c r="M627">
        <f t="shared" si="97"/>
        <v>0.59719232431367131</v>
      </c>
      <c r="N627">
        <f t="shared" si="98"/>
        <v>42</v>
      </c>
      <c r="O627" t="str">
        <f t="shared" si="99"/>
        <v>Other</v>
      </c>
    </row>
    <row r="628" spans="1:15" hidden="1" x14ac:dyDescent="0.3">
      <c r="A628" t="s">
        <v>893</v>
      </c>
      <c r="B628" s="2">
        <v>41659</v>
      </c>
      <c r="C628" s="3">
        <v>504047</v>
      </c>
      <c r="D628" s="4">
        <v>15202</v>
      </c>
      <c r="E628" s="4">
        <v>1739</v>
      </c>
      <c r="F628">
        <f t="shared" si="90"/>
        <v>2014</v>
      </c>
      <c r="G628" t="str">
        <f t="shared" si="91"/>
        <v>January</v>
      </c>
      <c r="H628" t="str">
        <f t="shared" si="92"/>
        <v>Monday</v>
      </c>
      <c r="I628">
        <f t="shared" si="93"/>
        <v>3.3609960975861379</v>
      </c>
      <c r="J628">
        <f t="shared" si="94"/>
        <v>30.159885883657676</v>
      </c>
      <c r="K628">
        <f t="shared" si="95"/>
        <v>3.4500750922037033</v>
      </c>
      <c r="L628">
        <f t="shared" si="96"/>
        <v>0.82113320085319974</v>
      </c>
      <c r="M628">
        <f t="shared" si="97"/>
        <v>0.60216492594917737</v>
      </c>
      <c r="N628">
        <f t="shared" si="98"/>
        <v>20</v>
      </c>
      <c r="O628" t="str">
        <f t="shared" si="99"/>
        <v>Other</v>
      </c>
    </row>
    <row r="629" spans="1:15" hidden="1" x14ac:dyDescent="0.3">
      <c r="A629" t="s">
        <v>803</v>
      </c>
      <c r="B629" s="2">
        <v>42105</v>
      </c>
      <c r="C629" s="3">
        <v>503411</v>
      </c>
      <c r="D629" s="4">
        <v>9717</v>
      </c>
      <c r="E629" s="4">
        <v>2794</v>
      </c>
      <c r="F629">
        <f t="shared" si="90"/>
        <v>2015</v>
      </c>
      <c r="G629" t="str">
        <f t="shared" si="91"/>
        <v>April</v>
      </c>
      <c r="H629" t="str">
        <f t="shared" si="92"/>
        <v>Saturday</v>
      </c>
      <c r="I629">
        <f t="shared" si="93"/>
        <v>2.4852456541474064</v>
      </c>
      <c r="J629">
        <f t="shared" si="94"/>
        <v>19.302319575853527</v>
      </c>
      <c r="K629">
        <f t="shared" si="95"/>
        <v>5.5501369656205366</v>
      </c>
      <c r="L629">
        <f t="shared" si="96"/>
        <v>0.81640784841193403</v>
      </c>
      <c r="M629">
        <f t="shared" si="97"/>
        <v>0.59299225947202794</v>
      </c>
      <c r="N629">
        <f t="shared" si="98"/>
        <v>28</v>
      </c>
      <c r="O629" t="str">
        <f t="shared" si="99"/>
        <v>Other</v>
      </c>
    </row>
    <row r="630" spans="1:15" hidden="1" x14ac:dyDescent="0.3">
      <c r="A630" t="s">
        <v>634</v>
      </c>
      <c r="B630" s="2">
        <v>42338</v>
      </c>
      <c r="C630" s="3">
        <v>502624</v>
      </c>
      <c r="D630" s="4">
        <v>13444</v>
      </c>
      <c r="E630" s="4">
        <v>1612</v>
      </c>
      <c r="F630">
        <f t="shared" si="90"/>
        <v>2015</v>
      </c>
      <c r="G630" t="str">
        <f t="shared" si="91"/>
        <v>November</v>
      </c>
      <c r="H630" t="str">
        <f t="shared" si="92"/>
        <v>Monday</v>
      </c>
      <c r="I630">
        <f t="shared" si="93"/>
        <v>2.9954797224167566</v>
      </c>
      <c r="J630">
        <f t="shared" si="94"/>
        <v>26.747628445915833</v>
      </c>
      <c r="K630">
        <f t="shared" si="95"/>
        <v>3.2071687782517349</v>
      </c>
      <c r="L630">
        <f t="shared" si="96"/>
        <v>0.81867831037199945</v>
      </c>
      <c r="M630">
        <f t="shared" si="97"/>
        <v>0.57432044812744232</v>
      </c>
      <c r="N630">
        <f t="shared" si="98"/>
        <v>38</v>
      </c>
      <c r="O630" t="str">
        <f t="shared" si="99"/>
        <v>Other</v>
      </c>
    </row>
    <row r="631" spans="1:15" hidden="1" x14ac:dyDescent="0.3">
      <c r="A631" t="s">
        <v>969</v>
      </c>
      <c r="B631" s="2">
        <v>41343</v>
      </c>
      <c r="C631" s="3">
        <v>488623</v>
      </c>
      <c r="D631" s="4">
        <v>18701</v>
      </c>
      <c r="E631" s="4">
        <v>2001</v>
      </c>
      <c r="F631">
        <f t="shared" si="90"/>
        <v>2013</v>
      </c>
      <c r="G631" t="str">
        <f t="shared" si="91"/>
        <v>March</v>
      </c>
      <c r="H631" t="str">
        <f t="shared" si="92"/>
        <v>Sunday</v>
      </c>
      <c r="I631">
        <f t="shared" si="93"/>
        <v>4.2368042437625739</v>
      </c>
      <c r="J631">
        <f t="shared" si="94"/>
        <v>38.272860671724416</v>
      </c>
      <c r="K631">
        <f t="shared" si="95"/>
        <v>4.0951817659013185</v>
      </c>
      <c r="L631">
        <f t="shared" si="96"/>
        <v>0.81555596658633145</v>
      </c>
      <c r="M631">
        <f t="shared" si="97"/>
        <v>0.56519576159754104</v>
      </c>
      <c r="N631">
        <f t="shared" si="98"/>
        <v>45</v>
      </c>
      <c r="O631" t="str">
        <f t="shared" si="99"/>
        <v>Other</v>
      </c>
    </row>
    <row r="632" spans="1:15" hidden="1" x14ac:dyDescent="0.3">
      <c r="A632" t="s">
        <v>955</v>
      </c>
      <c r="B632" s="2">
        <v>41385</v>
      </c>
      <c r="C632" s="3">
        <v>478832</v>
      </c>
      <c r="D632" s="4">
        <v>15098</v>
      </c>
      <c r="E632" s="4">
        <v>1348</v>
      </c>
      <c r="F632">
        <f t="shared" si="90"/>
        <v>2013</v>
      </c>
      <c r="G632" t="str">
        <f t="shared" si="91"/>
        <v>April</v>
      </c>
      <c r="H632" t="str">
        <f t="shared" si="92"/>
        <v>Sunday</v>
      </c>
      <c r="I632">
        <f t="shared" si="93"/>
        <v>3.4346075450262301</v>
      </c>
      <c r="J632">
        <f t="shared" si="94"/>
        <v>31.530891836802891</v>
      </c>
      <c r="K632">
        <f t="shared" si="95"/>
        <v>2.8151836134594181</v>
      </c>
      <c r="L632">
        <f t="shared" si="96"/>
        <v>0.80842603695970527</v>
      </c>
      <c r="M632">
        <f t="shared" si="97"/>
        <v>0.5508280636444185</v>
      </c>
      <c r="N632">
        <f t="shared" si="98"/>
        <v>28</v>
      </c>
      <c r="O632" t="str">
        <f t="shared" si="99"/>
        <v>Other</v>
      </c>
    </row>
    <row r="633" spans="1:15" hidden="1" x14ac:dyDescent="0.3">
      <c r="A633" t="s">
        <v>678</v>
      </c>
      <c r="B633" s="2">
        <v>42246</v>
      </c>
      <c r="C633" s="3">
        <v>471908</v>
      </c>
      <c r="D633" s="4">
        <v>12701</v>
      </c>
      <c r="E633" s="4">
        <v>793</v>
      </c>
      <c r="F633">
        <f t="shared" si="90"/>
        <v>2015</v>
      </c>
      <c r="G633" t="str">
        <f t="shared" si="91"/>
        <v>August</v>
      </c>
      <c r="H633" t="str">
        <f t="shared" si="92"/>
        <v>Sunday</v>
      </c>
      <c r="I633">
        <f t="shared" si="93"/>
        <v>2.8594556566110341</v>
      </c>
      <c r="J633">
        <f t="shared" si="94"/>
        <v>26.914144282360123</v>
      </c>
      <c r="K633">
        <f t="shared" si="95"/>
        <v>1.6804122837502227</v>
      </c>
      <c r="L633">
        <f t="shared" si="96"/>
        <v>0.80289185799292062</v>
      </c>
      <c r="M633">
        <f t="shared" si="97"/>
        <v>0.54479833464245864</v>
      </c>
      <c r="N633">
        <f t="shared" si="98"/>
        <v>47</v>
      </c>
      <c r="O633" t="str">
        <f t="shared" si="99"/>
        <v>Other</v>
      </c>
    </row>
    <row r="634" spans="1:15" hidden="1" x14ac:dyDescent="0.3">
      <c r="A634" t="s">
        <v>859</v>
      </c>
      <c r="B634" s="2">
        <v>41783</v>
      </c>
      <c r="C634" s="3">
        <v>470661</v>
      </c>
      <c r="D634" s="4">
        <v>6226</v>
      </c>
      <c r="E634" s="4">
        <v>480</v>
      </c>
      <c r="F634">
        <f t="shared" si="90"/>
        <v>2014</v>
      </c>
      <c r="G634" t="str">
        <f t="shared" si="91"/>
        <v>May</v>
      </c>
      <c r="H634" t="str">
        <f t="shared" si="92"/>
        <v>Saturday</v>
      </c>
      <c r="I634">
        <f t="shared" si="93"/>
        <v>1.4248046895748745</v>
      </c>
      <c r="J634">
        <f t="shared" si="94"/>
        <v>13.228204588865447</v>
      </c>
      <c r="K634">
        <f t="shared" si="95"/>
        <v>1.0198423068832982</v>
      </c>
      <c r="L634">
        <f t="shared" si="96"/>
        <v>0.79955280123421402</v>
      </c>
      <c r="M634">
        <f t="shared" si="97"/>
        <v>0.54885731384721292</v>
      </c>
      <c r="N634">
        <f t="shared" si="98"/>
        <v>38</v>
      </c>
      <c r="O634" t="str">
        <f t="shared" si="99"/>
        <v>Other</v>
      </c>
    </row>
    <row r="635" spans="1:15" hidden="1" x14ac:dyDescent="0.3">
      <c r="A635" t="s">
        <v>665</v>
      </c>
      <c r="B635" s="2">
        <v>42266</v>
      </c>
      <c r="C635" s="3">
        <v>466867</v>
      </c>
      <c r="D635" s="4">
        <v>12185</v>
      </c>
      <c r="E635" s="4">
        <v>698</v>
      </c>
      <c r="F635">
        <f t="shared" si="90"/>
        <v>2015</v>
      </c>
      <c r="G635" t="str">
        <f t="shared" si="91"/>
        <v>September</v>
      </c>
      <c r="H635" t="str">
        <f t="shared" si="92"/>
        <v>Saturday</v>
      </c>
      <c r="I635">
        <f t="shared" si="93"/>
        <v>2.7594582611321852</v>
      </c>
      <c r="J635">
        <f t="shared" si="94"/>
        <v>26.099510138861817</v>
      </c>
      <c r="K635">
        <f t="shared" si="95"/>
        <v>1.4950724724600368</v>
      </c>
      <c r="L635">
        <f t="shared" si="96"/>
        <v>0.80823637154519778</v>
      </c>
      <c r="M635">
        <f t="shared" si="97"/>
        <v>0.56022785212518456</v>
      </c>
      <c r="N635">
        <f t="shared" si="98"/>
        <v>33</v>
      </c>
      <c r="O635" t="str">
        <f t="shared" si="99"/>
        <v>Other</v>
      </c>
    </row>
    <row r="636" spans="1:15" hidden="1" x14ac:dyDescent="0.3">
      <c r="A636" t="s">
        <v>708</v>
      </c>
      <c r="B636" s="2">
        <v>42219</v>
      </c>
      <c r="C636" s="3">
        <v>464815</v>
      </c>
      <c r="D636" s="4">
        <v>10655</v>
      </c>
      <c r="E636" s="4">
        <v>707</v>
      </c>
      <c r="F636">
        <f t="shared" si="90"/>
        <v>2015</v>
      </c>
      <c r="G636" t="str">
        <f t="shared" si="91"/>
        <v>August</v>
      </c>
      <c r="H636" t="str">
        <f t="shared" si="92"/>
        <v>Monday</v>
      </c>
      <c r="I636">
        <f t="shared" si="93"/>
        <v>2.4444133687596139</v>
      </c>
      <c r="J636">
        <f t="shared" si="94"/>
        <v>22.923098437012573</v>
      </c>
      <c r="K636">
        <f t="shared" si="95"/>
        <v>1.5210352505835654</v>
      </c>
      <c r="L636">
        <f t="shared" si="96"/>
        <v>0.80571344491860919</v>
      </c>
      <c r="M636">
        <f t="shared" si="97"/>
        <v>0.56697443351653021</v>
      </c>
      <c r="N636">
        <f t="shared" si="98"/>
        <v>35</v>
      </c>
      <c r="O636" t="str">
        <f t="shared" si="99"/>
        <v>Other</v>
      </c>
    </row>
    <row r="637" spans="1:15" hidden="1" x14ac:dyDescent="0.3">
      <c r="A637" t="s">
        <v>972</v>
      </c>
      <c r="B637" s="2">
        <v>41301</v>
      </c>
      <c r="C637" s="3">
        <v>450212</v>
      </c>
      <c r="D637" s="4">
        <v>20488</v>
      </c>
      <c r="E637" s="4">
        <v>2463</v>
      </c>
      <c r="F637">
        <f t="shared" si="90"/>
        <v>2013</v>
      </c>
      <c r="G637" t="str">
        <f t="shared" si="91"/>
        <v>January</v>
      </c>
      <c r="H637" t="str">
        <f t="shared" si="92"/>
        <v>Sunday</v>
      </c>
      <c r="I637">
        <f t="shared" si="93"/>
        <v>5.0978205823034477</v>
      </c>
      <c r="J637">
        <f t="shared" si="94"/>
        <v>45.507449823638645</v>
      </c>
      <c r="K637">
        <f t="shared" si="95"/>
        <v>5.4707559993958403</v>
      </c>
      <c r="L637">
        <f t="shared" si="96"/>
        <v>0.80553142679297551</v>
      </c>
      <c r="M637">
        <f t="shared" si="97"/>
        <v>0.57388991384602461</v>
      </c>
      <c r="N637">
        <f t="shared" si="98"/>
        <v>27</v>
      </c>
      <c r="O637" t="str">
        <f t="shared" si="99"/>
        <v>Other</v>
      </c>
    </row>
    <row r="638" spans="1:15" hidden="1" x14ac:dyDescent="0.3">
      <c r="A638" t="s">
        <v>800</v>
      </c>
      <c r="B638" s="2">
        <v>42112</v>
      </c>
      <c r="C638" s="3">
        <v>445966</v>
      </c>
      <c r="D638" s="4">
        <v>22669</v>
      </c>
      <c r="E638" s="4">
        <v>3928</v>
      </c>
      <c r="F638">
        <f t="shared" si="90"/>
        <v>2015</v>
      </c>
      <c r="G638" t="str">
        <f t="shared" si="91"/>
        <v>April</v>
      </c>
      <c r="H638" t="str">
        <f t="shared" si="92"/>
        <v>Saturday</v>
      </c>
      <c r="I638">
        <f t="shared" si="93"/>
        <v>5.9639075624599185</v>
      </c>
      <c r="J638">
        <f t="shared" si="94"/>
        <v>50.831229286537535</v>
      </c>
      <c r="K638">
        <f t="shared" si="95"/>
        <v>8.8078463380616459</v>
      </c>
      <c r="L638">
        <f t="shared" si="96"/>
        <v>0.79782291262419913</v>
      </c>
      <c r="M638">
        <f t="shared" si="97"/>
        <v>0.5551734716287694</v>
      </c>
      <c r="N638">
        <f t="shared" si="98"/>
        <v>17</v>
      </c>
      <c r="O638" t="str">
        <f t="shared" si="99"/>
        <v>Other</v>
      </c>
    </row>
    <row r="639" spans="1:15" hidden="1" x14ac:dyDescent="0.3">
      <c r="A639" t="s">
        <v>570</v>
      </c>
      <c r="B639" s="2">
        <v>42527</v>
      </c>
      <c r="C639" s="3">
        <v>441891</v>
      </c>
      <c r="D639" s="4">
        <v>13087</v>
      </c>
      <c r="E639" s="4">
        <v>1748</v>
      </c>
      <c r="F639">
        <f t="shared" si="90"/>
        <v>2016</v>
      </c>
      <c r="G639" t="str">
        <f t="shared" si="91"/>
        <v>June</v>
      </c>
      <c r="H639" t="str">
        <f t="shared" si="92"/>
        <v>Monday</v>
      </c>
      <c r="I639">
        <f t="shared" si="93"/>
        <v>3.3571627392275469</v>
      </c>
      <c r="J639">
        <f t="shared" si="94"/>
        <v>29.615900753805803</v>
      </c>
      <c r="K639">
        <f t="shared" si="95"/>
        <v>3.9557266384696677</v>
      </c>
      <c r="L639">
        <f t="shared" si="96"/>
        <v>0.79095088578289008</v>
      </c>
      <c r="M639">
        <f t="shared" si="97"/>
        <v>0.53499757033909101</v>
      </c>
      <c r="N639">
        <f t="shared" si="98"/>
        <v>40</v>
      </c>
      <c r="O639" t="str">
        <f t="shared" si="99"/>
        <v>Other</v>
      </c>
    </row>
    <row r="640" spans="1:15" hidden="1" x14ac:dyDescent="0.3">
      <c r="A640" t="s">
        <v>549</v>
      </c>
      <c r="B640" s="2">
        <v>42643</v>
      </c>
      <c r="C640" s="3">
        <v>429658</v>
      </c>
      <c r="D640" s="4">
        <v>15269</v>
      </c>
      <c r="E640" s="4">
        <v>923</v>
      </c>
      <c r="F640">
        <f t="shared" si="90"/>
        <v>2016</v>
      </c>
      <c r="G640" t="str">
        <f t="shared" si="91"/>
        <v>September</v>
      </c>
      <c r="H640" t="str">
        <f t="shared" si="92"/>
        <v>Friday</v>
      </c>
      <c r="I640">
        <f t="shared" si="93"/>
        <v>3.7685787300597218</v>
      </c>
      <c r="J640">
        <f t="shared" si="94"/>
        <v>35.537567088242277</v>
      </c>
      <c r="K640">
        <f t="shared" si="95"/>
        <v>2.1482202123549428</v>
      </c>
      <c r="L640">
        <f t="shared" si="96"/>
        <v>0.78559001866961664</v>
      </c>
      <c r="M640">
        <f t="shared" si="97"/>
        <v>0.51976008541631002</v>
      </c>
      <c r="N640">
        <f t="shared" si="98"/>
        <v>38</v>
      </c>
      <c r="O640" t="str">
        <f t="shared" si="99"/>
        <v>Other</v>
      </c>
    </row>
    <row r="641" spans="1:15" hidden="1" x14ac:dyDescent="0.3">
      <c r="A641" t="s">
        <v>958</v>
      </c>
      <c r="B641" s="2">
        <v>41375</v>
      </c>
      <c r="C641" s="3">
        <v>419980</v>
      </c>
      <c r="D641" s="4">
        <v>12054</v>
      </c>
      <c r="E641" s="4">
        <v>1164</v>
      </c>
      <c r="F641">
        <f t="shared" si="90"/>
        <v>2013</v>
      </c>
      <c r="G641" t="str">
        <f t="shared" si="91"/>
        <v>April</v>
      </c>
      <c r="H641" t="str">
        <f t="shared" si="92"/>
        <v>Thursday</v>
      </c>
      <c r="I641">
        <f t="shared" si="93"/>
        <v>3.1472927282251533</v>
      </c>
      <c r="J641">
        <f t="shared" si="94"/>
        <v>28.701366731749133</v>
      </c>
      <c r="K641">
        <f t="shared" si="95"/>
        <v>2.7715605505024046</v>
      </c>
      <c r="L641">
        <f t="shared" si="96"/>
        <v>0.77792727166542197</v>
      </c>
      <c r="M641">
        <f t="shared" si="97"/>
        <v>0.51920695948028683</v>
      </c>
      <c r="N641">
        <f t="shared" si="98"/>
        <v>40</v>
      </c>
      <c r="O641" t="str">
        <f t="shared" si="99"/>
        <v>Other</v>
      </c>
    </row>
    <row r="642" spans="1:15" hidden="1" x14ac:dyDescent="0.3">
      <c r="A642" t="s">
        <v>576</v>
      </c>
      <c r="B642" s="2">
        <v>42497</v>
      </c>
      <c r="C642" s="3">
        <v>414189</v>
      </c>
      <c r="D642" s="4">
        <v>15852</v>
      </c>
      <c r="E642" s="4">
        <v>866</v>
      </c>
      <c r="F642">
        <f t="shared" ref="F642:F705" si="100">YEAR(B642)</f>
        <v>2016</v>
      </c>
      <c r="G642" t="str">
        <f t="shared" ref="G642:G705" si="101">TEXT(B642,"MMMM")</f>
        <v>May</v>
      </c>
      <c r="H642" t="str">
        <f t="shared" ref="H642:H705" si="102">TEXT(B642, "DDDD")</f>
        <v>Saturday</v>
      </c>
      <c r="I642">
        <f t="shared" ref="I642:I705" si="103">((D642+E642)/C642)*100</f>
        <v>4.0363215826591237</v>
      </c>
      <c r="J642">
        <f t="shared" ref="J642:J705" si="104">(D642/C642)*1000</f>
        <v>38.272382897662659</v>
      </c>
      <c r="K642">
        <f t="shared" ref="K642:K705" si="105">(E642/C642)*1000</f>
        <v>2.090832928928581</v>
      </c>
      <c r="L642">
        <f t="shared" ref="L642:L705" si="106">CORREL(C642:C1140, D642:D1140)</f>
        <v>0.77310821874052926</v>
      </c>
      <c r="M642">
        <f t="shared" ref="M642:M705" si="107">CORREL(C642:C1140,E642:E1140)</f>
        <v>0.51344554720729407</v>
      </c>
      <c r="N642">
        <f t="shared" ref="N642:N705" si="108">LEN(A642)</f>
        <v>41</v>
      </c>
      <c r="O642" t="str">
        <f t="shared" ref="O642:O705" si="109">IF(ISNUMBER(SEARCH("$",A642)), "Money", IF(ISNUMBER(SEARCH("Win",A642)), "Challenge",IF(ISNUMBER(SEARCH("Challenge",A642)), "Challenge",IF(ISNUMBER(SEARCH("Last To Leave",A642)),"Challenge",IF(ISNUMBER(SEARCH("Giving Away", A642)),"Giveaway",IF(ISNUMBER(SEARCH("Stranded",A642)),"Survival", IF(ISNUMBER(SEARCH("Survive",A642)), "Survival", IF(ISNUMBER(SEARCH("Days",A642)),"Endurance","Other"))))))))</f>
        <v>Other</v>
      </c>
    </row>
    <row r="643" spans="1:15" hidden="1" x14ac:dyDescent="0.3">
      <c r="A643" t="s">
        <v>551</v>
      </c>
      <c r="B643" s="2">
        <v>42610</v>
      </c>
      <c r="C643" s="3">
        <v>405685</v>
      </c>
      <c r="D643" s="4">
        <v>12052</v>
      </c>
      <c r="E643" s="4">
        <v>1059</v>
      </c>
      <c r="F643">
        <f t="shared" si="100"/>
        <v>2016</v>
      </c>
      <c r="G643" t="str">
        <f t="shared" si="101"/>
        <v>August</v>
      </c>
      <c r="H643" t="str">
        <f t="shared" si="102"/>
        <v>Sunday</v>
      </c>
      <c r="I643">
        <f t="shared" si="103"/>
        <v>3.2318177896643951</v>
      </c>
      <c r="J643">
        <f t="shared" si="104"/>
        <v>29.707778202299814</v>
      </c>
      <c r="K643">
        <f t="shared" si="105"/>
        <v>2.6103996943441339</v>
      </c>
      <c r="L643">
        <f t="shared" si="106"/>
        <v>0.76457399817697946</v>
      </c>
      <c r="M643">
        <f t="shared" si="107"/>
        <v>0.51383880085488953</v>
      </c>
      <c r="N643">
        <f t="shared" si="108"/>
        <v>46</v>
      </c>
      <c r="O643" t="str">
        <f t="shared" si="109"/>
        <v>Other</v>
      </c>
    </row>
    <row r="644" spans="1:15" hidden="1" x14ac:dyDescent="0.3">
      <c r="A644" t="s">
        <v>574</v>
      </c>
      <c r="B644" s="2">
        <v>42509</v>
      </c>
      <c r="C644" s="3">
        <v>399418</v>
      </c>
      <c r="D644" s="4">
        <v>12326</v>
      </c>
      <c r="E644" s="4">
        <v>2500</v>
      </c>
      <c r="F644">
        <f t="shared" si="100"/>
        <v>2016</v>
      </c>
      <c r="G644" t="str">
        <f t="shared" si="101"/>
        <v>May</v>
      </c>
      <c r="H644" t="str">
        <f t="shared" si="102"/>
        <v>Thursday</v>
      </c>
      <c r="I644">
        <f t="shared" si="103"/>
        <v>3.7119008156868243</v>
      </c>
      <c r="J644">
        <f t="shared" si="104"/>
        <v>30.859901156182246</v>
      </c>
      <c r="K644">
        <f t="shared" si="105"/>
        <v>6.2591070006859981</v>
      </c>
      <c r="L644">
        <f t="shared" si="106"/>
        <v>0.75899264469261873</v>
      </c>
      <c r="M644">
        <f t="shared" si="107"/>
        <v>0.50994634261902216</v>
      </c>
      <c r="N644">
        <f t="shared" si="108"/>
        <v>66</v>
      </c>
      <c r="O644" t="str">
        <f t="shared" si="109"/>
        <v>Other</v>
      </c>
    </row>
    <row r="645" spans="1:15" hidden="1" x14ac:dyDescent="0.3">
      <c r="A645" t="s">
        <v>948</v>
      </c>
      <c r="B645" s="2">
        <v>41458</v>
      </c>
      <c r="C645" s="3">
        <v>393545</v>
      </c>
      <c r="D645" s="4">
        <v>12624</v>
      </c>
      <c r="E645" s="4">
        <v>947</v>
      </c>
      <c r="F645">
        <f t="shared" si="100"/>
        <v>2013</v>
      </c>
      <c r="G645" t="str">
        <f t="shared" si="101"/>
        <v>July</v>
      </c>
      <c r="H645" t="str">
        <f t="shared" si="102"/>
        <v>Wednesday</v>
      </c>
      <c r="I645">
        <f t="shared" si="103"/>
        <v>3.4483985312988352</v>
      </c>
      <c r="J645">
        <f t="shared" si="104"/>
        <v>32.077653127342487</v>
      </c>
      <c r="K645">
        <f t="shared" si="105"/>
        <v>2.4063321856458599</v>
      </c>
      <c r="L645">
        <f t="shared" si="106"/>
        <v>0.75277875670061056</v>
      </c>
      <c r="M645">
        <f t="shared" si="107"/>
        <v>0.48662919912078229</v>
      </c>
      <c r="N645">
        <f t="shared" si="108"/>
        <v>44</v>
      </c>
      <c r="O645" t="str">
        <f t="shared" si="109"/>
        <v>Other</v>
      </c>
    </row>
    <row r="646" spans="1:15" hidden="1" x14ac:dyDescent="0.3">
      <c r="A646" t="s">
        <v>616</v>
      </c>
      <c r="B646" s="2">
        <v>42376</v>
      </c>
      <c r="C646" s="3">
        <v>389442</v>
      </c>
      <c r="D646" s="4">
        <v>23712</v>
      </c>
      <c r="E646" s="4">
        <v>2011</v>
      </c>
      <c r="F646">
        <f t="shared" si="100"/>
        <v>2016</v>
      </c>
      <c r="G646" t="str">
        <f t="shared" si="101"/>
        <v>January</v>
      </c>
      <c r="H646" t="str">
        <f t="shared" si="102"/>
        <v>Thursday</v>
      </c>
      <c r="I646">
        <f t="shared" si="103"/>
        <v>6.6050913871641983</v>
      </c>
      <c r="J646">
        <f t="shared" si="104"/>
        <v>60.88711541128076</v>
      </c>
      <c r="K646">
        <f t="shared" si="105"/>
        <v>5.1637984603612352</v>
      </c>
      <c r="L646">
        <f t="shared" si="106"/>
        <v>0.74589763099474005</v>
      </c>
      <c r="M646">
        <f t="shared" si="107"/>
        <v>0.48399076120991885</v>
      </c>
      <c r="N646">
        <f t="shared" si="108"/>
        <v>57</v>
      </c>
      <c r="O646" t="str">
        <f t="shared" si="109"/>
        <v>Other</v>
      </c>
    </row>
    <row r="647" spans="1:15" hidden="1" x14ac:dyDescent="0.3">
      <c r="A647" t="s">
        <v>834</v>
      </c>
      <c r="B647" s="2">
        <v>41945</v>
      </c>
      <c r="C647" s="3">
        <v>386888</v>
      </c>
      <c r="D647" s="4">
        <v>5011</v>
      </c>
      <c r="E647" s="4">
        <v>302</v>
      </c>
      <c r="F647">
        <f t="shared" si="100"/>
        <v>2014</v>
      </c>
      <c r="G647" t="str">
        <f t="shared" si="101"/>
        <v>November</v>
      </c>
      <c r="H647" t="str">
        <f t="shared" si="102"/>
        <v>Sunday</v>
      </c>
      <c r="I647">
        <f t="shared" si="103"/>
        <v>1.3732656479394554</v>
      </c>
      <c r="J647">
        <f t="shared" si="104"/>
        <v>12.952068815781312</v>
      </c>
      <c r="K647">
        <f t="shared" si="105"/>
        <v>0.78058766361324206</v>
      </c>
      <c r="L647">
        <f t="shared" si="106"/>
        <v>0.74187420632716505</v>
      </c>
      <c r="M647">
        <f t="shared" si="107"/>
        <v>0.46293157308331118</v>
      </c>
      <c r="N647">
        <f t="shared" si="108"/>
        <v>43</v>
      </c>
      <c r="O647" t="str">
        <f t="shared" si="109"/>
        <v>Other</v>
      </c>
    </row>
    <row r="648" spans="1:15" hidden="1" x14ac:dyDescent="0.3">
      <c r="A648" t="s">
        <v>927</v>
      </c>
      <c r="B648" s="2">
        <v>41500</v>
      </c>
      <c r="C648" s="3">
        <v>374868</v>
      </c>
      <c r="D648" s="4">
        <v>18243</v>
      </c>
      <c r="E648" s="4">
        <v>1500</v>
      </c>
      <c r="F648">
        <f t="shared" si="100"/>
        <v>2013</v>
      </c>
      <c r="G648" t="str">
        <f t="shared" si="101"/>
        <v>August</v>
      </c>
      <c r="H648" t="str">
        <f t="shared" si="102"/>
        <v>Wednesday</v>
      </c>
      <c r="I648">
        <f t="shared" si="103"/>
        <v>5.2666538621594805</v>
      </c>
      <c r="J648">
        <f t="shared" si="104"/>
        <v>48.665130125804282</v>
      </c>
      <c r="K648">
        <f t="shared" si="105"/>
        <v>4.0014084957905185</v>
      </c>
      <c r="L648">
        <f t="shared" si="106"/>
        <v>0.75009358031745199</v>
      </c>
      <c r="M648">
        <f t="shared" si="107"/>
        <v>0.47692327584689304</v>
      </c>
      <c r="N648">
        <f t="shared" si="108"/>
        <v>43</v>
      </c>
      <c r="O648" t="str">
        <f t="shared" si="109"/>
        <v>Other</v>
      </c>
    </row>
    <row r="649" spans="1:15" hidden="1" x14ac:dyDescent="0.3">
      <c r="A649" t="s">
        <v>546</v>
      </c>
      <c r="B649" s="2">
        <v>42653</v>
      </c>
      <c r="C649" s="3">
        <v>370402</v>
      </c>
      <c r="D649" s="4">
        <v>12225</v>
      </c>
      <c r="E649" s="4">
        <v>1329</v>
      </c>
      <c r="F649">
        <f t="shared" si="100"/>
        <v>2016</v>
      </c>
      <c r="G649" t="str">
        <f t="shared" si="101"/>
        <v>October</v>
      </c>
      <c r="H649" t="str">
        <f t="shared" si="102"/>
        <v>Monday</v>
      </c>
      <c r="I649">
        <f t="shared" si="103"/>
        <v>3.6592674985556233</v>
      </c>
      <c r="J649">
        <f t="shared" si="104"/>
        <v>33.004681400208426</v>
      </c>
      <c r="K649">
        <f t="shared" si="105"/>
        <v>3.5879935853478111</v>
      </c>
      <c r="L649">
        <f t="shared" si="106"/>
        <v>0.7414648692197231</v>
      </c>
      <c r="M649">
        <f t="shared" si="107"/>
        <v>0.46276244278559525</v>
      </c>
      <c r="N649">
        <f t="shared" si="108"/>
        <v>27</v>
      </c>
      <c r="O649" t="str">
        <f t="shared" si="109"/>
        <v>Other</v>
      </c>
    </row>
    <row r="650" spans="1:15" hidden="1" x14ac:dyDescent="0.3">
      <c r="A650" t="s">
        <v>842</v>
      </c>
      <c r="B650" s="2">
        <v>41831</v>
      </c>
      <c r="C650" s="3">
        <v>363851</v>
      </c>
      <c r="D650" s="4">
        <v>3128</v>
      </c>
      <c r="E650" s="4">
        <v>242</v>
      </c>
      <c r="F650">
        <f t="shared" si="100"/>
        <v>2014</v>
      </c>
      <c r="G650" t="str">
        <f t="shared" si="101"/>
        <v>July</v>
      </c>
      <c r="H650" t="str">
        <f t="shared" si="102"/>
        <v>Friday</v>
      </c>
      <c r="I650">
        <f t="shared" si="103"/>
        <v>0.92620330849715948</v>
      </c>
      <c r="J650">
        <f t="shared" si="104"/>
        <v>8.596925664626454</v>
      </c>
      <c r="K650">
        <f t="shared" si="105"/>
        <v>0.66510742034514125</v>
      </c>
      <c r="L650">
        <f t="shared" si="106"/>
        <v>0.73346294053274375</v>
      </c>
      <c r="M650">
        <f t="shared" si="107"/>
        <v>0.4510510889318784</v>
      </c>
      <c r="N650">
        <f t="shared" si="108"/>
        <v>42</v>
      </c>
      <c r="O650" t="str">
        <f t="shared" si="109"/>
        <v>Other</v>
      </c>
    </row>
    <row r="651" spans="1:15" hidden="1" x14ac:dyDescent="0.3">
      <c r="A651" t="s">
        <v>645</v>
      </c>
      <c r="B651" s="2">
        <v>42306</v>
      </c>
      <c r="C651" s="3">
        <v>362959</v>
      </c>
      <c r="D651" s="4">
        <v>14973</v>
      </c>
      <c r="E651" s="4">
        <v>1969</v>
      </c>
      <c r="F651">
        <f t="shared" si="100"/>
        <v>2015</v>
      </c>
      <c r="G651" t="str">
        <f t="shared" si="101"/>
        <v>October</v>
      </c>
      <c r="H651" t="str">
        <f t="shared" si="102"/>
        <v>Thursday</v>
      </c>
      <c r="I651">
        <f t="shared" si="103"/>
        <v>4.6677448417038834</v>
      </c>
      <c r="J651">
        <f t="shared" si="104"/>
        <v>41.252593268110168</v>
      </c>
      <c r="K651">
        <f t="shared" si="105"/>
        <v>5.4248551489286676</v>
      </c>
      <c r="L651">
        <f t="shared" si="106"/>
        <v>0.7469009436347851</v>
      </c>
      <c r="M651">
        <f t="shared" si="107"/>
        <v>0.46587564296224759</v>
      </c>
      <c r="N651">
        <f t="shared" si="108"/>
        <v>19</v>
      </c>
      <c r="O651" t="str">
        <f t="shared" si="109"/>
        <v>Other</v>
      </c>
    </row>
    <row r="652" spans="1:15" hidden="1" x14ac:dyDescent="0.3">
      <c r="A652">
        <v>1500</v>
      </c>
      <c r="B652" s="2">
        <v>41859</v>
      </c>
      <c r="C652" s="3">
        <v>351079</v>
      </c>
      <c r="D652" s="4">
        <v>9597</v>
      </c>
      <c r="E652" s="4">
        <v>1708</v>
      </c>
      <c r="F652">
        <f t="shared" si="100"/>
        <v>2014</v>
      </c>
      <c r="G652" t="str">
        <f t="shared" si="101"/>
        <v>August</v>
      </c>
      <c r="H652" t="str">
        <f t="shared" si="102"/>
        <v>Friday</v>
      </c>
      <c r="I652">
        <f t="shared" si="103"/>
        <v>3.2200729750284123</v>
      </c>
      <c r="J652">
        <f t="shared" si="104"/>
        <v>27.335727856123551</v>
      </c>
      <c r="K652">
        <f t="shared" si="105"/>
        <v>4.8650018941605735</v>
      </c>
      <c r="L652">
        <f t="shared" si="106"/>
        <v>0.73723970255471016</v>
      </c>
      <c r="M652">
        <f t="shared" si="107"/>
        <v>0.44395131402264959</v>
      </c>
      <c r="N652">
        <f t="shared" si="108"/>
        <v>4</v>
      </c>
      <c r="O652" t="str">
        <f t="shared" si="109"/>
        <v>Other</v>
      </c>
    </row>
    <row r="653" spans="1:15" hidden="1" x14ac:dyDescent="0.3">
      <c r="A653" t="s">
        <v>641</v>
      </c>
      <c r="B653" s="2">
        <v>42314</v>
      </c>
      <c r="C653" s="3">
        <v>340875</v>
      </c>
      <c r="D653" s="4">
        <v>12100</v>
      </c>
      <c r="E653" s="4">
        <v>907</v>
      </c>
      <c r="F653">
        <f t="shared" si="100"/>
        <v>2015</v>
      </c>
      <c r="G653" t="str">
        <f t="shared" si="101"/>
        <v>November</v>
      </c>
      <c r="H653" t="str">
        <f t="shared" si="102"/>
        <v>Friday</v>
      </c>
      <c r="I653">
        <f t="shared" si="103"/>
        <v>3.8157682434910156</v>
      </c>
      <c r="J653">
        <f t="shared" si="104"/>
        <v>35.496883021635497</v>
      </c>
      <c r="K653">
        <f t="shared" si="105"/>
        <v>2.6607994132746606</v>
      </c>
      <c r="L653">
        <f t="shared" si="106"/>
        <v>0.73237567670763437</v>
      </c>
      <c r="M653">
        <f t="shared" si="107"/>
        <v>0.42497157758795551</v>
      </c>
      <c r="N653">
        <f t="shared" si="108"/>
        <v>58</v>
      </c>
      <c r="O653" t="str">
        <f t="shared" si="109"/>
        <v>Other</v>
      </c>
    </row>
    <row r="654" spans="1:15" hidden="1" x14ac:dyDescent="0.3">
      <c r="A654" t="s">
        <v>967</v>
      </c>
      <c r="B654" s="2">
        <v>41359</v>
      </c>
      <c r="C654" s="3">
        <v>339940</v>
      </c>
      <c r="D654" s="4">
        <v>0</v>
      </c>
      <c r="E654" s="4">
        <v>1320</v>
      </c>
      <c r="F654">
        <f t="shared" si="100"/>
        <v>2013</v>
      </c>
      <c r="G654" t="str">
        <f t="shared" si="101"/>
        <v>March</v>
      </c>
      <c r="H654" t="str">
        <f t="shared" si="102"/>
        <v>Tuesday</v>
      </c>
      <c r="I654">
        <f t="shared" si="103"/>
        <v>0.38830381832088018</v>
      </c>
      <c r="J654">
        <f t="shared" si="104"/>
        <v>0</v>
      </c>
      <c r="K654">
        <f t="shared" si="105"/>
        <v>3.8830381832088015</v>
      </c>
      <c r="L654">
        <f t="shared" si="106"/>
        <v>0.72422430045873176</v>
      </c>
      <c r="M654">
        <f t="shared" si="107"/>
        <v>0.42069449760279742</v>
      </c>
      <c r="N654">
        <f t="shared" si="108"/>
        <v>59</v>
      </c>
      <c r="O654" t="str">
        <f t="shared" si="109"/>
        <v>Other</v>
      </c>
    </row>
    <row r="655" spans="1:15" hidden="1" x14ac:dyDescent="0.3">
      <c r="A655" t="s">
        <v>832</v>
      </c>
      <c r="B655" s="2">
        <v>41966</v>
      </c>
      <c r="C655" s="3">
        <v>333226</v>
      </c>
      <c r="D655" s="4">
        <v>17096</v>
      </c>
      <c r="E655" s="4">
        <v>942</v>
      </c>
      <c r="F655">
        <f t="shared" si="100"/>
        <v>2014</v>
      </c>
      <c r="G655" t="str">
        <f t="shared" si="101"/>
        <v>November</v>
      </c>
      <c r="H655" t="str">
        <f t="shared" si="102"/>
        <v>Sunday</v>
      </c>
      <c r="I655">
        <f t="shared" si="103"/>
        <v>5.4131430320563219</v>
      </c>
      <c r="J655">
        <f t="shared" si="104"/>
        <v>51.304520055457857</v>
      </c>
      <c r="K655">
        <f t="shared" si="105"/>
        <v>2.8269102651053641</v>
      </c>
      <c r="L655">
        <f t="shared" si="106"/>
        <v>0.75010060504523601</v>
      </c>
      <c r="M655">
        <f t="shared" si="107"/>
        <v>0.40746744174141275</v>
      </c>
      <c r="N655">
        <f t="shared" si="108"/>
        <v>35</v>
      </c>
      <c r="O655" t="str">
        <f t="shared" si="109"/>
        <v>Other</v>
      </c>
    </row>
    <row r="656" spans="1:15" hidden="1" x14ac:dyDescent="0.3">
      <c r="A656" t="s">
        <v>754</v>
      </c>
      <c r="B656" s="2">
        <v>42184</v>
      </c>
      <c r="C656" s="3">
        <v>332155</v>
      </c>
      <c r="D656" s="4">
        <v>16973</v>
      </c>
      <c r="E656" s="4">
        <v>2042</v>
      </c>
      <c r="F656">
        <f t="shared" si="100"/>
        <v>2015</v>
      </c>
      <c r="G656" t="str">
        <f t="shared" si="101"/>
        <v>June</v>
      </c>
      <c r="H656" t="str">
        <f t="shared" si="102"/>
        <v>Monday</v>
      </c>
      <c r="I656">
        <f t="shared" si="103"/>
        <v>5.7247369451009318</v>
      </c>
      <c r="J656">
        <f t="shared" si="104"/>
        <v>51.099637217564087</v>
      </c>
      <c r="K656">
        <f t="shared" si="105"/>
        <v>6.1477322334452289</v>
      </c>
      <c r="L656">
        <f t="shared" si="106"/>
        <v>0.74359376299658853</v>
      </c>
      <c r="M656">
        <f t="shared" si="107"/>
        <v>0.4018916626737965</v>
      </c>
      <c r="N656">
        <f t="shared" si="108"/>
        <v>43</v>
      </c>
      <c r="O656" t="str">
        <f t="shared" si="109"/>
        <v>Other</v>
      </c>
    </row>
    <row r="657" spans="1:15" hidden="1" x14ac:dyDescent="0.3">
      <c r="A657" t="s">
        <v>838</v>
      </c>
      <c r="B657" s="2">
        <v>41871</v>
      </c>
      <c r="C657" s="3">
        <v>330443</v>
      </c>
      <c r="D657" s="4">
        <v>5549</v>
      </c>
      <c r="E657" s="4">
        <v>436</v>
      </c>
      <c r="F657">
        <f t="shared" si="100"/>
        <v>2014</v>
      </c>
      <c r="G657" t="str">
        <f t="shared" si="101"/>
        <v>August</v>
      </c>
      <c r="H657" t="str">
        <f t="shared" si="102"/>
        <v>Wednesday</v>
      </c>
      <c r="I657">
        <f t="shared" si="103"/>
        <v>1.8112049581924872</v>
      </c>
      <c r="J657">
        <f t="shared" si="104"/>
        <v>16.792608710125496</v>
      </c>
      <c r="K657">
        <f t="shared" si="105"/>
        <v>1.3194408717993724</v>
      </c>
      <c r="L657">
        <f t="shared" si="106"/>
        <v>0.73698149485126629</v>
      </c>
      <c r="M657">
        <f t="shared" si="107"/>
        <v>0.3764320976090797</v>
      </c>
      <c r="N657">
        <f t="shared" si="108"/>
        <v>14</v>
      </c>
      <c r="O657" t="str">
        <f t="shared" si="109"/>
        <v>Other</v>
      </c>
    </row>
    <row r="658" spans="1:15" hidden="1" x14ac:dyDescent="0.3">
      <c r="A658" t="s">
        <v>823</v>
      </c>
      <c r="B658" s="2">
        <v>42051</v>
      </c>
      <c r="C658" s="3">
        <v>328773</v>
      </c>
      <c r="D658" s="4">
        <v>7696</v>
      </c>
      <c r="E658" s="4">
        <v>608</v>
      </c>
      <c r="F658">
        <f t="shared" si="100"/>
        <v>2015</v>
      </c>
      <c r="G658" t="str">
        <f t="shared" si="101"/>
        <v>February</v>
      </c>
      <c r="H658" t="str">
        <f t="shared" si="102"/>
        <v>Monday</v>
      </c>
      <c r="I658">
        <f t="shared" si="103"/>
        <v>2.5257548521320183</v>
      </c>
      <c r="J658">
        <f t="shared" si="104"/>
        <v>23.408248244229299</v>
      </c>
      <c r="K658">
        <f t="shared" si="105"/>
        <v>1.8493002770908804</v>
      </c>
      <c r="L658">
        <f t="shared" si="106"/>
        <v>0.74051296562548685</v>
      </c>
      <c r="M658">
        <f t="shared" si="107"/>
        <v>0.38364920265933744</v>
      </c>
      <c r="N658">
        <f t="shared" si="108"/>
        <v>32</v>
      </c>
      <c r="O658" t="str">
        <f t="shared" si="109"/>
        <v>Other</v>
      </c>
    </row>
    <row r="659" spans="1:15" hidden="1" x14ac:dyDescent="0.3">
      <c r="A659" t="s">
        <v>699</v>
      </c>
      <c r="B659" s="2">
        <v>42226</v>
      </c>
      <c r="C659" s="3">
        <v>325798</v>
      </c>
      <c r="D659" s="4">
        <v>7676</v>
      </c>
      <c r="E659" s="4">
        <v>640</v>
      </c>
      <c r="F659">
        <f t="shared" si="100"/>
        <v>2015</v>
      </c>
      <c r="G659" t="str">
        <f t="shared" si="101"/>
        <v>August</v>
      </c>
      <c r="H659" t="str">
        <f t="shared" si="102"/>
        <v>Monday</v>
      </c>
      <c r="I659">
        <f t="shared" si="103"/>
        <v>2.5525018569788642</v>
      </c>
      <c r="J659">
        <f t="shared" si="104"/>
        <v>23.560611176250315</v>
      </c>
      <c r="K659">
        <f t="shared" si="105"/>
        <v>1.9644073935383275</v>
      </c>
      <c r="L659">
        <f t="shared" si="106"/>
        <v>0.73814339192077805</v>
      </c>
      <c r="M659">
        <f t="shared" si="107"/>
        <v>0.38601878705923864</v>
      </c>
      <c r="N659">
        <f t="shared" si="108"/>
        <v>27</v>
      </c>
      <c r="O659" t="str">
        <f t="shared" si="109"/>
        <v>Other</v>
      </c>
    </row>
    <row r="660" spans="1:15" hidden="1" x14ac:dyDescent="0.3">
      <c r="A660" t="s">
        <v>871</v>
      </c>
      <c r="B660" s="2">
        <v>41734</v>
      </c>
      <c r="C660" s="3">
        <v>314832</v>
      </c>
      <c r="D660" s="4">
        <v>5636</v>
      </c>
      <c r="E660" s="4">
        <v>582</v>
      </c>
      <c r="F660">
        <f t="shared" si="100"/>
        <v>2014</v>
      </c>
      <c r="G660" t="str">
        <f t="shared" si="101"/>
        <v>April</v>
      </c>
      <c r="H660" t="str">
        <f t="shared" si="102"/>
        <v>Saturday</v>
      </c>
      <c r="I660">
        <f t="shared" si="103"/>
        <v>1.9750215988209585</v>
      </c>
      <c r="J660">
        <f t="shared" si="104"/>
        <v>17.901611017939729</v>
      </c>
      <c r="K660">
        <f t="shared" si="105"/>
        <v>1.8486049702698581</v>
      </c>
      <c r="L660">
        <f t="shared" si="106"/>
        <v>0.7357133015414824</v>
      </c>
      <c r="M660">
        <f t="shared" si="107"/>
        <v>0.38752969912831842</v>
      </c>
      <c r="N660">
        <f t="shared" si="108"/>
        <v>30</v>
      </c>
      <c r="O660" t="str">
        <f t="shared" si="109"/>
        <v>Other</v>
      </c>
    </row>
    <row r="661" spans="1:15" hidden="1" x14ac:dyDescent="0.3">
      <c r="A661" t="s">
        <v>816</v>
      </c>
      <c r="B661" s="2">
        <v>42064</v>
      </c>
      <c r="C661" s="3">
        <v>303846</v>
      </c>
      <c r="D661" s="4">
        <v>4457</v>
      </c>
      <c r="E661" s="4">
        <v>438</v>
      </c>
      <c r="F661">
        <f t="shared" si="100"/>
        <v>2015</v>
      </c>
      <c r="G661" t="str">
        <f t="shared" si="101"/>
        <v>March</v>
      </c>
      <c r="H661" t="str">
        <f t="shared" si="102"/>
        <v>Sunday</v>
      </c>
      <c r="I661">
        <f t="shared" si="103"/>
        <v>1.611013473930873</v>
      </c>
      <c r="J661">
        <f t="shared" si="104"/>
        <v>14.668615022083555</v>
      </c>
      <c r="K661">
        <f t="shared" si="105"/>
        <v>1.4415197172251732</v>
      </c>
      <c r="L661">
        <f t="shared" si="106"/>
        <v>0.73846219805210089</v>
      </c>
      <c r="M661">
        <f t="shared" si="107"/>
        <v>0.39038508662138444</v>
      </c>
      <c r="N661">
        <f t="shared" si="108"/>
        <v>32</v>
      </c>
      <c r="O661" t="str">
        <f t="shared" si="109"/>
        <v>Other</v>
      </c>
    </row>
    <row r="662" spans="1:15" hidden="1" x14ac:dyDescent="0.3">
      <c r="A662" t="s">
        <v>946</v>
      </c>
      <c r="B662" s="2">
        <v>41461</v>
      </c>
      <c r="C662" s="3">
        <v>302945</v>
      </c>
      <c r="D662" s="4">
        <v>10515</v>
      </c>
      <c r="E662" s="4">
        <v>942</v>
      </c>
      <c r="F662">
        <f t="shared" si="100"/>
        <v>2013</v>
      </c>
      <c r="G662" t="str">
        <f t="shared" si="101"/>
        <v>July</v>
      </c>
      <c r="H662" t="str">
        <f t="shared" si="102"/>
        <v>Saturday</v>
      </c>
      <c r="I662">
        <f t="shared" si="103"/>
        <v>3.781874597699252</v>
      </c>
      <c r="J662">
        <f t="shared" si="104"/>
        <v>34.709270659690702</v>
      </c>
      <c r="K662">
        <f t="shared" si="105"/>
        <v>3.1094753173018206</v>
      </c>
      <c r="L662">
        <f t="shared" si="106"/>
        <v>0.74447917746248027</v>
      </c>
      <c r="M662">
        <f t="shared" si="107"/>
        <v>0.39689698760388781</v>
      </c>
      <c r="N662">
        <f t="shared" si="108"/>
        <v>19</v>
      </c>
      <c r="O662" t="str">
        <f t="shared" si="109"/>
        <v>Other</v>
      </c>
    </row>
    <row r="663" spans="1:15" hidden="1" x14ac:dyDescent="0.3">
      <c r="A663" t="s">
        <v>922</v>
      </c>
      <c r="B663" s="2">
        <v>41525</v>
      </c>
      <c r="C663" s="3">
        <v>298889</v>
      </c>
      <c r="D663" s="4">
        <v>9456</v>
      </c>
      <c r="E663" s="4">
        <v>847</v>
      </c>
      <c r="F663">
        <f t="shared" si="100"/>
        <v>2013</v>
      </c>
      <c r="G663" t="str">
        <f t="shared" si="101"/>
        <v>September</v>
      </c>
      <c r="H663" t="str">
        <f t="shared" si="102"/>
        <v>Sunday</v>
      </c>
      <c r="I663">
        <f t="shared" si="103"/>
        <v>3.4470990902977361</v>
      </c>
      <c r="J663">
        <f t="shared" si="104"/>
        <v>31.637162960162467</v>
      </c>
      <c r="K663">
        <f t="shared" si="105"/>
        <v>2.8338279428148909</v>
      </c>
      <c r="L663">
        <f t="shared" si="106"/>
        <v>0.73742933920209708</v>
      </c>
      <c r="M663">
        <f t="shared" si="107"/>
        <v>0.39065812107104914</v>
      </c>
      <c r="N663">
        <f t="shared" si="108"/>
        <v>30</v>
      </c>
      <c r="O663" t="str">
        <f t="shared" si="109"/>
        <v>Other</v>
      </c>
    </row>
    <row r="664" spans="1:15" hidden="1" x14ac:dyDescent="0.3">
      <c r="A664" t="s">
        <v>768</v>
      </c>
      <c r="B664" s="2">
        <v>42166</v>
      </c>
      <c r="C664" s="3">
        <v>298238</v>
      </c>
      <c r="D664" s="4">
        <v>8317</v>
      </c>
      <c r="E664" s="4">
        <v>571</v>
      </c>
      <c r="F664">
        <f t="shared" si="100"/>
        <v>2015</v>
      </c>
      <c r="G664" t="str">
        <f t="shared" si="101"/>
        <v>June</v>
      </c>
      <c r="H664" t="str">
        <f t="shared" si="102"/>
        <v>Thursday</v>
      </c>
      <c r="I664">
        <f t="shared" si="103"/>
        <v>2.9801701996392143</v>
      </c>
      <c r="J664">
        <f t="shared" si="104"/>
        <v>27.88712370656992</v>
      </c>
      <c r="K664">
        <f t="shared" si="105"/>
        <v>1.9145782898222226</v>
      </c>
      <c r="L664">
        <f t="shared" si="106"/>
        <v>0.73131359053693235</v>
      </c>
      <c r="M664">
        <f t="shared" si="107"/>
        <v>0.38648909464541475</v>
      </c>
      <c r="N664">
        <f t="shared" si="108"/>
        <v>36</v>
      </c>
      <c r="O664" t="str">
        <f t="shared" si="109"/>
        <v>Other</v>
      </c>
    </row>
    <row r="665" spans="1:15" hidden="1" x14ac:dyDescent="0.3">
      <c r="A665" t="s">
        <v>865</v>
      </c>
      <c r="B665" s="2">
        <v>41759</v>
      </c>
      <c r="C665" s="3">
        <v>297908</v>
      </c>
      <c r="D665" s="4">
        <v>8358</v>
      </c>
      <c r="E665" s="4">
        <v>959</v>
      </c>
      <c r="F665">
        <f t="shared" si="100"/>
        <v>2014</v>
      </c>
      <c r="G665" t="str">
        <f t="shared" si="101"/>
        <v>April</v>
      </c>
      <c r="H665" t="str">
        <f t="shared" si="102"/>
        <v>Wednesday</v>
      </c>
      <c r="I665">
        <f t="shared" si="103"/>
        <v>3.1274755964928769</v>
      </c>
      <c r="J665">
        <f t="shared" si="104"/>
        <v>28.055641338936855</v>
      </c>
      <c r="K665">
        <f t="shared" si="105"/>
        <v>3.2191146259919172</v>
      </c>
      <c r="L665">
        <f t="shared" si="106"/>
        <v>0.72676177554324328</v>
      </c>
      <c r="M665">
        <f t="shared" si="107"/>
        <v>0.3893480917018296</v>
      </c>
      <c r="N665">
        <f t="shared" si="108"/>
        <v>5</v>
      </c>
      <c r="O665" t="str">
        <f t="shared" si="109"/>
        <v>Other</v>
      </c>
    </row>
    <row r="666" spans="1:15" hidden="1" x14ac:dyDescent="0.3">
      <c r="A666" t="s">
        <v>584</v>
      </c>
      <c r="B666" s="2">
        <v>42470</v>
      </c>
      <c r="C666" s="3">
        <v>297167</v>
      </c>
      <c r="D666" s="4">
        <v>10286</v>
      </c>
      <c r="E666" s="4">
        <v>551</v>
      </c>
      <c r="F666">
        <f t="shared" si="100"/>
        <v>2016</v>
      </c>
      <c r="G666" t="str">
        <f t="shared" si="101"/>
        <v>April</v>
      </c>
      <c r="H666" t="str">
        <f t="shared" si="102"/>
        <v>Sunday</v>
      </c>
      <c r="I666">
        <f t="shared" si="103"/>
        <v>3.6467710075479443</v>
      </c>
      <c r="J666">
        <f t="shared" si="104"/>
        <v>34.613533804224566</v>
      </c>
      <c r="K666">
        <f t="shared" si="105"/>
        <v>1.8541762712548837</v>
      </c>
      <c r="L666">
        <f t="shared" si="106"/>
        <v>0.72193841253881796</v>
      </c>
      <c r="M666">
        <f t="shared" si="107"/>
        <v>0.38241615827519937</v>
      </c>
      <c r="N666">
        <f t="shared" si="108"/>
        <v>39</v>
      </c>
      <c r="O666" t="str">
        <f t="shared" si="109"/>
        <v>Other</v>
      </c>
    </row>
    <row r="667" spans="1:15" hidden="1" x14ac:dyDescent="0.3">
      <c r="A667" t="s">
        <v>755</v>
      </c>
      <c r="B667" s="2">
        <v>42183</v>
      </c>
      <c r="C667" s="3">
        <v>289482</v>
      </c>
      <c r="D667" s="4">
        <v>3428</v>
      </c>
      <c r="E667" s="4">
        <v>233</v>
      </c>
      <c r="F667">
        <f t="shared" si="100"/>
        <v>2015</v>
      </c>
      <c r="G667" t="str">
        <f t="shared" si="101"/>
        <v>June</v>
      </c>
      <c r="H667" t="str">
        <f t="shared" si="102"/>
        <v>Sunday</v>
      </c>
      <c r="I667">
        <f t="shared" si="103"/>
        <v>1.2646727603097947</v>
      </c>
      <c r="J667">
        <f t="shared" si="104"/>
        <v>11.841841634367594</v>
      </c>
      <c r="K667">
        <f t="shared" si="105"/>
        <v>0.8048859687303529</v>
      </c>
      <c r="L667">
        <f t="shared" si="106"/>
        <v>0.71385294117485987</v>
      </c>
      <c r="M667">
        <f t="shared" si="107"/>
        <v>0.38595777646305202</v>
      </c>
      <c r="N667">
        <f t="shared" si="108"/>
        <v>29</v>
      </c>
      <c r="O667" t="str">
        <f t="shared" si="109"/>
        <v>Other</v>
      </c>
    </row>
    <row r="668" spans="1:15" hidden="1" x14ac:dyDescent="0.3">
      <c r="A668" t="s">
        <v>965</v>
      </c>
      <c r="B668" s="2">
        <v>41361</v>
      </c>
      <c r="C668" s="3">
        <v>280160</v>
      </c>
      <c r="D668" s="4">
        <v>0</v>
      </c>
      <c r="E668" s="4">
        <v>1159</v>
      </c>
      <c r="F668">
        <f t="shared" si="100"/>
        <v>2013</v>
      </c>
      <c r="G668" t="str">
        <f t="shared" si="101"/>
        <v>March</v>
      </c>
      <c r="H668" t="str">
        <f t="shared" si="102"/>
        <v>Thursday</v>
      </c>
      <c r="I668">
        <f t="shared" si="103"/>
        <v>0.41369217589948598</v>
      </c>
      <c r="J668">
        <f t="shared" si="104"/>
        <v>0</v>
      </c>
      <c r="K668">
        <f t="shared" si="105"/>
        <v>4.1369217589948599</v>
      </c>
      <c r="L668">
        <f t="shared" si="106"/>
        <v>0.72325093080848457</v>
      </c>
      <c r="M668">
        <f t="shared" si="107"/>
        <v>0.39871833770863968</v>
      </c>
      <c r="N668">
        <f t="shared" si="108"/>
        <v>43</v>
      </c>
      <c r="O668" t="str">
        <f t="shared" si="109"/>
        <v>Other</v>
      </c>
    </row>
    <row r="669" spans="1:15" hidden="1" x14ac:dyDescent="0.3">
      <c r="A669" t="s">
        <v>947</v>
      </c>
      <c r="B669" s="2">
        <v>41461</v>
      </c>
      <c r="C669" s="3">
        <v>279823</v>
      </c>
      <c r="D669" s="4">
        <v>7025</v>
      </c>
      <c r="E669" s="4">
        <v>852</v>
      </c>
      <c r="F669">
        <f t="shared" si="100"/>
        <v>2013</v>
      </c>
      <c r="G669" t="str">
        <f t="shared" si="101"/>
        <v>July</v>
      </c>
      <c r="H669" t="str">
        <f t="shared" si="102"/>
        <v>Saturday</v>
      </c>
      <c r="I669">
        <f t="shared" si="103"/>
        <v>2.8149937639150462</v>
      </c>
      <c r="J669">
        <f t="shared" si="104"/>
        <v>25.105155759176338</v>
      </c>
      <c r="K669">
        <f t="shared" si="105"/>
        <v>3.0447818799741264</v>
      </c>
      <c r="L669">
        <f t="shared" si="106"/>
        <v>0.74824653514697359</v>
      </c>
      <c r="M669">
        <f t="shared" si="107"/>
        <v>0.38789120603468819</v>
      </c>
      <c r="N669">
        <f t="shared" si="108"/>
        <v>60</v>
      </c>
      <c r="O669" t="str">
        <f t="shared" si="109"/>
        <v>Other</v>
      </c>
    </row>
    <row r="670" spans="1:15" hidden="1" x14ac:dyDescent="0.3">
      <c r="A670" t="s">
        <v>952</v>
      </c>
      <c r="B670" s="2">
        <v>41440</v>
      </c>
      <c r="C670" s="3">
        <v>279413</v>
      </c>
      <c r="D670" s="4">
        <v>9639</v>
      </c>
      <c r="E670" s="4">
        <v>962</v>
      </c>
      <c r="F670">
        <f t="shared" si="100"/>
        <v>2013</v>
      </c>
      <c r="G670" t="str">
        <f t="shared" si="101"/>
        <v>June</v>
      </c>
      <c r="H670" t="str">
        <f t="shared" si="102"/>
        <v>Saturday</v>
      </c>
      <c r="I670">
        <f t="shared" si="103"/>
        <v>3.7940253316774806</v>
      </c>
      <c r="J670">
        <f t="shared" si="104"/>
        <v>34.497321169737987</v>
      </c>
      <c r="K670">
        <f t="shared" si="105"/>
        <v>3.4429321470368239</v>
      </c>
      <c r="L670">
        <f t="shared" si="106"/>
        <v>0.74628925102389854</v>
      </c>
      <c r="M670">
        <f t="shared" si="107"/>
        <v>0.38334659569264673</v>
      </c>
      <c r="N670">
        <f t="shared" si="108"/>
        <v>50</v>
      </c>
      <c r="O670" t="str">
        <f t="shared" si="109"/>
        <v>Other</v>
      </c>
    </row>
    <row r="671" spans="1:15" hidden="1" x14ac:dyDescent="0.3">
      <c r="A671" t="s">
        <v>736</v>
      </c>
      <c r="B671" s="2">
        <v>42199</v>
      </c>
      <c r="C671" s="3">
        <v>278006</v>
      </c>
      <c r="D671" s="4">
        <v>7475</v>
      </c>
      <c r="E671" s="4">
        <v>574</v>
      </c>
      <c r="F671">
        <f t="shared" si="100"/>
        <v>2015</v>
      </c>
      <c r="G671" t="str">
        <f t="shared" si="101"/>
        <v>July</v>
      </c>
      <c r="H671" t="str">
        <f t="shared" si="102"/>
        <v>Tuesday</v>
      </c>
      <c r="I671">
        <f t="shared" si="103"/>
        <v>2.8952612533542443</v>
      </c>
      <c r="J671">
        <f t="shared" si="104"/>
        <v>26.887908894052647</v>
      </c>
      <c r="K671">
        <f t="shared" si="105"/>
        <v>2.0647036394897951</v>
      </c>
      <c r="L671">
        <f t="shared" si="106"/>
        <v>0.73971485796621606</v>
      </c>
      <c r="M671">
        <f t="shared" si="107"/>
        <v>0.37609087886407416</v>
      </c>
      <c r="N671">
        <f t="shared" si="108"/>
        <v>37</v>
      </c>
      <c r="O671" t="str">
        <f t="shared" si="109"/>
        <v>Other</v>
      </c>
    </row>
    <row r="672" spans="1:15" hidden="1" x14ac:dyDescent="0.3">
      <c r="A672" t="s">
        <v>937</v>
      </c>
      <c r="B672" s="2">
        <v>41485</v>
      </c>
      <c r="C672" s="3">
        <v>271369</v>
      </c>
      <c r="D672" s="4">
        <v>7140</v>
      </c>
      <c r="E672" s="4">
        <v>720</v>
      </c>
      <c r="F672">
        <f t="shared" si="100"/>
        <v>2013</v>
      </c>
      <c r="G672" t="str">
        <f t="shared" si="101"/>
        <v>July</v>
      </c>
      <c r="H672" t="str">
        <f t="shared" si="102"/>
        <v>Tuesday</v>
      </c>
      <c r="I672">
        <f t="shared" si="103"/>
        <v>2.8964251627857274</v>
      </c>
      <c r="J672">
        <f t="shared" si="104"/>
        <v>26.311037738282558</v>
      </c>
      <c r="K672">
        <f t="shared" si="105"/>
        <v>2.6532138895747117</v>
      </c>
      <c r="L672">
        <f t="shared" si="106"/>
        <v>0.73644366342236656</v>
      </c>
      <c r="M672">
        <f t="shared" si="107"/>
        <v>0.37848769152806422</v>
      </c>
      <c r="N672">
        <f t="shared" si="108"/>
        <v>29</v>
      </c>
      <c r="O672" t="str">
        <f t="shared" si="109"/>
        <v>Other</v>
      </c>
    </row>
    <row r="673" spans="1:15" hidden="1" x14ac:dyDescent="0.3">
      <c r="A673" t="s">
        <v>721</v>
      </c>
      <c r="B673" s="2">
        <v>42212</v>
      </c>
      <c r="C673" s="3">
        <v>271141</v>
      </c>
      <c r="D673" s="4">
        <v>4181</v>
      </c>
      <c r="E673" s="4">
        <v>577</v>
      </c>
      <c r="F673">
        <f t="shared" si="100"/>
        <v>2015</v>
      </c>
      <c r="G673" t="str">
        <f t="shared" si="101"/>
        <v>July</v>
      </c>
      <c r="H673" t="str">
        <f t="shared" si="102"/>
        <v>Monday</v>
      </c>
      <c r="I673">
        <f t="shared" si="103"/>
        <v>1.7548065397708206</v>
      </c>
      <c r="J673">
        <f t="shared" si="104"/>
        <v>15.420021317321984</v>
      </c>
      <c r="K673">
        <f t="shared" si="105"/>
        <v>2.1280440803862199</v>
      </c>
      <c r="L673">
        <f t="shared" si="106"/>
        <v>0.73371264763349509</v>
      </c>
      <c r="M673">
        <f t="shared" si="107"/>
        <v>0.3769188593386667</v>
      </c>
      <c r="N673">
        <f t="shared" si="108"/>
        <v>26</v>
      </c>
      <c r="O673" t="str">
        <f t="shared" si="109"/>
        <v>Other</v>
      </c>
    </row>
    <row r="674" spans="1:15" hidden="1" x14ac:dyDescent="0.3">
      <c r="A674" t="s">
        <v>961</v>
      </c>
      <c r="B674" s="2">
        <v>41368</v>
      </c>
      <c r="C674" s="3">
        <v>268919</v>
      </c>
      <c r="D674" s="4">
        <v>10763</v>
      </c>
      <c r="E674" s="4">
        <v>1017</v>
      </c>
      <c r="F674">
        <f t="shared" si="100"/>
        <v>2013</v>
      </c>
      <c r="G674" t="str">
        <f t="shared" si="101"/>
        <v>April</v>
      </c>
      <c r="H674" t="str">
        <f t="shared" si="102"/>
        <v>Thursday</v>
      </c>
      <c r="I674">
        <f t="shared" si="103"/>
        <v>4.380501191808686</v>
      </c>
      <c r="J674">
        <f t="shared" si="104"/>
        <v>40.023204013104319</v>
      </c>
      <c r="K674">
        <f t="shared" si="105"/>
        <v>3.781807904982541</v>
      </c>
      <c r="L674">
        <f t="shared" si="106"/>
        <v>0.73989741953228061</v>
      </c>
      <c r="M674">
        <f t="shared" si="107"/>
        <v>0.37913125919736318</v>
      </c>
      <c r="N674">
        <f t="shared" si="108"/>
        <v>33</v>
      </c>
      <c r="O674" t="str">
        <f t="shared" si="109"/>
        <v>Other</v>
      </c>
    </row>
    <row r="675" spans="1:15" hidden="1" x14ac:dyDescent="0.3">
      <c r="A675" t="s">
        <v>858</v>
      </c>
      <c r="B675" s="2">
        <v>41790</v>
      </c>
      <c r="C675" s="3">
        <v>257602</v>
      </c>
      <c r="D675" s="4">
        <v>6079</v>
      </c>
      <c r="E675" s="4">
        <v>946</v>
      </c>
      <c r="F675">
        <f t="shared" si="100"/>
        <v>2014</v>
      </c>
      <c r="G675" t="str">
        <f t="shared" si="101"/>
        <v>May</v>
      </c>
      <c r="H675" t="str">
        <f t="shared" si="102"/>
        <v>Saturday</v>
      </c>
      <c r="I675">
        <f t="shared" si="103"/>
        <v>2.7270751003485998</v>
      </c>
      <c r="J675">
        <f t="shared" si="104"/>
        <v>23.598419266931156</v>
      </c>
      <c r="K675">
        <f t="shared" si="105"/>
        <v>3.6723317365548405</v>
      </c>
      <c r="L675">
        <f t="shared" si="106"/>
        <v>0.73206534416847202</v>
      </c>
      <c r="M675">
        <f t="shared" si="107"/>
        <v>0.37044633456442838</v>
      </c>
      <c r="N675">
        <f t="shared" si="108"/>
        <v>37</v>
      </c>
      <c r="O675" t="str">
        <f t="shared" si="109"/>
        <v>Other</v>
      </c>
    </row>
    <row r="676" spans="1:15" hidden="1" x14ac:dyDescent="0.3">
      <c r="A676" t="s">
        <v>804</v>
      </c>
      <c r="B676" s="2">
        <v>42103</v>
      </c>
      <c r="C676" s="3">
        <v>252448</v>
      </c>
      <c r="D676" s="4">
        <v>3740</v>
      </c>
      <c r="E676" s="4">
        <v>676</v>
      </c>
      <c r="F676">
        <f t="shared" si="100"/>
        <v>2015</v>
      </c>
      <c r="G676" t="str">
        <f t="shared" si="101"/>
        <v>April</v>
      </c>
      <c r="H676" t="str">
        <f t="shared" si="102"/>
        <v>Thursday</v>
      </c>
      <c r="I676">
        <f t="shared" si="103"/>
        <v>1.749271137026239</v>
      </c>
      <c r="J676">
        <f t="shared" si="104"/>
        <v>14.814932184053745</v>
      </c>
      <c r="K676">
        <f t="shared" si="105"/>
        <v>2.6777791862086446</v>
      </c>
      <c r="L676">
        <f t="shared" si="106"/>
        <v>0.7313670026228436</v>
      </c>
      <c r="M676">
        <f t="shared" si="107"/>
        <v>0.36338947386256037</v>
      </c>
      <c r="N676">
        <f t="shared" si="108"/>
        <v>41</v>
      </c>
      <c r="O676" t="str">
        <f t="shared" si="109"/>
        <v>Other</v>
      </c>
    </row>
    <row r="677" spans="1:15" hidden="1" x14ac:dyDescent="0.3">
      <c r="A677" t="s">
        <v>677</v>
      </c>
      <c r="B677" s="2">
        <v>42247</v>
      </c>
      <c r="C677" s="3">
        <v>245946</v>
      </c>
      <c r="D677" s="4">
        <v>6875</v>
      </c>
      <c r="E677" s="4">
        <v>733</v>
      </c>
      <c r="F677">
        <f t="shared" si="100"/>
        <v>2015</v>
      </c>
      <c r="G677" t="str">
        <f t="shared" si="101"/>
        <v>August</v>
      </c>
      <c r="H677" t="str">
        <f t="shared" si="102"/>
        <v>Monday</v>
      </c>
      <c r="I677">
        <f t="shared" si="103"/>
        <v>3.0933619575028666</v>
      </c>
      <c r="J677">
        <f t="shared" si="104"/>
        <v>27.953290559716361</v>
      </c>
      <c r="K677">
        <f t="shared" si="105"/>
        <v>2.9803290153123041</v>
      </c>
      <c r="L677">
        <f t="shared" si="106"/>
        <v>0.73776766298970686</v>
      </c>
      <c r="M677">
        <f t="shared" si="107"/>
        <v>0.36237723534936528</v>
      </c>
      <c r="N677">
        <f t="shared" si="108"/>
        <v>41</v>
      </c>
      <c r="O677" t="str">
        <f t="shared" si="109"/>
        <v>Survival</v>
      </c>
    </row>
    <row r="678" spans="1:15" hidden="1" x14ac:dyDescent="0.3">
      <c r="A678" t="s">
        <v>769</v>
      </c>
      <c r="B678" s="2">
        <v>42164</v>
      </c>
      <c r="C678" s="3">
        <v>245853</v>
      </c>
      <c r="D678" s="4">
        <v>2394</v>
      </c>
      <c r="E678" s="4">
        <v>168</v>
      </c>
      <c r="F678">
        <f t="shared" si="100"/>
        <v>2015</v>
      </c>
      <c r="G678" t="str">
        <f t="shared" si="101"/>
        <v>June</v>
      </c>
      <c r="H678" t="str">
        <f t="shared" si="102"/>
        <v>Tuesday</v>
      </c>
      <c r="I678">
        <f t="shared" si="103"/>
        <v>1.0420861246354529</v>
      </c>
      <c r="J678">
        <f t="shared" si="104"/>
        <v>9.7375260826591497</v>
      </c>
      <c r="K678">
        <f t="shared" si="105"/>
        <v>0.68333516369537894</v>
      </c>
      <c r="L678">
        <f t="shared" si="106"/>
        <v>0.73508111931131781</v>
      </c>
      <c r="M678">
        <f t="shared" si="107"/>
        <v>0.35994000864429954</v>
      </c>
      <c r="N678">
        <f t="shared" si="108"/>
        <v>41</v>
      </c>
      <c r="O678" t="str">
        <f t="shared" si="109"/>
        <v>Other</v>
      </c>
    </row>
    <row r="679" spans="1:15" hidden="1" x14ac:dyDescent="0.3">
      <c r="A679" t="s">
        <v>954</v>
      </c>
      <c r="B679" s="2">
        <v>41385</v>
      </c>
      <c r="C679" s="3">
        <v>245371</v>
      </c>
      <c r="D679" s="4">
        <v>8468</v>
      </c>
      <c r="E679" s="4">
        <v>999</v>
      </c>
      <c r="F679">
        <f t="shared" si="100"/>
        <v>2013</v>
      </c>
      <c r="G679" t="str">
        <f t="shared" si="101"/>
        <v>April</v>
      </c>
      <c r="H679" t="str">
        <f t="shared" si="102"/>
        <v>Sunday</v>
      </c>
      <c r="I679">
        <f t="shared" si="103"/>
        <v>3.8582391562165053</v>
      </c>
      <c r="J679">
        <f t="shared" si="104"/>
        <v>34.511005783079504</v>
      </c>
      <c r="K679">
        <f t="shared" si="105"/>
        <v>4.0713857790855483</v>
      </c>
      <c r="L679">
        <f t="shared" si="106"/>
        <v>0.74651896512373039</v>
      </c>
      <c r="M679">
        <f t="shared" si="107"/>
        <v>0.37226487484888265</v>
      </c>
      <c r="N679">
        <f t="shared" si="108"/>
        <v>44</v>
      </c>
      <c r="O679" t="str">
        <f t="shared" si="109"/>
        <v>Other</v>
      </c>
    </row>
    <row r="680" spans="1:15" hidden="1" x14ac:dyDescent="0.3">
      <c r="A680" t="s">
        <v>953</v>
      </c>
      <c r="B680" s="2">
        <v>41385</v>
      </c>
      <c r="C680" s="3">
        <v>245180</v>
      </c>
      <c r="D680" s="4">
        <v>8502</v>
      </c>
      <c r="E680" s="4">
        <v>871</v>
      </c>
      <c r="F680">
        <f t="shared" si="100"/>
        <v>2013</v>
      </c>
      <c r="G680" t="str">
        <f t="shared" si="101"/>
        <v>April</v>
      </c>
      <c r="H680" t="str">
        <f t="shared" si="102"/>
        <v>Sunday</v>
      </c>
      <c r="I680">
        <f t="shared" si="103"/>
        <v>3.8229056203605514</v>
      </c>
      <c r="J680">
        <f t="shared" si="104"/>
        <v>34.676564156945915</v>
      </c>
      <c r="K680">
        <f t="shared" si="105"/>
        <v>3.5524920466595971</v>
      </c>
      <c r="L680">
        <f t="shared" si="106"/>
        <v>0.74137968419163458</v>
      </c>
      <c r="M680">
        <f t="shared" si="107"/>
        <v>0.36417875131092164</v>
      </c>
      <c r="N680">
        <f t="shared" si="108"/>
        <v>64</v>
      </c>
      <c r="O680" t="str">
        <f t="shared" si="109"/>
        <v>Other</v>
      </c>
    </row>
    <row r="681" spans="1:15" hidden="1" x14ac:dyDescent="0.3">
      <c r="A681" t="s">
        <v>687</v>
      </c>
      <c r="B681" s="2">
        <v>42236</v>
      </c>
      <c r="C681" s="3">
        <v>237147</v>
      </c>
      <c r="D681" s="4">
        <v>11629</v>
      </c>
      <c r="E681" s="4">
        <v>752</v>
      </c>
      <c r="F681">
        <f t="shared" si="100"/>
        <v>2015</v>
      </c>
      <c r="G681" t="str">
        <f t="shared" si="101"/>
        <v>August</v>
      </c>
      <c r="H681" t="str">
        <f t="shared" si="102"/>
        <v>Thursday</v>
      </c>
      <c r="I681">
        <f t="shared" si="103"/>
        <v>5.220812407494086</v>
      </c>
      <c r="J681">
        <f t="shared" si="104"/>
        <v>49.037095135084989</v>
      </c>
      <c r="K681">
        <f t="shared" si="105"/>
        <v>3.1710289398558702</v>
      </c>
      <c r="L681">
        <f t="shared" si="106"/>
        <v>0.73595620809869799</v>
      </c>
      <c r="M681">
        <f t="shared" si="107"/>
        <v>0.35855992533828096</v>
      </c>
      <c r="N681">
        <f t="shared" si="108"/>
        <v>35</v>
      </c>
      <c r="O681" t="str">
        <f t="shared" si="109"/>
        <v>Other</v>
      </c>
    </row>
    <row r="682" spans="1:15" hidden="1" x14ac:dyDescent="0.3">
      <c r="A682" t="s">
        <v>600</v>
      </c>
      <c r="B682" s="2">
        <v>42420</v>
      </c>
      <c r="C682" s="3">
        <v>236262</v>
      </c>
      <c r="D682" s="4">
        <v>5575</v>
      </c>
      <c r="E682" s="4">
        <v>383</v>
      </c>
      <c r="F682">
        <f t="shared" si="100"/>
        <v>2016</v>
      </c>
      <c r="G682" t="str">
        <f t="shared" si="101"/>
        <v>February</v>
      </c>
      <c r="H682" t="str">
        <f t="shared" si="102"/>
        <v>Saturday</v>
      </c>
      <c r="I682">
        <f t="shared" si="103"/>
        <v>2.5217766716611223</v>
      </c>
      <c r="J682">
        <f t="shared" si="104"/>
        <v>23.596685036103988</v>
      </c>
      <c r="K682">
        <f t="shared" si="105"/>
        <v>1.6210816805072337</v>
      </c>
      <c r="L682">
        <f t="shared" si="106"/>
        <v>0.73011027296476461</v>
      </c>
      <c r="M682">
        <f t="shared" si="107"/>
        <v>0.35552695555249064</v>
      </c>
      <c r="N682">
        <f t="shared" si="108"/>
        <v>55</v>
      </c>
      <c r="O682" t="str">
        <f t="shared" si="109"/>
        <v>Other</v>
      </c>
    </row>
    <row r="683" spans="1:15" hidden="1" x14ac:dyDescent="0.3">
      <c r="A683" t="s">
        <v>608</v>
      </c>
      <c r="B683" s="2">
        <v>42393</v>
      </c>
      <c r="C683" s="3">
        <v>235239</v>
      </c>
      <c r="D683" s="4">
        <v>4739</v>
      </c>
      <c r="E683" s="4">
        <v>293</v>
      </c>
      <c r="F683">
        <f t="shared" si="100"/>
        <v>2016</v>
      </c>
      <c r="G683" t="str">
        <f t="shared" si="101"/>
        <v>January</v>
      </c>
      <c r="H683" t="str">
        <f t="shared" si="102"/>
        <v>Sunday</v>
      </c>
      <c r="I683">
        <f t="shared" si="103"/>
        <v>2.1391010844290275</v>
      </c>
      <c r="J683">
        <f t="shared" si="104"/>
        <v>20.145469076131082</v>
      </c>
      <c r="K683">
        <f t="shared" si="105"/>
        <v>1.2455417681591914</v>
      </c>
      <c r="L683">
        <f t="shared" si="106"/>
        <v>0.72979173121087859</v>
      </c>
      <c r="M683">
        <f t="shared" si="107"/>
        <v>0.36149479485655589</v>
      </c>
      <c r="N683">
        <f t="shared" si="108"/>
        <v>36</v>
      </c>
      <c r="O683" t="str">
        <f t="shared" si="109"/>
        <v>Other</v>
      </c>
    </row>
    <row r="684" spans="1:15" hidden="1" x14ac:dyDescent="0.3">
      <c r="A684" t="s">
        <v>964</v>
      </c>
      <c r="B684" s="2">
        <v>41362</v>
      </c>
      <c r="C684" s="3">
        <v>234299</v>
      </c>
      <c r="D684" s="4">
        <v>9143</v>
      </c>
      <c r="E684" s="4">
        <v>1090</v>
      </c>
      <c r="F684">
        <f t="shared" si="100"/>
        <v>2013</v>
      </c>
      <c r="G684" t="str">
        <f t="shared" si="101"/>
        <v>March</v>
      </c>
      <c r="H684" t="str">
        <f t="shared" si="102"/>
        <v>Friday</v>
      </c>
      <c r="I684">
        <f t="shared" si="103"/>
        <v>4.3674962334452987</v>
      </c>
      <c r="J684">
        <f t="shared" si="104"/>
        <v>39.02278712243757</v>
      </c>
      <c r="K684">
        <f t="shared" si="105"/>
        <v>4.6521752120154165</v>
      </c>
      <c r="L684">
        <f t="shared" si="106"/>
        <v>0.73189507236749041</v>
      </c>
      <c r="M684">
        <f t="shared" si="107"/>
        <v>0.37004788030160518</v>
      </c>
      <c r="N684">
        <f t="shared" si="108"/>
        <v>62</v>
      </c>
      <c r="O684" t="str">
        <f t="shared" si="109"/>
        <v>Other</v>
      </c>
    </row>
    <row r="685" spans="1:15" hidden="1" x14ac:dyDescent="0.3">
      <c r="A685" t="s">
        <v>621</v>
      </c>
      <c r="B685" s="2">
        <v>42365</v>
      </c>
      <c r="C685" s="3">
        <v>230862</v>
      </c>
      <c r="D685" s="4">
        <v>5942</v>
      </c>
      <c r="E685" s="4">
        <v>455</v>
      </c>
      <c r="F685">
        <f t="shared" si="100"/>
        <v>2015</v>
      </c>
      <c r="G685" t="str">
        <f t="shared" si="101"/>
        <v>December</v>
      </c>
      <c r="H685" t="str">
        <f t="shared" si="102"/>
        <v>Sunday</v>
      </c>
      <c r="I685">
        <f t="shared" si="103"/>
        <v>2.7709194237249957</v>
      </c>
      <c r="J685">
        <f t="shared" si="104"/>
        <v>25.738319862082111</v>
      </c>
      <c r="K685">
        <f t="shared" si="105"/>
        <v>1.970874375167849</v>
      </c>
      <c r="L685">
        <f t="shared" si="106"/>
        <v>0.72559232138074559</v>
      </c>
      <c r="M685">
        <f t="shared" si="107"/>
        <v>0.36011799969165331</v>
      </c>
      <c r="N685">
        <f t="shared" si="108"/>
        <v>30</v>
      </c>
      <c r="O685" t="str">
        <f t="shared" si="109"/>
        <v>Other</v>
      </c>
    </row>
    <row r="686" spans="1:15" hidden="1" x14ac:dyDescent="0.3">
      <c r="A686" t="s">
        <v>966</v>
      </c>
      <c r="B686" s="2">
        <v>41360</v>
      </c>
      <c r="C686" s="3">
        <v>230732</v>
      </c>
      <c r="D686" s="4">
        <v>0</v>
      </c>
      <c r="E686" s="4">
        <v>1500</v>
      </c>
      <c r="F686">
        <f t="shared" si="100"/>
        <v>2013</v>
      </c>
      <c r="G686" t="str">
        <f t="shared" si="101"/>
        <v>March</v>
      </c>
      <c r="H686" t="str">
        <f t="shared" si="102"/>
        <v>Wednesday</v>
      </c>
      <c r="I686">
        <f t="shared" si="103"/>
        <v>0.65010488358788554</v>
      </c>
      <c r="J686">
        <f t="shared" si="104"/>
        <v>0</v>
      </c>
      <c r="K686">
        <f t="shared" si="105"/>
        <v>6.5010488358788558</v>
      </c>
      <c r="L686">
        <f t="shared" si="106"/>
        <v>0.72407518296193718</v>
      </c>
      <c r="M686">
        <f t="shared" si="107"/>
        <v>0.36419070904364192</v>
      </c>
      <c r="N686">
        <f t="shared" si="108"/>
        <v>39</v>
      </c>
      <c r="O686" t="str">
        <f t="shared" si="109"/>
        <v>Other</v>
      </c>
    </row>
    <row r="687" spans="1:15" hidden="1" x14ac:dyDescent="0.3">
      <c r="A687" t="s">
        <v>737</v>
      </c>
      <c r="B687" s="2">
        <v>42198</v>
      </c>
      <c r="C687" s="3">
        <v>227485</v>
      </c>
      <c r="D687" s="4">
        <v>2301</v>
      </c>
      <c r="E687" s="4">
        <v>268</v>
      </c>
      <c r="F687">
        <f t="shared" si="100"/>
        <v>2015</v>
      </c>
      <c r="G687" t="str">
        <f t="shared" si="101"/>
        <v>July</v>
      </c>
      <c r="H687" t="str">
        <f t="shared" si="102"/>
        <v>Monday</v>
      </c>
      <c r="I687">
        <f t="shared" si="103"/>
        <v>1.1293052289161922</v>
      </c>
      <c r="J687">
        <f t="shared" si="104"/>
        <v>10.114952634239621</v>
      </c>
      <c r="K687">
        <f t="shared" si="105"/>
        <v>1.1780996549223026</v>
      </c>
      <c r="L687">
        <f t="shared" si="106"/>
        <v>0.74763884490015797</v>
      </c>
      <c r="M687">
        <f t="shared" si="107"/>
        <v>0.34720672281999271</v>
      </c>
      <c r="N687">
        <f t="shared" si="108"/>
        <v>60</v>
      </c>
      <c r="O687" t="str">
        <f t="shared" si="109"/>
        <v>Other</v>
      </c>
    </row>
    <row r="688" spans="1:15" hidden="1" x14ac:dyDescent="0.3">
      <c r="A688" t="s">
        <v>941</v>
      </c>
      <c r="B688" s="2">
        <v>41480</v>
      </c>
      <c r="C688" s="3">
        <v>226693</v>
      </c>
      <c r="D688" s="4">
        <v>7699</v>
      </c>
      <c r="E688" s="4">
        <v>694</v>
      </c>
      <c r="F688">
        <f t="shared" si="100"/>
        <v>2013</v>
      </c>
      <c r="G688" t="str">
        <f t="shared" si="101"/>
        <v>July</v>
      </c>
      <c r="H688" t="str">
        <f t="shared" si="102"/>
        <v>Thursday</v>
      </c>
      <c r="I688">
        <f t="shared" si="103"/>
        <v>3.70236399006586</v>
      </c>
      <c r="J688">
        <f t="shared" si="104"/>
        <v>33.962230858473795</v>
      </c>
      <c r="K688">
        <f t="shared" si="105"/>
        <v>3.0614090421848048</v>
      </c>
      <c r="L688">
        <f t="shared" si="106"/>
        <v>0.75906286202628026</v>
      </c>
      <c r="M688">
        <f t="shared" si="107"/>
        <v>0.35618807646679967</v>
      </c>
      <c r="N688">
        <f t="shared" si="108"/>
        <v>42</v>
      </c>
      <c r="O688" t="str">
        <f t="shared" si="109"/>
        <v>Other</v>
      </c>
    </row>
    <row r="689" spans="1:15" hidden="1" x14ac:dyDescent="0.3">
      <c r="A689" s="1">
        <v>20000</v>
      </c>
      <c r="B689" s="2">
        <v>42437</v>
      </c>
      <c r="C689" s="3">
        <v>226642</v>
      </c>
      <c r="D689" s="4">
        <v>6502</v>
      </c>
      <c r="E689" s="4">
        <v>870</v>
      </c>
      <c r="F689">
        <f t="shared" si="100"/>
        <v>2016</v>
      </c>
      <c r="G689" t="str">
        <f t="shared" si="101"/>
        <v>March</v>
      </c>
      <c r="H689" t="str">
        <f t="shared" si="102"/>
        <v>Tuesday</v>
      </c>
      <c r="I689">
        <f t="shared" si="103"/>
        <v>3.2527069122228003</v>
      </c>
      <c r="J689">
        <f t="shared" si="104"/>
        <v>28.688416092339459</v>
      </c>
      <c r="K689">
        <f t="shared" si="105"/>
        <v>3.8386530298885466</v>
      </c>
      <c r="L689">
        <f t="shared" si="106"/>
        <v>0.75469645290353893</v>
      </c>
      <c r="M689">
        <f t="shared" si="107"/>
        <v>0.35420678178954368</v>
      </c>
      <c r="N689">
        <f t="shared" si="108"/>
        <v>5</v>
      </c>
      <c r="O689" t="str">
        <f t="shared" si="109"/>
        <v>Other</v>
      </c>
    </row>
    <row r="690" spans="1:15" hidden="1" x14ac:dyDescent="0.3">
      <c r="A690" t="s">
        <v>836</v>
      </c>
      <c r="B690" s="2">
        <v>41880</v>
      </c>
      <c r="C690" s="3">
        <v>223723</v>
      </c>
      <c r="D690" s="4">
        <v>3837</v>
      </c>
      <c r="E690" s="4">
        <v>502</v>
      </c>
      <c r="F690">
        <f t="shared" si="100"/>
        <v>2014</v>
      </c>
      <c r="G690" t="str">
        <f t="shared" si="101"/>
        <v>August</v>
      </c>
      <c r="H690" t="str">
        <f t="shared" si="102"/>
        <v>Friday</v>
      </c>
      <c r="I690">
        <f t="shared" si="103"/>
        <v>1.9394519115155797</v>
      </c>
      <c r="J690">
        <f t="shared" si="104"/>
        <v>17.150672930364781</v>
      </c>
      <c r="K690">
        <f t="shared" si="105"/>
        <v>2.2438461847910141</v>
      </c>
      <c r="L690">
        <f t="shared" si="106"/>
        <v>0.75223113516171458</v>
      </c>
      <c r="M690">
        <f t="shared" si="107"/>
        <v>0.34814343711285123</v>
      </c>
      <c r="N690">
        <f t="shared" si="108"/>
        <v>21</v>
      </c>
      <c r="O690" t="str">
        <f t="shared" si="109"/>
        <v>Other</v>
      </c>
    </row>
    <row r="691" spans="1:15" hidden="1" x14ac:dyDescent="0.3">
      <c r="A691" t="s">
        <v>598</v>
      </c>
      <c r="B691" s="2">
        <v>42429</v>
      </c>
      <c r="C691" s="3">
        <v>223704</v>
      </c>
      <c r="D691" s="4">
        <v>5426</v>
      </c>
      <c r="E691" s="4">
        <v>384</v>
      </c>
      <c r="F691">
        <f t="shared" si="100"/>
        <v>2016</v>
      </c>
      <c r="G691" t="str">
        <f t="shared" si="101"/>
        <v>February</v>
      </c>
      <c r="H691" t="str">
        <f t="shared" si="102"/>
        <v>Monday</v>
      </c>
      <c r="I691">
        <f t="shared" si="103"/>
        <v>2.5971819904874298</v>
      </c>
      <c r="J691">
        <f t="shared" si="104"/>
        <v>24.25526588706505</v>
      </c>
      <c r="K691">
        <f t="shared" si="105"/>
        <v>1.716554017809248</v>
      </c>
      <c r="L691">
        <f t="shared" si="106"/>
        <v>0.7573661520069167</v>
      </c>
      <c r="M691">
        <f t="shared" si="107"/>
        <v>0.35079600718609555</v>
      </c>
      <c r="N691">
        <f t="shared" si="108"/>
        <v>33</v>
      </c>
      <c r="O691" t="str">
        <f t="shared" si="109"/>
        <v>Other</v>
      </c>
    </row>
    <row r="692" spans="1:15" hidden="1" x14ac:dyDescent="0.3">
      <c r="A692" t="s">
        <v>701</v>
      </c>
      <c r="B692" s="2">
        <v>42224</v>
      </c>
      <c r="C692" s="3">
        <v>222818</v>
      </c>
      <c r="D692" s="4">
        <v>8063</v>
      </c>
      <c r="E692" s="4">
        <v>761</v>
      </c>
      <c r="F692">
        <f t="shared" si="100"/>
        <v>2015</v>
      </c>
      <c r="G692" t="str">
        <f t="shared" si="101"/>
        <v>August</v>
      </c>
      <c r="H692" t="str">
        <f t="shared" si="102"/>
        <v>Saturday</v>
      </c>
      <c r="I692">
        <f t="shared" si="103"/>
        <v>3.9601827500471241</v>
      </c>
      <c r="J692">
        <f t="shared" si="104"/>
        <v>36.186484036298687</v>
      </c>
      <c r="K692">
        <f t="shared" si="105"/>
        <v>3.4153434641725533</v>
      </c>
      <c r="L692">
        <f t="shared" si="106"/>
        <v>0.75751817937953314</v>
      </c>
      <c r="M692">
        <f t="shared" si="107"/>
        <v>0.35676248854057729</v>
      </c>
      <c r="N692">
        <f t="shared" si="108"/>
        <v>62</v>
      </c>
      <c r="O692" t="str">
        <f t="shared" si="109"/>
        <v>Other</v>
      </c>
    </row>
    <row r="693" spans="1:15" hidden="1" x14ac:dyDescent="0.3">
      <c r="A693" t="s">
        <v>835</v>
      </c>
      <c r="B693" s="2">
        <v>41933</v>
      </c>
      <c r="C693" s="3">
        <v>221572</v>
      </c>
      <c r="D693" s="4">
        <v>4384</v>
      </c>
      <c r="E693" s="4">
        <v>350</v>
      </c>
      <c r="F693">
        <f t="shared" si="100"/>
        <v>2014</v>
      </c>
      <c r="G693" t="str">
        <f t="shared" si="101"/>
        <v>October</v>
      </c>
      <c r="H693" t="str">
        <f t="shared" si="102"/>
        <v>Tuesday</v>
      </c>
      <c r="I693">
        <f t="shared" si="103"/>
        <v>2.1365515498348167</v>
      </c>
      <c r="J693">
        <f t="shared" si="104"/>
        <v>19.78589352445255</v>
      </c>
      <c r="K693">
        <f t="shared" si="105"/>
        <v>1.5796219738956188</v>
      </c>
      <c r="L693">
        <f t="shared" si="106"/>
        <v>0.75245668045580039</v>
      </c>
      <c r="M693">
        <f t="shared" si="107"/>
        <v>0.35314885119780803</v>
      </c>
      <c r="N693">
        <f t="shared" si="108"/>
        <v>59</v>
      </c>
      <c r="O693" t="str">
        <f t="shared" si="109"/>
        <v>Other</v>
      </c>
    </row>
    <row r="694" spans="1:15" hidden="1" x14ac:dyDescent="0.3">
      <c r="A694" t="s">
        <v>820</v>
      </c>
      <c r="B694" s="2">
        <v>42057</v>
      </c>
      <c r="C694" s="3">
        <v>220199</v>
      </c>
      <c r="D694" s="4">
        <v>3650</v>
      </c>
      <c r="E694" s="4">
        <v>445</v>
      </c>
      <c r="F694">
        <f t="shared" si="100"/>
        <v>2015</v>
      </c>
      <c r="G694" t="str">
        <f t="shared" si="101"/>
        <v>February</v>
      </c>
      <c r="H694" t="str">
        <f t="shared" si="102"/>
        <v>Sunday</v>
      </c>
      <c r="I694">
        <f t="shared" si="103"/>
        <v>1.8596814699430968</v>
      </c>
      <c r="J694">
        <f t="shared" si="104"/>
        <v>16.575915421959227</v>
      </c>
      <c r="K694">
        <f t="shared" si="105"/>
        <v>2.0208992774717416</v>
      </c>
      <c r="L694">
        <f t="shared" si="106"/>
        <v>0.75575888577984351</v>
      </c>
      <c r="M694">
        <f t="shared" si="107"/>
        <v>0.36018285952901419</v>
      </c>
      <c r="N694">
        <f t="shared" si="108"/>
        <v>27</v>
      </c>
      <c r="O694" t="str">
        <f t="shared" si="109"/>
        <v>Other</v>
      </c>
    </row>
    <row r="695" spans="1:15" hidden="1" x14ac:dyDescent="0.3">
      <c r="A695" t="s">
        <v>962</v>
      </c>
      <c r="B695" s="2">
        <v>41365</v>
      </c>
      <c r="C695" s="3">
        <v>219335</v>
      </c>
      <c r="D695" s="4">
        <v>8247</v>
      </c>
      <c r="E695" s="4">
        <v>991</v>
      </c>
      <c r="F695">
        <f t="shared" si="100"/>
        <v>2013</v>
      </c>
      <c r="G695" t="str">
        <f t="shared" si="101"/>
        <v>April</v>
      </c>
      <c r="H695" t="str">
        <f t="shared" si="102"/>
        <v>Monday</v>
      </c>
      <c r="I695">
        <f t="shared" si="103"/>
        <v>4.2118220986162722</v>
      </c>
      <c r="J695">
        <f t="shared" si="104"/>
        <v>37.600018236943491</v>
      </c>
      <c r="K695">
        <f t="shared" si="105"/>
        <v>4.5182027492192312</v>
      </c>
      <c r="L695">
        <f t="shared" si="106"/>
        <v>0.76184452943019865</v>
      </c>
      <c r="M695">
        <f t="shared" si="107"/>
        <v>0.36466133354010349</v>
      </c>
      <c r="N695">
        <f t="shared" si="108"/>
        <v>46</v>
      </c>
      <c r="O695" t="str">
        <f t="shared" si="109"/>
        <v>Other</v>
      </c>
    </row>
    <row r="696" spans="1:15" hidden="1" x14ac:dyDescent="0.3">
      <c r="A696" t="s">
        <v>963</v>
      </c>
      <c r="B696" s="2">
        <v>41364</v>
      </c>
      <c r="C696" s="3">
        <v>219124</v>
      </c>
      <c r="D696" s="4">
        <v>9328</v>
      </c>
      <c r="E696" s="4">
        <v>1319</v>
      </c>
      <c r="F696">
        <f t="shared" si="100"/>
        <v>2013</v>
      </c>
      <c r="G696" t="str">
        <f t="shared" si="101"/>
        <v>March</v>
      </c>
      <c r="H696" t="str">
        <f t="shared" si="102"/>
        <v>Sunday</v>
      </c>
      <c r="I696">
        <f t="shared" si="103"/>
        <v>4.8588926817692268</v>
      </c>
      <c r="J696">
        <f t="shared" si="104"/>
        <v>42.569504025118199</v>
      </c>
      <c r="K696">
        <f t="shared" si="105"/>
        <v>6.0194227925740682</v>
      </c>
      <c r="L696">
        <f t="shared" si="106"/>
        <v>0.75653209441759295</v>
      </c>
      <c r="M696">
        <f t="shared" si="107"/>
        <v>0.35595253942210892</v>
      </c>
      <c r="N696">
        <f t="shared" si="108"/>
        <v>72</v>
      </c>
      <c r="O696" t="str">
        <f t="shared" si="109"/>
        <v>Other</v>
      </c>
    </row>
    <row r="697" spans="1:15" hidden="1" x14ac:dyDescent="0.3">
      <c r="A697" t="s">
        <v>875</v>
      </c>
      <c r="B697" s="2">
        <v>41728</v>
      </c>
      <c r="C697" s="3">
        <v>219123</v>
      </c>
      <c r="D697" s="4">
        <v>4133</v>
      </c>
      <c r="E697" s="4">
        <v>457</v>
      </c>
      <c r="F697">
        <f t="shared" si="100"/>
        <v>2014</v>
      </c>
      <c r="G697" t="str">
        <f t="shared" si="101"/>
        <v>March</v>
      </c>
      <c r="H697" t="str">
        <f t="shared" si="102"/>
        <v>Sunday</v>
      </c>
      <c r="I697">
        <f t="shared" si="103"/>
        <v>2.0947139277939786</v>
      </c>
      <c r="J697">
        <f t="shared" si="104"/>
        <v>18.861552643948833</v>
      </c>
      <c r="K697">
        <f t="shared" si="105"/>
        <v>2.0855866339909546</v>
      </c>
      <c r="L697">
        <f t="shared" si="106"/>
        <v>0.75019344579436142</v>
      </c>
      <c r="M697">
        <f t="shared" si="107"/>
        <v>0.34042640771353833</v>
      </c>
      <c r="N697">
        <f t="shared" si="108"/>
        <v>49</v>
      </c>
      <c r="O697" t="str">
        <f t="shared" si="109"/>
        <v>Other</v>
      </c>
    </row>
    <row r="698" spans="1:15" hidden="1" x14ac:dyDescent="0.3">
      <c r="A698" t="s">
        <v>809</v>
      </c>
      <c r="B698" s="2">
        <v>42096</v>
      </c>
      <c r="C698" s="3">
        <v>217764</v>
      </c>
      <c r="D698" s="4">
        <v>9220</v>
      </c>
      <c r="E698" s="4">
        <v>782</v>
      </c>
      <c r="F698">
        <f t="shared" si="100"/>
        <v>2015</v>
      </c>
      <c r="G698" t="str">
        <f t="shared" si="101"/>
        <v>April</v>
      </c>
      <c r="H698" t="str">
        <f t="shared" si="102"/>
        <v>Thursday</v>
      </c>
      <c r="I698">
        <f t="shared" si="103"/>
        <v>4.5930456824819528</v>
      </c>
      <c r="J698">
        <f t="shared" si="104"/>
        <v>42.339413309821637</v>
      </c>
      <c r="K698">
        <f t="shared" si="105"/>
        <v>3.5910435149978874</v>
      </c>
      <c r="L698">
        <f t="shared" si="106"/>
        <v>0.75453581487997856</v>
      </c>
      <c r="M698">
        <f t="shared" si="107"/>
        <v>0.34450259536079691</v>
      </c>
      <c r="N698">
        <f t="shared" si="108"/>
        <v>41</v>
      </c>
      <c r="O698" t="str">
        <f t="shared" si="109"/>
        <v>Other</v>
      </c>
    </row>
    <row r="699" spans="1:15" hidden="1" x14ac:dyDescent="0.3">
      <c r="A699" t="s">
        <v>959</v>
      </c>
      <c r="B699" s="2">
        <v>41371</v>
      </c>
      <c r="C699" s="3">
        <v>217560</v>
      </c>
      <c r="D699" s="4">
        <v>8190</v>
      </c>
      <c r="E699" s="4">
        <v>859</v>
      </c>
      <c r="F699">
        <f t="shared" si="100"/>
        <v>2013</v>
      </c>
      <c r="G699" t="str">
        <f t="shared" si="101"/>
        <v>April</v>
      </c>
      <c r="H699" t="str">
        <f t="shared" si="102"/>
        <v>Sunday</v>
      </c>
      <c r="I699">
        <f t="shared" si="103"/>
        <v>4.1593123735980875</v>
      </c>
      <c r="J699">
        <f t="shared" si="104"/>
        <v>37.644787644787648</v>
      </c>
      <c r="K699">
        <f t="shared" si="105"/>
        <v>3.9483360911932337</v>
      </c>
      <c r="L699">
        <f t="shared" si="106"/>
        <v>0.74793729240374451</v>
      </c>
      <c r="M699">
        <f t="shared" si="107"/>
        <v>0.33991957569104592</v>
      </c>
      <c r="N699">
        <f t="shared" si="108"/>
        <v>51</v>
      </c>
      <c r="O699" t="str">
        <f t="shared" si="109"/>
        <v>Other</v>
      </c>
    </row>
    <row r="700" spans="1:15" hidden="1" x14ac:dyDescent="0.3">
      <c r="A700" t="s">
        <v>944</v>
      </c>
      <c r="B700" s="2">
        <v>41474</v>
      </c>
      <c r="C700" s="3">
        <v>216436</v>
      </c>
      <c r="D700" s="4">
        <v>7153</v>
      </c>
      <c r="E700" s="4">
        <v>772</v>
      </c>
      <c r="F700">
        <f t="shared" si="100"/>
        <v>2013</v>
      </c>
      <c r="G700" t="str">
        <f t="shared" si="101"/>
        <v>July</v>
      </c>
      <c r="H700" t="str">
        <f t="shared" si="102"/>
        <v>Friday</v>
      </c>
      <c r="I700">
        <f t="shared" si="103"/>
        <v>3.6615904932635974</v>
      </c>
      <c r="J700">
        <f t="shared" si="104"/>
        <v>33.049030660333777</v>
      </c>
      <c r="K700">
        <f t="shared" si="105"/>
        <v>3.5668742723022051</v>
      </c>
      <c r="L700">
        <f t="shared" si="106"/>
        <v>0.74177162122528661</v>
      </c>
      <c r="M700">
        <f t="shared" si="107"/>
        <v>0.33328984030897357</v>
      </c>
      <c r="N700">
        <f t="shared" si="108"/>
        <v>26</v>
      </c>
      <c r="O700" t="str">
        <f t="shared" si="109"/>
        <v>Other</v>
      </c>
    </row>
    <row r="701" spans="1:15" hidden="1" x14ac:dyDescent="0.3">
      <c r="A701" t="s">
        <v>575</v>
      </c>
      <c r="B701" s="2">
        <v>42505</v>
      </c>
      <c r="C701" s="3">
        <v>215598</v>
      </c>
      <c r="D701" s="4">
        <v>9211</v>
      </c>
      <c r="E701" s="4">
        <v>578</v>
      </c>
      <c r="F701">
        <f t="shared" si="100"/>
        <v>2016</v>
      </c>
      <c r="G701" t="str">
        <f t="shared" si="101"/>
        <v>May</v>
      </c>
      <c r="H701" t="str">
        <f t="shared" si="102"/>
        <v>Sunday</v>
      </c>
      <c r="I701">
        <f t="shared" si="103"/>
        <v>4.5403946233267467</v>
      </c>
      <c r="J701">
        <f t="shared" si="104"/>
        <v>42.72303082588892</v>
      </c>
      <c r="K701">
        <f t="shared" si="105"/>
        <v>2.6809154073785471</v>
      </c>
      <c r="L701">
        <f t="shared" si="106"/>
        <v>0.73694470157973146</v>
      </c>
      <c r="M701">
        <f t="shared" si="107"/>
        <v>0.32868383133029239</v>
      </c>
      <c r="N701">
        <f t="shared" si="108"/>
        <v>27</v>
      </c>
      <c r="O701" t="str">
        <f t="shared" si="109"/>
        <v>Other</v>
      </c>
    </row>
    <row r="702" spans="1:15" hidden="1" x14ac:dyDescent="0.3">
      <c r="A702" t="s">
        <v>960</v>
      </c>
      <c r="B702" s="2">
        <v>41369</v>
      </c>
      <c r="C702" s="3">
        <v>211323</v>
      </c>
      <c r="D702" s="4">
        <v>9284</v>
      </c>
      <c r="E702" s="4">
        <v>1744</v>
      </c>
      <c r="F702">
        <f t="shared" si="100"/>
        <v>2013</v>
      </c>
      <c r="G702" t="str">
        <f t="shared" si="101"/>
        <v>April</v>
      </c>
      <c r="H702" t="str">
        <f t="shared" si="102"/>
        <v>Friday</v>
      </c>
      <c r="I702">
        <f t="shared" si="103"/>
        <v>5.2185516957453757</v>
      </c>
      <c r="J702">
        <f t="shared" si="104"/>
        <v>43.932747500272093</v>
      </c>
      <c r="K702">
        <f t="shared" si="105"/>
        <v>8.2527694571816603</v>
      </c>
      <c r="L702">
        <f t="shared" si="106"/>
        <v>0.7293775095251408</v>
      </c>
      <c r="M702">
        <f t="shared" si="107"/>
        <v>0.32924519155615811</v>
      </c>
      <c r="N702">
        <f t="shared" si="108"/>
        <v>35</v>
      </c>
      <c r="O702" t="str">
        <f t="shared" si="109"/>
        <v>Other</v>
      </c>
    </row>
    <row r="703" spans="1:15" hidden="1" x14ac:dyDescent="0.3">
      <c r="A703" t="s">
        <v>925</v>
      </c>
      <c r="B703" s="2">
        <v>41502</v>
      </c>
      <c r="C703" s="3">
        <v>209240</v>
      </c>
      <c r="D703" s="4">
        <v>5014</v>
      </c>
      <c r="E703" s="4">
        <v>451</v>
      </c>
      <c r="F703">
        <f t="shared" si="100"/>
        <v>2013</v>
      </c>
      <c r="G703" t="str">
        <f t="shared" si="101"/>
        <v>August</v>
      </c>
      <c r="H703" t="str">
        <f t="shared" si="102"/>
        <v>Friday</v>
      </c>
      <c r="I703">
        <f t="shared" si="103"/>
        <v>2.6118333014719939</v>
      </c>
      <c r="J703">
        <f t="shared" si="104"/>
        <v>23.962913400879373</v>
      </c>
      <c r="K703">
        <f t="shared" si="105"/>
        <v>2.1554196138405661</v>
      </c>
      <c r="L703">
        <f t="shared" si="106"/>
        <v>0.72180306911365255</v>
      </c>
      <c r="M703">
        <f t="shared" si="107"/>
        <v>0.30489099896407595</v>
      </c>
      <c r="N703">
        <f t="shared" si="108"/>
        <v>15</v>
      </c>
      <c r="O703" t="str">
        <f t="shared" si="109"/>
        <v>Other</v>
      </c>
    </row>
    <row r="704" spans="1:15" hidden="1" x14ac:dyDescent="0.3">
      <c r="A704" t="s">
        <v>929</v>
      </c>
      <c r="B704" s="2">
        <v>41498</v>
      </c>
      <c r="C704" s="3">
        <v>208495</v>
      </c>
      <c r="D704" s="4">
        <v>7698</v>
      </c>
      <c r="E704" s="4">
        <v>874</v>
      </c>
      <c r="F704">
        <f t="shared" si="100"/>
        <v>2013</v>
      </c>
      <c r="G704" t="str">
        <f t="shared" si="101"/>
        <v>August</v>
      </c>
      <c r="H704" t="str">
        <f t="shared" si="102"/>
        <v>Monday</v>
      </c>
      <c r="I704">
        <f t="shared" si="103"/>
        <v>4.1113695772080865</v>
      </c>
      <c r="J704">
        <f t="shared" si="104"/>
        <v>36.921748722990955</v>
      </c>
      <c r="K704">
        <f t="shared" si="105"/>
        <v>4.1919470490899062</v>
      </c>
      <c r="L704">
        <f t="shared" si="106"/>
        <v>0.72178396241328735</v>
      </c>
      <c r="M704">
        <f t="shared" si="107"/>
        <v>0.30850401269455047</v>
      </c>
      <c r="N704">
        <f t="shared" si="108"/>
        <v>54</v>
      </c>
      <c r="O704" t="str">
        <f t="shared" si="109"/>
        <v>Other</v>
      </c>
    </row>
    <row r="705" spans="1:15" hidden="1" x14ac:dyDescent="0.3">
      <c r="A705" t="s">
        <v>924</v>
      </c>
      <c r="B705" s="2">
        <v>41522</v>
      </c>
      <c r="C705" s="3">
        <v>205727</v>
      </c>
      <c r="D705" s="4">
        <v>4967</v>
      </c>
      <c r="E705" s="4">
        <v>482</v>
      </c>
      <c r="F705">
        <f t="shared" si="100"/>
        <v>2013</v>
      </c>
      <c r="G705" t="str">
        <f t="shared" si="101"/>
        <v>September</v>
      </c>
      <c r="H705" t="str">
        <f t="shared" si="102"/>
        <v>Thursday</v>
      </c>
      <c r="I705">
        <f t="shared" si="103"/>
        <v>2.648655742804785</v>
      </c>
      <c r="J705">
        <f t="shared" si="104"/>
        <v>24.143646677392855</v>
      </c>
      <c r="K705">
        <f t="shared" si="105"/>
        <v>2.342910750654994</v>
      </c>
      <c r="L705">
        <f t="shared" si="106"/>
        <v>0.71516948764115418</v>
      </c>
      <c r="M705">
        <f t="shared" si="107"/>
        <v>0.30050976560393811</v>
      </c>
      <c r="N705">
        <f t="shared" si="108"/>
        <v>28</v>
      </c>
      <c r="O705" t="str">
        <f t="shared" si="109"/>
        <v>Endurance</v>
      </c>
    </row>
    <row r="706" spans="1:15" hidden="1" x14ac:dyDescent="0.3">
      <c r="A706" t="s">
        <v>623</v>
      </c>
      <c r="B706" s="2">
        <v>42362</v>
      </c>
      <c r="C706" s="3">
        <v>201335</v>
      </c>
      <c r="D706" s="4">
        <v>7590</v>
      </c>
      <c r="E706" s="4">
        <v>1440</v>
      </c>
      <c r="F706">
        <f t="shared" ref="F706:F769" si="110">YEAR(B706)</f>
        <v>2015</v>
      </c>
      <c r="G706" t="str">
        <f t="shared" ref="G706:G769" si="111">TEXT(B706,"MMMM")</f>
        <v>December</v>
      </c>
      <c r="H706" t="str">
        <f t="shared" ref="H706:H769" si="112">TEXT(B706, "DDDD")</f>
        <v>Thursday</v>
      </c>
      <c r="I706">
        <f t="shared" ref="I706:I769" si="113">((D706+E706)/C706)*100</f>
        <v>4.4850622097499198</v>
      </c>
      <c r="J706">
        <f t="shared" ref="J706:J769" si="114">(D706/C706)*1000</f>
        <v>37.698363424143835</v>
      </c>
      <c r="K706">
        <f t="shared" ref="K706:K769" si="115">(E706/C706)*1000</f>
        <v>7.1522586733553535</v>
      </c>
      <c r="L706">
        <f t="shared" ref="L706:L769" si="116">CORREL(C706:C1204, D706:D1204)</f>
        <v>0.71502365547154689</v>
      </c>
      <c r="M706">
        <f t="shared" ref="M706:M769" si="117">CORREL(C706:C1204,E706:E1204)</f>
        <v>0.3030866026950047</v>
      </c>
      <c r="N706">
        <f t="shared" ref="N706:N769" si="118">LEN(A706)</f>
        <v>21</v>
      </c>
      <c r="O706" t="str">
        <f t="shared" ref="O706:O769" si="119">IF(ISNUMBER(SEARCH("$",A706)), "Money", IF(ISNUMBER(SEARCH("Win",A706)), "Challenge",IF(ISNUMBER(SEARCH("Challenge",A706)), "Challenge",IF(ISNUMBER(SEARCH("Last To Leave",A706)),"Challenge",IF(ISNUMBER(SEARCH("Giving Away", A706)),"Giveaway",IF(ISNUMBER(SEARCH("Stranded",A706)),"Survival", IF(ISNUMBER(SEARCH("Survive",A706)), "Survival", IF(ISNUMBER(SEARCH("Days",A706)),"Endurance","Other"))))))))</f>
        <v>Other</v>
      </c>
    </row>
    <row r="707" spans="1:15" hidden="1" x14ac:dyDescent="0.3">
      <c r="A707" t="s">
        <v>582</v>
      </c>
      <c r="B707" s="2">
        <v>42476</v>
      </c>
      <c r="C707" s="3">
        <v>199062</v>
      </c>
      <c r="D707" s="4">
        <v>7262</v>
      </c>
      <c r="E707" s="4">
        <v>566</v>
      </c>
      <c r="F707">
        <f t="shared" si="110"/>
        <v>2016</v>
      </c>
      <c r="G707" t="str">
        <f t="shared" si="111"/>
        <v>April</v>
      </c>
      <c r="H707" t="str">
        <f t="shared" si="112"/>
        <v>Saturday</v>
      </c>
      <c r="I707">
        <f t="shared" si="113"/>
        <v>3.9324431584129571</v>
      </c>
      <c r="J707">
        <f t="shared" si="114"/>
        <v>36.481096341843248</v>
      </c>
      <c r="K707">
        <f t="shared" si="115"/>
        <v>2.8433352422863227</v>
      </c>
      <c r="L707">
        <f t="shared" si="116"/>
        <v>0.70855324640861239</v>
      </c>
      <c r="M707">
        <f t="shared" si="117"/>
        <v>0.28308532016237653</v>
      </c>
      <c r="N707">
        <f t="shared" si="118"/>
        <v>20</v>
      </c>
      <c r="O707" t="str">
        <f t="shared" si="119"/>
        <v>Other</v>
      </c>
    </row>
    <row r="708" spans="1:15" hidden="1" x14ac:dyDescent="0.3">
      <c r="A708" t="s">
        <v>707</v>
      </c>
      <c r="B708" s="2">
        <v>42219</v>
      </c>
      <c r="C708" s="3">
        <v>199035</v>
      </c>
      <c r="D708" s="4">
        <v>4592</v>
      </c>
      <c r="E708" s="4">
        <v>537</v>
      </c>
      <c r="F708">
        <f t="shared" si="110"/>
        <v>2015</v>
      </c>
      <c r="G708" t="str">
        <f t="shared" si="111"/>
        <v>August</v>
      </c>
      <c r="H708" t="str">
        <f t="shared" si="112"/>
        <v>Monday</v>
      </c>
      <c r="I708">
        <f t="shared" si="113"/>
        <v>2.5769337051272387</v>
      </c>
      <c r="J708">
        <f t="shared" si="114"/>
        <v>23.071319114728567</v>
      </c>
      <c r="K708">
        <f t="shared" si="115"/>
        <v>2.6980179365438239</v>
      </c>
      <c r="L708">
        <f t="shared" si="116"/>
        <v>0.70236548594010861</v>
      </c>
      <c r="M708">
        <f t="shared" si="117"/>
        <v>0.28274803131107634</v>
      </c>
      <c r="N708">
        <f t="shared" si="118"/>
        <v>48</v>
      </c>
      <c r="O708" t="str">
        <f t="shared" si="119"/>
        <v>Other</v>
      </c>
    </row>
    <row r="709" spans="1:15" hidden="1" x14ac:dyDescent="0.3">
      <c r="A709" t="s">
        <v>921</v>
      </c>
      <c r="B709" s="2">
        <v>41532</v>
      </c>
      <c r="C709" s="3">
        <v>198498</v>
      </c>
      <c r="D709" s="4">
        <v>6779</v>
      </c>
      <c r="E709" s="4">
        <v>615</v>
      </c>
      <c r="F709">
        <f t="shared" si="110"/>
        <v>2013</v>
      </c>
      <c r="G709" t="str">
        <f t="shared" si="111"/>
        <v>September</v>
      </c>
      <c r="H709" t="str">
        <f t="shared" si="112"/>
        <v>Sunday</v>
      </c>
      <c r="I709">
        <f t="shared" si="113"/>
        <v>3.7249745589376215</v>
      </c>
      <c r="J709">
        <f t="shared" si="114"/>
        <v>34.151477596751604</v>
      </c>
      <c r="K709">
        <f t="shared" si="115"/>
        <v>3.0982679926246108</v>
      </c>
      <c r="L709">
        <f t="shared" si="116"/>
        <v>0.7029408673425771</v>
      </c>
      <c r="M709">
        <f t="shared" si="117"/>
        <v>0.28326004730491405</v>
      </c>
      <c r="N709">
        <f t="shared" si="118"/>
        <v>29</v>
      </c>
      <c r="O709" t="str">
        <f t="shared" si="119"/>
        <v>Other</v>
      </c>
    </row>
    <row r="710" spans="1:15" hidden="1" x14ac:dyDescent="0.3">
      <c r="A710" t="s">
        <v>943</v>
      </c>
      <c r="B710" s="2">
        <v>41476</v>
      </c>
      <c r="C710" s="3">
        <v>198439</v>
      </c>
      <c r="D710" s="4">
        <v>5871</v>
      </c>
      <c r="E710" s="4">
        <v>643</v>
      </c>
      <c r="F710">
        <f t="shared" si="110"/>
        <v>2013</v>
      </c>
      <c r="G710" t="str">
        <f t="shared" si="111"/>
        <v>July</v>
      </c>
      <c r="H710" t="str">
        <f t="shared" si="112"/>
        <v>Sunday</v>
      </c>
      <c r="I710">
        <f t="shared" si="113"/>
        <v>3.2826208557793577</v>
      </c>
      <c r="J710">
        <f t="shared" si="114"/>
        <v>29.585918090697895</v>
      </c>
      <c r="K710">
        <f t="shared" si="115"/>
        <v>3.240290467095682</v>
      </c>
      <c r="L710">
        <f t="shared" si="116"/>
        <v>0.6972546505507895</v>
      </c>
      <c r="M710">
        <f t="shared" si="117"/>
        <v>0.28157357699786284</v>
      </c>
      <c r="N710">
        <f t="shared" si="118"/>
        <v>55</v>
      </c>
      <c r="O710" t="str">
        <f t="shared" si="119"/>
        <v>Other</v>
      </c>
    </row>
    <row r="711" spans="1:15" hidden="1" x14ac:dyDescent="0.3">
      <c r="A711" t="s">
        <v>567</v>
      </c>
      <c r="B711" s="2">
        <v>42535</v>
      </c>
      <c r="C711" s="3">
        <v>193433</v>
      </c>
      <c r="D711" s="4">
        <v>6166</v>
      </c>
      <c r="E711" s="4">
        <v>1364</v>
      </c>
      <c r="F711">
        <f t="shared" si="110"/>
        <v>2016</v>
      </c>
      <c r="G711" t="str">
        <f t="shared" si="111"/>
        <v>June</v>
      </c>
      <c r="H711" t="str">
        <f t="shared" si="112"/>
        <v>Tuesday</v>
      </c>
      <c r="I711">
        <f t="shared" si="113"/>
        <v>3.8928207699823711</v>
      </c>
      <c r="J711">
        <f t="shared" si="114"/>
        <v>31.876670475048204</v>
      </c>
      <c r="K711">
        <f t="shared" si="115"/>
        <v>7.0515372247755037</v>
      </c>
      <c r="L711">
        <f t="shared" si="116"/>
        <v>0.69353906693638467</v>
      </c>
      <c r="M711">
        <f t="shared" si="117"/>
        <v>0.2790699998947927</v>
      </c>
      <c r="N711">
        <f t="shared" si="118"/>
        <v>36</v>
      </c>
      <c r="O711" t="str">
        <f t="shared" si="119"/>
        <v>Other</v>
      </c>
    </row>
    <row r="712" spans="1:15" hidden="1" x14ac:dyDescent="0.3">
      <c r="A712" t="s">
        <v>614</v>
      </c>
      <c r="B712" s="2">
        <v>42381</v>
      </c>
      <c r="C712" s="3">
        <v>193060</v>
      </c>
      <c r="D712" s="4">
        <v>9653</v>
      </c>
      <c r="E712" s="4">
        <v>1218</v>
      </c>
      <c r="F712">
        <f t="shared" si="110"/>
        <v>2016</v>
      </c>
      <c r="G712" t="str">
        <f t="shared" si="111"/>
        <v>January</v>
      </c>
      <c r="H712" t="str">
        <f t="shared" si="112"/>
        <v>Tuesday</v>
      </c>
      <c r="I712">
        <f t="shared" si="113"/>
        <v>5.6308919506889055</v>
      </c>
      <c r="J712">
        <f t="shared" si="114"/>
        <v>50</v>
      </c>
      <c r="K712">
        <f t="shared" si="115"/>
        <v>6.3089195068890502</v>
      </c>
      <c r="L712">
        <f t="shared" si="116"/>
        <v>0.68893615991869361</v>
      </c>
      <c r="M712">
        <f t="shared" si="117"/>
        <v>0.25952981873486164</v>
      </c>
      <c r="N712">
        <f t="shared" si="118"/>
        <v>33</v>
      </c>
      <c r="O712" t="str">
        <f t="shared" si="119"/>
        <v>Other</v>
      </c>
    </row>
    <row r="713" spans="1:15" hidden="1" x14ac:dyDescent="0.3">
      <c r="A713" t="s">
        <v>808</v>
      </c>
      <c r="B713" s="2">
        <v>42097</v>
      </c>
      <c r="C713" s="3">
        <v>190663</v>
      </c>
      <c r="D713" s="4">
        <v>4615</v>
      </c>
      <c r="E713" s="4">
        <v>546</v>
      </c>
      <c r="F713">
        <f t="shared" si="110"/>
        <v>2015</v>
      </c>
      <c r="G713" t="str">
        <f t="shared" si="111"/>
        <v>April</v>
      </c>
      <c r="H713" t="str">
        <f t="shared" si="112"/>
        <v>Friday</v>
      </c>
      <c r="I713">
        <f t="shared" si="113"/>
        <v>2.7068702370150475</v>
      </c>
      <c r="J713">
        <f t="shared" si="114"/>
        <v>24.205010935524982</v>
      </c>
      <c r="K713">
        <f t="shared" si="115"/>
        <v>2.8636914346254914</v>
      </c>
      <c r="L713">
        <f t="shared" si="116"/>
        <v>0.68061456999599379</v>
      </c>
      <c r="M713">
        <f t="shared" si="117"/>
        <v>0.24200975725296611</v>
      </c>
      <c r="N713">
        <f t="shared" si="118"/>
        <v>45</v>
      </c>
      <c r="O713" t="str">
        <f t="shared" si="119"/>
        <v>Other</v>
      </c>
    </row>
    <row r="714" spans="1:15" hidden="1" x14ac:dyDescent="0.3">
      <c r="A714" t="s">
        <v>714</v>
      </c>
      <c r="B714" s="2">
        <v>42216</v>
      </c>
      <c r="C714" s="3">
        <v>189304</v>
      </c>
      <c r="D714" s="4">
        <v>3243</v>
      </c>
      <c r="E714" s="4">
        <v>278</v>
      </c>
      <c r="F714">
        <f t="shared" si="110"/>
        <v>2015</v>
      </c>
      <c r="G714" t="str">
        <f t="shared" si="111"/>
        <v>July</v>
      </c>
      <c r="H714" t="str">
        <f t="shared" si="112"/>
        <v>Friday</v>
      </c>
      <c r="I714">
        <f t="shared" si="113"/>
        <v>1.8599712631534464</v>
      </c>
      <c r="J714">
        <f t="shared" si="114"/>
        <v>17.131175252503908</v>
      </c>
      <c r="K714">
        <f t="shared" si="115"/>
        <v>1.468537379030554</v>
      </c>
      <c r="L714">
        <f t="shared" si="116"/>
        <v>0.68018089243193813</v>
      </c>
      <c r="M714">
        <f t="shared" si="117"/>
        <v>0.2414563899190082</v>
      </c>
      <c r="N714">
        <f t="shared" si="118"/>
        <v>39</v>
      </c>
      <c r="O714" t="str">
        <f t="shared" si="119"/>
        <v>Money</v>
      </c>
    </row>
    <row r="715" spans="1:15" hidden="1" x14ac:dyDescent="0.3">
      <c r="A715" t="s">
        <v>591</v>
      </c>
      <c r="B715" s="2">
        <v>42457</v>
      </c>
      <c r="C715" s="3">
        <v>189165</v>
      </c>
      <c r="D715" s="4">
        <v>5203</v>
      </c>
      <c r="E715" s="4">
        <v>538</v>
      </c>
      <c r="F715">
        <f t="shared" si="110"/>
        <v>2016</v>
      </c>
      <c r="G715" t="str">
        <f t="shared" si="111"/>
        <v>March</v>
      </c>
      <c r="H715" t="str">
        <f t="shared" si="112"/>
        <v>Monday</v>
      </c>
      <c r="I715">
        <f t="shared" si="113"/>
        <v>3.0349166071947771</v>
      </c>
      <c r="J715">
        <f t="shared" si="114"/>
        <v>27.505088150556393</v>
      </c>
      <c r="K715">
        <f t="shared" si="115"/>
        <v>2.8440779213913783</v>
      </c>
      <c r="L715">
        <f t="shared" si="116"/>
        <v>0.68557656507491371</v>
      </c>
      <c r="M715">
        <f t="shared" si="117"/>
        <v>0.24905249697433365</v>
      </c>
      <c r="N715">
        <f t="shared" si="118"/>
        <v>47</v>
      </c>
      <c r="O715" t="str">
        <f t="shared" si="119"/>
        <v>Other</v>
      </c>
    </row>
    <row r="716" spans="1:15" hidden="1" x14ac:dyDescent="0.3">
      <c r="A716" t="s">
        <v>607</v>
      </c>
      <c r="B716" s="2">
        <v>42395</v>
      </c>
      <c r="C716" s="3">
        <v>188031</v>
      </c>
      <c r="D716" s="4">
        <v>6238</v>
      </c>
      <c r="E716" s="4">
        <v>437</v>
      </c>
      <c r="F716">
        <f t="shared" si="110"/>
        <v>2016</v>
      </c>
      <c r="G716" t="str">
        <f t="shared" si="111"/>
        <v>January</v>
      </c>
      <c r="H716" t="str">
        <f t="shared" si="112"/>
        <v>Tuesday</v>
      </c>
      <c r="I716">
        <f t="shared" si="113"/>
        <v>3.54994655136653</v>
      </c>
      <c r="J716">
        <f t="shared" si="114"/>
        <v>33.175380655317468</v>
      </c>
      <c r="K716">
        <f t="shared" si="115"/>
        <v>2.3240848583478257</v>
      </c>
      <c r="L716">
        <f t="shared" si="116"/>
        <v>0.68317039917189981</v>
      </c>
      <c r="M716">
        <f t="shared" si="117"/>
        <v>0.24884245810068831</v>
      </c>
      <c r="N716">
        <f t="shared" si="118"/>
        <v>42</v>
      </c>
      <c r="O716" t="str">
        <f t="shared" si="119"/>
        <v>Other</v>
      </c>
    </row>
    <row r="717" spans="1:15" hidden="1" x14ac:dyDescent="0.3">
      <c r="A717" t="s">
        <v>563</v>
      </c>
      <c r="B717" s="2">
        <v>42552</v>
      </c>
      <c r="C717" s="3">
        <v>187657</v>
      </c>
      <c r="D717" s="4">
        <v>7692</v>
      </c>
      <c r="E717" s="4">
        <v>1274</v>
      </c>
      <c r="F717">
        <f t="shared" si="110"/>
        <v>2016</v>
      </c>
      <c r="G717" t="str">
        <f t="shared" si="111"/>
        <v>July</v>
      </c>
      <c r="H717" t="str">
        <f t="shared" si="112"/>
        <v>Friday</v>
      </c>
      <c r="I717">
        <f t="shared" si="113"/>
        <v>4.7778660002024971</v>
      </c>
      <c r="J717">
        <f t="shared" si="114"/>
        <v>40.989677976307838</v>
      </c>
      <c r="K717">
        <f t="shared" si="115"/>
        <v>6.7889820257171332</v>
      </c>
      <c r="L717">
        <f t="shared" si="116"/>
        <v>0.67774496701377918</v>
      </c>
      <c r="M717">
        <f t="shared" si="117"/>
        <v>0.25167008385553219</v>
      </c>
      <c r="N717">
        <f t="shared" si="118"/>
        <v>20</v>
      </c>
      <c r="O717" t="str">
        <f t="shared" si="119"/>
        <v>Challenge</v>
      </c>
    </row>
    <row r="718" spans="1:15" hidden="1" x14ac:dyDescent="0.3">
      <c r="A718" t="s">
        <v>643</v>
      </c>
      <c r="B718" s="2">
        <v>42309</v>
      </c>
      <c r="C718" s="3">
        <v>187484</v>
      </c>
      <c r="D718" s="4">
        <v>6521</v>
      </c>
      <c r="E718" s="4">
        <v>495</v>
      </c>
      <c r="F718">
        <f t="shared" si="110"/>
        <v>2015</v>
      </c>
      <c r="G718" t="str">
        <f t="shared" si="111"/>
        <v>November</v>
      </c>
      <c r="H718" t="str">
        <f t="shared" si="112"/>
        <v>Sunday</v>
      </c>
      <c r="I718">
        <f t="shared" si="113"/>
        <v>3.7421859998719893</v>
      </c>
      <c r="J718">
        <f t="shared" si="114"/>
        <v>34.781634699494354</v>
      </c>
      <c r="K718">
        <f t="shared" si="115"/>
        <v>2.6402252992255342</v>
      </c>
      <c r="L718">
        <f t="shared" si="116"/>
        <v>0.66943692951377654</v>
      </c>
      <c r="M718">
        <f t="shared" si="117"/>
        <v>0.23210108058349746</v>
      </c>
      <c r="N718">
        <f t="shared" si="118"/>
        <v>25</v>
      </c>
      <c r="O718" t="str">
        <f t="shared" si="119"/>
        <v>Other</v>
      </c>
    </row>
    <row r="719" spans="1:15" hidden="1" x14ac:dyDescent="0.3">
      <c r="A719" t="s">
        <v>578</v>
      </c>
      <c r="B719" s="2">
        <v>42488</v>
      </c>
      <c r="C719" s="3">
        <v>186641</v>
      </c>
      <c r="D719" s="4">
        <v>5821</v>
      </c>
      <c r="E719" s="4">
        <v>646</v>
      </c>
      <c r="F719">
        <f t="shared" si="110"/>
        <v>2016</v>
      </c>
      <c r="G719" t="str">
        <f t="shared" si="111"/>
        <v>April</v>
      </c>
      <c r="H719" t="str">
        <f t="shared" si="112"/>
        <v>Thursday</v>
      </c>
      <c r="I719">
        <f t="shared" si="113"/>
        <v>3.4649407150626068</v>
      </c>
      <c r="J719">
        <f t="shared" si="114"/>
        <v>31.188216951259371</v>
      </c>
      <c r="K719">
        <f t="shared" si="115"/>
        <v>3.4611901993666989</v>
      </c>
      <c r="L719">
        <f t="shared" si="116"/>
        <v>0.66272624054228291</v>
      </c>
      <c r="M719">
        <f t="shared" si="117"/>
        <v>0.23294274078991983</v>
      </c>
      <c r="N719">
        <f t="shared" si="118"/>
        <v>17</v>
      </c>
      <c r="O719" t="str">
        <f t="shared" si="119"/>
        <v>Other</v>
      </c>
    </row>
    <row r="720" spans="1:15" hidden="1" x14ac:dyDescent="0.3">
      <c r="A720" t="s">
        <v>669</v>
      </c>
      <c r="B720" s="2">
        <v>42260</v>
      </c>
      <c r="C720" s="3">
        <v>186238</v>
      </c>
      <c r="D720" s="4">
        <v>6425</v>
      </c>
      <c r="E720" s="4">
        <v>650</v>
      </c>
      <c r="F720">
        <f t="shared" si="110"/>
        <v>2015</v>
      </c>
      <c r="G720" t="str">
        <f t="shared" si="111"/>
        <v>September</v>
      </c>
      <c r="H720" t="str">
        <f t="shared" si="112"/>
        <v>Sunday</v>
      </c>
      <c r="I720">
        <f t="shared" si="113"/>
        <v>3.7989024796228481</v>
      </c>
      <c r="J720">
        <f t="shared" si="114"/>
        <v>34.498867041097945</v>
      </c>
      <c r="K720">
        <f t="shared" si="115"/>
        <v>3.4901577551305318</v>
      </c>
      <c r="L720">
        <f t="shared" si="116"/>
        <v>0.65759528130032185</v>
      </c>
      <c r="M720">
        <f t="shared" si="117"/>
        <v>0.2291674738121583</v>
      </c>
      <c r="N720">
        <f t="shared" si="118"/>
        <v>35</v>
      </c>
      <c r="O720" t="str">
        <f t="shared" si="119"/>
        <v>Other</v>
      </c>
    </row>
    <row r="721" spans="1:15" hidden="1" x14ac:dyDescent="0.3">
      <c r="A721" t="s">
        <v>780</v>
      </c>
      <c r="B721" s="2">
        <v>42147</v>
      </c>
      <c r="C721" s="3">
        <v>184620</v>
      </c>
      <c r="D721" s="4">
        <v>4429</v>
      </c>
      <c r="E721" s="4">
        <v>442</v>
      </c>
      <c r="F721">
        <f t="shared" si="110"/>
        <v>2015</v>
      </c>
      <c r="G721" t="str">
        <f t="shared" si="111"/>
        <v>May</v>
      </c>
      <c r="H721" t="str">
        <f t="shared" si="112"/>
        <v>Saturday</v>
      </c>
      <c r="I721">
        <f t="shared" si="113"/>
        <v>2.6383923735239954</v>
      </c>
      <c r="J721">
        <f t="shared" si="114"/>
        <v>23.989816921243634</v>
      </c>
      <c r="K721">
        <f t="shared" si="115"/>
        <v>2.3941068139963164</v>
      </c>
      <c r="L721">
        <f t="shared" si="116"/>
        <v>0.65058845233567397</v>
      </c>
      <c r="M721">
        <f t="shared" si="117"/>
        <v>0.22517776873373957</v>
      </c>
      <c r="N721">
        <f t="shared" si="118"/>
        <v>12</v>
      </c>
      <c r="O721" t="str">
        <f t="shared" si="119"/>
        <v>Other</v>
      </c>
    </row>
    <row r="722" spans="1:15" hidden="1" x14ac:dyDescent="0.3">
      <c r="A722" t="s">
        <v>604</v>
      </c>
      <c r="B722" s="2">
        <v>42409</v>
      </c>
      <c r="C722" s="3">
        <v>184081</v>
      </c>
      <c r="D722" s="4">
        <v>7789</v>
      </c>
      <c r="E722" s="4">
        <v>1427</v>
      </c>
      <c r="F722">
        <f t="shared" si="110"/>
        <v>2016</v>
      </c>
      <c r="G722" t="str">
        <f t="shared" si="111"/>
        <v>February</v>
      </c>
      <c r="H722" t="str">
        <f t="shared" si="112"/>
        <v>Tuesday</v>
      </c>
      <c r="I722">
        <f t="shared" si="113"/>
        <v>5.0064917074548703</v>
      </c>
      <c r="J722">
        <f t="shared" si="114"/>
        <v>42.312894866933576</v>
      </c>
      <c r="K722">
        <f t="shared" si="115"/>
        <v>7.7520222076151253</v>
      </c>
      <c r="L722">
        <f t="shared" si="116"/>
        <v>0.65011451151757438</v>
      </c>
      <c r="M722">
        <f t="shared" si="117"/>
        <v>0.22762636831346178</v>
      </c>
      <c r="N722">
        <f t="shared" si="118"/>
        <v>34</v>
      </c>
      <c r="O722" t="str">
        <f t="shared" si="119"/>
        <v>Other</v>
      </c>
    </row>
    <row r="723" spans="1:15" hidden="1" x14ac:dyDescent="0.3">
      <c r="A723" t="s">
        <v>592</v>
      </c>
      <c r="B723" s="2">
        <v>42456</v>
      </c>
      <c r="C723" s="3">
        <v>183482</v>
      </c>
      <c r="D723" s="4">
        <v>12088</v>
      </c>
      <c r="E723" s="4">
        <v>671</v>
      </c>
      <c r="F723">
        <f t="shared" si="110"/>
        <v>2016</v>
      </c>
      <c r="G723" t="str">
        <f t="shared" si="111"/>
        <v>March</v>
      </c>
      <c r="H723" t="str">
        <f t="shared" si="112"/>
        <v>Sunday</v>
      </c>
      <c r="I723">
        <f t="shared" si="113"/>
        <v>6.9538156331411249</v>
      </c>
      <c r="J723">
        <f t="shared" si="114"/>
        <v>65.881121853914834</v>
      </c>
      <c r="K723">
        <f t="shared" si="115"/>
        <v>3.6570344774964298</v>
      </c>
      <c r="L723">
        <f t="shared" si="116"/>
        <v>0.6401092957118254</v>
      </c>
      <c r="M723">
        <f t="shared" si="117"/>
        <v>0.20234236733824057</v>
      </c>
      <c r="N723">
        <f t="shared" si="118"/>
        <v>31</v>
      </c>
      <c r="O723" t="str">
        <f t="shared" si="119"/>
        <v>Other</v>
      </c>
    </row>
    <row r="724" spans="1:15" hidden="1" x14ac:dyDescent="0.3">
      <c r="A724" t="s">
        <v>935</v>
      </c>
      <c r="B724" s="2">
        <v>41487</v>
      </c>
      <c r="C724" s="3">
        <v>182413</v>
      </c>
      <c r="D724" s="4">
        <v>6428</v>
      </c>
      <c r="E724" s="4">
        <v>1082</v>
      </c>
      <c r="F724">
        <f t="shared" si="110"/>
        <v>2013</v>
      </c>
      <c r="G724" t="str">
        <f t="shared" si="111"/>
        <v>August</v>
      </c>
      <c r="H724" t="str">
        <f t="shared" si="112"/>
        <v>Thursday</v>
      </c>
      <c r="I724">
        <f t="shared" si="113"/>
        <v>4.1170311326495375</v>
      </c>
      <c r="J724">
        <f t="shared" si="114"/>
        <v>35.238716538843178</v>
      </c>
      <c r="K724">
        <f t="shared" si="115"/>
        <v>5.9315947876521964</v>
      </c>
      <c r="L724">
        <f t="shared" si="116"/>
        <v>0.63315907918149716</v>
      </c>
      <c r="M724">
        <f t="shared" si="117"/>
        <v>0.19700311338857454</v>
      </c>
      <c r="N724">
        <f t="shared" si="118"/>
        <v>42</v>
      </c>
      <c r="O724" t="str">
        <f t="shared" si="119"/>
        <v>Other</v>
      </c>
    </row>
    <row r="725" spans="1:15" hidden="1" x14ac:dyDescent="0.3">
      <c r="A725" t="s">
        <v>940</v>
      </c>
      <c r="B725" s="2">
        <v>41482</v>
      </c>
      <c r="C725" s="3">
        <v>179322</v>
      </c>
      <c r="D725" s="4">
        <v>5490</v>
      </c>
      <c r="E725" s="4">
        <v>614</v>
      </c>
      <c r="F725">
        <f t="shared" si="110"/>
        <v>2013</v>
      </c>
      <c r="G725" t="str">
        <f t="shared" si="111"/>
        <v>July</v>
      </c>
      <c r="H725" t="str">
        <f t="shared" si="112"/>
        <v>Saturday</v>
      </c>
      <c r="I725">
        <f t="shared" si="113"/>
        <v>3.4039325905354612</v>
      </c>
      <c r="J725">
        <f t="shared" si="114"/>
        <v>30.61531769665741</v>
      </c>
      <c r="K725">
        <f t="shared" si="115"/>
        <v>3.4240082086972037</v>
      </c>
      <c r="L725">
        <f t="shared" si="116"/>
        <v>0.62438422198568577</v>
      </c>
      <c r="M725">
        <f t="shared" si="117"/>
        <v>0.17909359490325011</v>
      </c>
      <c r="N725">
        <f t="shared" si="118"/>
        <v>42</v>
      </c>
      <c r="O725" t="str">
        <f t="shared" si="119"/>
        <v>Other</v>
      </c>
    </row>
    <row r="726" spans="1:15" hidden="1" x14ac:dyDescent="0.3">
      <c r="A726" t="s">
        <v>698</v>
      </c>
      <c r="B726" s="2">
        <v>42227</v>
      </c>
      <c r="C726" s="3">
        <v>176787</v>
      </c>
      <c r="D726" s="4">
        <v>3685</v>
      </c>
      <c r="E726" s="4">
        <v>578</v>
      </c>
      <c r="F726">
        <f t="shared" si="110"/>
        <v>2015</v>
      </c>
      <c r="G726" t="str">
        <f t="shared" si="111"/>
        <v>August</v>
      </c>
      <c r="H726" t="str">
        <f t="shared" si="112"/>
        <v>Tuesday</v>
      </c>
      <c r="I726">
        <f t="shared" si="113"/>
        <v>2.4113764021110153</v>
      </c>
      <c r="J726">
        <f t="shared" si="114"/>
        <v>20.844292849587355</v>
      </c>
      <c r="K726">
        <f t="shared" si="115"/>
        <v>3.2694711715227927</v>
      </c>
      <c r="L726">
        <f t="shared" si="116"/>
        <v>0.61823463552519531</v>
      </c>
      <c r="M726">
        <f t="shared" si="117"/>
        <v>0.17512257862241332</v>
      </c>
      <c r="N726">
        <f t="shared" si="118"/>
        <v>10</v>
      </c>
      <c r="O726" t="str">
        <f t="shared" si="119"/>
        <v>Other</v>
      </c>
    </row>
    <row r="727" spans="1:15" hidden="1" x14ac:dyDescent="0.3">
      <c r="A727" t="s">
        <v>619</v>
      </c>
      <c r="B727" s="2">
        <v>42370</v>
      </c>
      <c r="C727" s="3">
        <v>176433</v>
      </c>
      <c r="D727" s="4">
        <v>7077</v>
      </c>
      <c r="E727" s="4">
        <v>616</v>
      </c>
      <c r="F727">
        <f t="shared" si="110"/>
        <v>2016</v>
      </c>
      <c r="G727" t="str">
        <f t="shared" si="111"/>
        <v>January</v>
      </c>
      <c r="H727" t="str">
        <f t="shared" si="112"/>
        <v>Friday</v>
      </c>
      <c r="I727">
        <f t="shared" si="113"/>
        <v>4.3602954095889084</v>
      </c>
      <c r="J727">
        <f t="shared" si="114"/>
        <v>40.111543758820631</v>
      </c>
      <c r="K727">
        <f t="shared" si="115"/>
        <v>3.4914103370684626</v>
      </c>
      <c r="L727">
        <f t="shared" si="116"/>
        <v>0.61974040925943574</v>
      </c>
      <c r="M727">
        <f t="shared" si="117"/>
        <v>0.17224908895609337</v>
      </c>
      <c r="N727">
        <f t="shared" si="118"/>
        <v>14</v>
      </c>
      <c r="O727" t="str">
        <f t="shared" si="119"/>
        <v>Other</v>
      </c>
    </row>
    <row r="728" spans="1:15" hidden="1" x14ac:dyDescent="0.3">
      <c r="A728" t="s">
        <v>828</v>
      </c>
      <c r="B728" s="2">
        <v>41980</v>
      </c>
      <c r="C728" s="3">
        <v>174674</v>
      </c>
      <c r="D728" s="4">
        <v>3597</v>
      </c>
      <c r="E728" s="4">
        <v>408</v>
      </c>
      <c r="F728">
        <f t="shared" si="110"/>
        <v>2014</v>
      </c>
      <c r="G728" t="str">
        <f t="shared" si="111"/>
        <v>December</v>
      </c>
      <c r="H728" t="str">
        <f t="shared" si="112"/>
        <v>Sunday</v>
      </c>
      <c r="I728">
        <f t="shared" si="113"/>
        <v>2.2928426669109312</v>
      </c>
      <c r="J728">
        <f t="shared" si="114"/>
        <v>20.592646873604544</v>
      </c>
      <c r="K728">
        <f t="shared" si="115"/>
        <v>2.3357797955047688</v>
      </c>
      <c r="L728">
        <f t="shared" si="116"/>
        <v>0.60922373768507576</v>
      </c>
      <c r="M728">
        <f t="shared" si="117"/>
        <v>0.1680860311652364</v>
      </c>
      <c r="N728">
        <f t="shared" si="118"/>
        <v>21</v>
      </c>
      <c r="O728" t="str">
        <f t="shared" si="119"/>
        <v>Other</v>
      </c>
    </row>
    <row r="729" spans="1:15" hidden="1" x14ac:dyDescent="0.3">
      <c r="A729" t="s">
        <v>741</v>
      </c>
      <c r="B729" s="2">
        <v>42195</v>
      </c>
      <c r="C729" s="3">
        <v>173545</v>
      </c>
      <c r="D729" s="4">
        <v>4850</v>
      </c>
      <c r="E729" s="4">
        <v>699</v>
      </c>
      <c r="F729">
        <f t="shared" si="110"/>
        <v>2015</v>
      </c>
      <c r="G729" t="str">
        <f t="shared" si="111"/>
        <v>July</v>
      </c>
      <c r="H729" t="str">
        <f t="shared" si="112"/>
        <v>Friday</v>
      </c>
      <c r="I729">
        <f t="shared" si="113"/>
        <v>3.1974415857558558</v>
      </c>
      <c r="J729">
        <f t="shared" si="114"/>
        <v>27.94664208130456</v>
      </c>
      <c r="K729">
        <f t="shared" si="115"/>
        <v>4.0277737762539978</v>
      </c>
      <c r="L729">
        <f t="shared" si="116"/>
        <v>0.61093266332300911</v>
      </c>
      <c r="M729">
        <f t="shared" si="117"/>
        <v>0.17064729835689491</v>
      </c>
      <c r="N729">
        <f t="shared" si="118"/>
        <v>7</v>
      </c>
      <c r="O729" t="str">
        <f t="shared" si="119"/>
        <v>Other</v>
      </c>
    </row>
    <row r="730" spans="1:15" hidden="1" x14ac:dyDescent="0.3">
      <c r="A730" t="s">
        <v>636</v>
      </c>
      <c r="B730" s="2">
        <v>42336</v>
      </c>
      <c r="C730" s="3">
        <v>172359</v>
      </c>
      <c r="D730" s="4">
        <v>4054</v>
      </c>
      <c r="E730" s="4">
        <v>593</v>
      </c>
      <c r="F730">
        <f t="shared" si="110"/>
        <v>2015</v>
      </c>
      <c r="G730" t="str">
        <f t="shared" si="111"/>
        <v>November</v>
      </c>
      <c r="H730" t="str">
        <f t="shared" si="112"/>
        <v>Saturday</v>
      </c>
      <c r="I730">
        <f t="shared" si="113"/>
        <v>2.6961168259272799</v>
      </c>
      <c r="J730">
        <f t="shared" si="114"/>
        <v>23.520674870473837</v>
      </c>
      <c r="K730">
        <f t="shared" si="115"/>
        <v>3.4404933887989602</v>
      </c>
      <c r="L730">
        <f t="shared" si="116"/>
        <v>0.60663577113116252</v>
      </c>
      <c r="M730">
        <f t="shared" si="117"/>
        <v>0.163826632204812</v>
      </c>
      <c r="N730">
        <f t="shared" si="118"/>
        <v>67</v>
      </c>
      <c r="O730" t="str">
        <f t="shared" si="119"/>
        <v>Other</v>
      </c>
    </row>
    <row r="731" spans="1:15" hidden="1" x14ac:dyDescent="0.3">
      <c r="A731" t="s">
        <v>590</v>
      </c>
      <c r="B731" s="2">
        <v>42461</v>
      </c>
      <c r="C731" s="3">
        <v>171521</v>
      </c>
      <c r="D731" s="4">
        <v>4790</v>
      </c>
      <c r="E731" s="4">
        <v>492</v>
      </c>
      <c r="F731">
        <f t="shared" si="110"/>
        <v>2016</v>
      </c>
      <c r="G731" t="str">
        <f t="shared" si="111"/>
        <v>April</v>
      </c>
      <c r="H731" t="str">
        <f t="shared" si="112"/>
        <v>Friday</v>
      </c>
      <c r="I731">
        <f t="shared" si="113"/>
        <v>3.0795062995201752</v>
      </c>
      <c r="J731">
        <f t="shared" si="114"/>
        <v>27.926609569673683</v>
      </c>
      <c r="K731">
        <f t="shared" si="115"/>
        <v>2.8684534255280694</v>
      </c>
      <c r="L731">
        <f t="shared" si="116"/>
        <v>0.60584288627119509</v>
      </c>
      <c r="M731">
        <f t="shared" si="117"/>
        <v>0.1602348625613858</v>
      </c>
      <c r="N731">
        <f t="shared" si="118"/>
        <v>34</v>
      </c>
      <c r="O731" t="str">
        <f t="shared" si="119"/>
        <v>Money</v>
      </c>
    </row>
    <row r="732" spans="1:15" hidden="1" x14ac:dyDescent="0.3">
      <c r="A732" t="s">
        <v>573</v>
      </c>
      <c r="B732" s="2">
        <v>42514</v>
      </c>
      <c r="C732" s="3">
        <v>171289</v>
      </c>
      <c r="D732" s="4">
        <v>6608</v>
      </c>
      <c r="E732" s="4">
        <v>526</v>
      </c>
      <c r="F732">
        <f t="shared" si="110"/>
        <v>2016</v>
      </c>
      <c r="G732" t="str">
        <f t="shared" si="111"/>
        <v>May</v>
      </c>
      <c r="H732" t="str">
        <f t="shared" si="112"/>
        <v>Tuesday</v>
      </c>
      <c r="I732">
        <f t="shared" si="113"/>
        <v>4.1648909153535838</v>
      </c>
      <c r="J732">
        <f t="shared" si="114"/>
        <v>38.578075649924976</v>
      </c>
      <c r="K732">
        <f t="shared" si="115"/>
        <v>3.0708335036108565</v>
      </c>
      <c r="L732">
        <f t="shared" si="116"/>
        <v>0.6016082296780344</v>
      </c>
      <c r="M732">
        <f t="shared" si="117"/>
        <v>0.15987223714079205</v>
      </c>
      <c r="N732">
        <f t="shared" si="118"/>
        <v>36</v>
      </c>
      <c r="O732" t="str">
        <f t="shared" si="119"/>
        <v>Other</v>
      </c>
    </row>
    <row r="733" spans="1:15" hidden="1" x14ac:dyDescent="0.3">
      <c r="A733" t="s">
        <v>939</v>
      </c>
      <c r="B733" s="2">
        <v>41483</v>
      </c>
      <c r="C733" s="3">
        <v>169406</v>
      </c>
      <c r="D733" s="4">
        <v>4511</v>
      </c>
      <c r="E733" s="4">
        <v>548</v>
      </c>
      <c r="F733">
        <f t="shared" si="110"/>
        <v>2013</v>
      </c>
      <c r="G733" t="str">
        <f t="shared" si="111"/>
        <v>July</v>
      </c>
      <c r="H733" t="str">
        <f t="shared" si="112"/>
        <v>Sunday</v>
      </c>
      <c r="I733">
        <f t="shared" si="113"/>
        <v>2.986316895505472</v>
      </c>
      <c r="J733">
        <f t="shared" si="114"/>
        <v>26.62833665867797</v>
      </c>
      <c r="K733">
        <f t="shared" si="115"/>
        <v>3.2348322963767515</v>
      </c>
      <c r="L733">
        <f t="shared" si="116"/>
        <v>0.59107432774467261</v>
      </c>
      <c r="M733">
        <f t="shared" si="117"/>
        <v>0.15837917646207694</v>
      </c>
      <c r="N733">
        <f t="shared" si="118"/>
        <v>22</v>
      </c>
      <c r="O733" t="str">
        <f t="shared" si="119"/>
        <v>Other</v>
      </c>
    </row>
    <row r="734" spans="1:15" hidden="1" x14ac:dyDescent="0.3">
      <c r="A734" t="s">
        <v>881</v>
      </c>
      <c r="B734" s="2">
        <v>41714</v>
      </c>
      <c r="C734" s="3">
        <v>168312</v>
      </c>
      <c r="D734" s="4">
        <v>5124</v>
      </c>
      <c r="E734" s="4">
        <v>690</v>
      </c>
      <c r="F734">
        <f t="shared" si="110"/>
        <v>2014</v>
      </c>
      <c r="G734" t="str">
        <f t="shared" si="111"/>
        <v>March</v>
      </c>
      <c r="H734" t="str">
        <f t="shared" si="112"/>
        <v>Sunday</v>
      </c>
      <c r="I734">
        <f t="shared" si="113"/>
        <v>3.4542991587052616</v>
      </c>
      <c r="J734">
        <f t="shared" si="114"/>
        <v>30.443462141736777</v>
      </c>
      <c r="K734">
        <f t="shared" si="115"/>
        <v>4.0995294453158415</v>
      </c>
      <c r="L734">
        <f t="shared" si="116"/>
        <v>0.58758922529687019</v>
      </c>
      <c r="M734">
        <f t="shared" si="117"/>
        <v>0.15612559299575662</v>
      </c>
      <c r="N734">
        <f t="shared" si="118"/>
        <v>29</v>
      </c>
      <c r="O734" t="str">
        <f t="shared" si="119"/>
        <v>Other</v>
      </c>
    </row>
    <row r="735" spans="1:15" hidden="1" x14ac:dyDescent="0.3">
      <c r="A735" t="s">
        <v>788</v>
      </c>
      <c r="B735" s="2">
        <v>42133</v>
      </c>
      <c r="C735" s="3">
        <v>167190</v>
      </c>
      <c r="D735" s="4">
        <v>2941</v>
      </c>
      <c r="E735" s="4">
        <v>253</v>
      </c>
      <c r="F735">
        <f t="shared" si="110"/>
        <v>2015</v>
      </c>
      <c r="G735" t="str">
        <f t="shared" si="111"/>
        <v>May</v>
      </c>
      <c r="H735" t="str">
        <f t="shared" si="112"/>
        <v>Saturday</v>
      </c>
      <c r="I735">
        <f t="shared" si="113"/>
        <v>1.9104013397930497</v>
      </c>
      <c r="J735">
        <f t="shared" si="114"/>
        <v>17.590764997906572</v>
      </c>
      <c r="K735">
        <f t="shared" si="115"/>
        <v>1.5132484000239248</v>
      </c>
      <c r="L735">
        <f t="shared" si="116"/>
        <v>0.58132460509301165</v>
      </c>
      <c r="M735">
        <f t="shared" si="117"/>
        <v>0.14921422437790935</v>
      </c>
      <c r="N735">
        <f t="shared" si="118"/>
        <v>42</v>
      </c>
      <c r="O735" t="str">
        <f t="shared" si="119"/>
        <v>Money</v>
      </c>
    </row>
    <row r="736" spans="1:15" hidden="1" x14ac:dyDescent="0.3">
      <c r="A736" t="s">
        <v>746</v>
      </c>
      <c r="B736" s="2">
        <v>42191</v>
      </c>
      <c r="C736" s="3">
        <v>165815</v>
      </c>
      <c r="D736" s="4">
        <v>3394</v>
      </c>
      <c r="E736" s="4">
        <v>657</v>
      </c>
      <c r="F736">
        <f t="shared" si="110"/>
        <v>2015</v>
      </c>
      <c r="G736" t="str">
        <f t="shared" si="111"/>
        <v>July</v>
      </c>
      <c r="H736" t="str">
        <f t="shared" si="112"/>
        <v>Monday</v>
      </c>
      <c r="I736">
        <f t="shared" si="113"/>
        <v>2.4430841600578961</v>
      </c>
      <c r="J736">
        <f t="shared" si="114"/>
        <v>20.468594517986915</v>
      </c>
      <c r="K736">
        <f t="shared" si="115"/>
        <v>3.9622470825920457</v>
      </c>
      <c r="L736">
        <f t="shared" si="116"/>
        <v>0.58625527749279127</v>
      </c>
      <c r="M736">
        <f t="shared" si="117"/>
        <v>0.15685147787894363</v>
      </c>
      <c r="N736">
        <f t="shared" si="118"/>
        <v>36</v>
      </c>
      <c r="O736" t="str">
        <f t="shared" si="119"/>
        <v>Other</v>
      </c>
    </row>
    <row r="737" spans="1:15" hidden="1" x14ac:dyDescent="0.3">
      <c r="A737" t="s">
        <v>949</v>
      </c>
      <c r="B737" s="2">
        <v>41443</v>
      </c>
      <c r="C737" s="3">
        <v>165682</v>
      </c>
      <c r="D737" s="4">
        <v>6198</v>
      </c>
      <c r="E737" s="4">
        <v>961</v>
      </c>
      <c r="F737">
        <f t="shared" si="110"/>
        <v>2013</v>
      </c>
      <c r="G737" t="str">
        <f t="shared" si="111"/>
        <v>June</v>
      </c>
      <c r="H737" t="str">
        <f t="shared" si="112"/>
        <v>Tuesday</v>
      </c>
      <c r="I737">
        <f t="shared" si="113"/>
        <v>4.3209280428773189</v>
      </c>
      <c r="J737">
        <f t="shared" si="114"/>
        <v>37.409012445528184</v>
      </c>
      <c r="K737">
        <f t="shared" si="115"/>
        <v>5.8002679832450115</v>
      </c>
      <c r="L737">
        <f t="shared" si="116"/>
        <v>0.58842738805757611</v>
      </c>
      <c r="M737">
        <f t="shared" si="117"/>
        <v>0.1509860976156879</v>
      </c>
      <c r="N737">
        <f t="shared" si="118"/>
        <v>48</v>
      </c>
      <c r="O737" t="str">
        <f t="shared" si="119"/>
        <v>Other</v>
      </c>
    </row>
    <row r="738" spans="1:15" hidden="1" x14ac:dyDescent="0.3">
      <c r="A738" t="s">
        <v>826</v>
      </c>
      <c r="B738" s="2">
        <v>42008</v>
      </c>
      <c r="C738" s="3">
        <v>164254</v>
      </c>
      <c r="D738" s="4">
        <v>2399</v>
      </c>
      <c r="E738" s="4">
        <v>255</v>
      </c>
      <c r="F738">
        <f t="shared" si="110"/>
        <v>2015</v>
      </c>
      <c r="G738" t="str">
        <f t="shared" si="111"/>
        <v>January</v>
      </c>
      <c r="H738" t="str">
        <f t="shared" si="112"/>
        <v>Sunday</v>
      </c>
      <c r="I738">
        <f t="shared" si="113"/>
        <v>1.6157901786257871</v>
      </c>
      <c r="J738">
        <f t="shared" si="114"/>
        <v>14.605428178309204</v>
      </c>
      <c r="K738">
        <f t="shared" si="115"/>
        <v>1.552473607948665</v>
      </c>
      <c r="L738">
        <f t="shared" si="116"/>
        <v>0.57824754488200181</v>
      </c>
      <c r="M738">
        <f t="shared" si="117"/>
        <v>0.13522815512311298</v>
      </c>
      <c r="N738">
        <f t="shared" si="118"/>
        <v>45</v>
      </c>
      <c r="O738" t="str">
        <f t="shared" si="119"/>
        <v>Other</v>
      </c>
    </row>
    <row r="739" spans="1:15" hidden="1" x14ac:dyDescent="0.3">
      <c r="A739" t="s">
        <v>585</v>
      </c>
      <c r="B739" s="2">
        <v>42468</v>
      </c>
      <c r="C739" s="3">
        <v>163809</v>
      </c>
      <c r="D739" s="4">
        <v>7546</v>
      </c>
      <c r="E739" s="4">
        <v>643</v>
      </c>
      <c r="F739">
        <f t="shared" si="110"/>
        <v>2016</v>
      </c>
      <c r="G739" t="str">
        <f t="shared" si="111"/>
        <v>April</v>
      </c>
      <c r="H739" t="str">
        <f t="shared" si="112"/>
        <v>Friday</v>
      </c>
      <c r="I739">
        <f t="shared" si="113"/>
        <v>4.9991148227508866</v>
      </c>
      <c r="J739">
        <f t="shared" si="114"/>
        <v>46.065844977992661</v>
      </c>
      <c r="K739">
        <f t="shared" si="115"/>
        <v>3.925303249516205</v>
      </c>
      <c r="L739">
        <f t="shared" si="116"/>
        <v>0.58679519853139628</v>
      </c>
      <c r="M739">
        <f t="shared" si="117"/>
        <v>0.14266087293119481</v>
      </c>
      <c r="N739">
        <f t="shared" si="118"/>
        <v>61</v>
      </c>
      <c r="O739" t="str">
        <f t="shared" si="119"/>
        <v>Other</v>
      </c>
    </row>
    <row r="740" spans="1:15" hidden="1" x14ac:dyDescent="0.3">
      <c r="A740" t="s">
        <v>681</v>
      </c>
      <c r="B740" s="2">
        <v>42244</v>
      </c>
      <c r="C740" s="3">
        <v>163578</v>
      </c>
      <c r="D740" s="4">
        <v>2882</v>
      </c>
      <c r="E740" s="4">
        <v>235</v>
      </c>
      <c r="F740">
        <f t="shared" si="110"/>
        <v>2015</v>
      </c>
      <c r="G740" t="str">
        <f t="shared" si="111"/>
        <v>August</v>
      </c>
      <c r="H740" t="str">
        <f t="shared" si="112"/>
        <v>Friday</v>
      </c>
      <c r="I740">
        <f t="shared" si="113"/>
        <v>1.9055129662913106</v>
      </c>
      <c r="J740">
        <f t="shared" si="114"/>
        <v>17.618506156084557</v>
      </c>
      <c r="K740">
        <f t="shared" si="115"/>
        <v>1.4366235068285467</v>
      </c>
      <c r="L740">
        <f t="shared" si="116"/>
        <v>0.5733878715624563</v>
      </c>
      <c r="M740">
        <f t="shared" si="117"/>
        <v>0.13682633014727161</v>
      </c>
      <c r="N740">
        <f t="shared" si="118"/>
        <v>39</v>
      </c>
      <c r="O740" t="str">
        <f t="shared" si="119"/>
        <v>Other</v>
      </c>
    </row>
    <row r="741" spans="1:15" hidden="1" x14ac:dyDescent="0.3">
      <c r="A741" t="s">
        <v>822</v>
      </c>
      <c r="B741" s="2">
        <v>42052</v>
      </c>
      <c r="C741" s="3">
        <v>163219</v>
      </c>
      <c r="D741" s="4">
        <v>2357</v>
      </c>
      <c r="E741" s="4">
        <v>317</v>
      </c>
      <c r="F741">
        <f t="shared" si="110"/>
        <v>2015</v>
      </c>
      <c r="G741" t="str">
        <f t="shared" si="111"/>
        <v>February</v>
      </c>
      <c r="H741" t="str">
        <f t="shared" si="112"/>
        <v>Tuesday</v>
      </c>
      <c r="I741">
        <f t="shared" si="113"/>
        <v>1.6382896599047907</v>
      </c>
      <c r="J741">
        <f t="shared" si="114"/>
        <v>14.440720749422555</v>
      </c>
      <c r="K741">
        <f t="shared" si="115"/>
        <v>1.9421758496253501</v>
      </c>
      <c r="L741">
        <f t="shared" si="116"/>
        <v>0.57868078041884563</v>
      </c>
      <c r="M741">
        <f t="shared" si="117"/>
        <v>0.14523533274270103</v>
      </c>
      <c r="N741">
        <f t="shared" si="118"/>
        <v>26</v>
      </c>
      <c r="O741" t="str">
        <f t="shared" si="119"/>
        <v>Other</v>
      </c>
    </row>
    <row r="742" spans="1:15" hidden="1" x14ac:dyDescent="0.3">
      <c r="A742" t="s">
        <v>916</v>
      </c>
      <c r="B742" s="2">
        <v>41591</v>
      </c>
      <c r="C742" s="3">
        <v>162392</v>
      </c>
      <c r="D742" s="4">
        <v>3647</v>
      </c>
      <c r="E742" s="4">
        <v>432</v>
      </c>
      <c r="F742">
        <f t="shared" si="110"/>
        <v>2013</v>
      </c>
      <c r="G742" t="str">
        <f t="shared" si="111"/>
        <v>November</v>
      </c>
      <c r="H742" t="str">
        <f t="shared" si="112"/>
        <v>Wednesday</v>
      </c>
      <c r="I742">
        <f t="shared" si="113"/>
        <v>2.5118232425242621</v>
      </c>
      <c r="J742">
        <f t="shared" si="114"/>
        <v>22.45800285728361</v>
      </c>
      <c r="K742">
        <f t="shared" si="115"/>
        <v>2.6602295679590129</v>
      </c>
      <c r="L742">
        <f t="shared" si="116"/>
        <v>0.58801653565340684</v>
      </c>
      <c r="M742">
        <f t="shared" si="117"/>
        <v>0.15088417866912363</v>
      </c>
      <c r="N742">
        <f t="shared" si="118"/>
        <v>33</v>
      </c>
      <c r="O742" t="str">
        <f t="shared" si="119"/>
        <v>Other</v>
      </c>
    </row>
    <row r="743" spans="1:15" hidden="1" x14ac:dyDescent="0.3">
      <c r="A743" t="s">
        <v>942</v>
      </c>
      <c r="B743" s="2">
        <v>41479</v>
      </c>
      <c r="C743" s="3">
        <v>162181</v>
      </c>
      <c r="D743" s="4">
        <v>5351</v>
      </c>
      <c r="E743" s="4">
        <v>858</v>
      </c>
      <c r="F743">
        <f t="shared" si="110"/>
        <v>2013</v>
      </c>
      <c r="G743" t="str">
        <f t="shared" si="111"/>
        <v>July</v>
      </c>
      <c r="H743" t="str">
        <f t="shared" si="112"/>
        <v>Wednesday</v>
      </c>
      <c r="I743">
        <f t="shared" si="113"/>
        <v>3.8284385963830534</v>
      </c>
      <c r="J743">
        <f t="shared" si="114"/>
        <v>32.994000530271734</v>
      </c>
      <c r="K743">
        <f t="shared" si="115"/>
        <v>5.2903854335588019</v>
      </c>
      <c r="L743">
        <f t="shared" si="116"/>
        <v>0.58871165833121031</v>
      </c>
      <c r="M743">
        <f t="shared" si="117"/>
        <v>0.15247463357225871</v>
      </c>
      <c r="N743">
        <f t="shared" si="118"/>
        <v>23</v>
      </c>
      <c r="O743" t="str">
        <f t="shared" si="119"/>
        <v>Other</v>
      </c>
    </row>
    <row r="744" spans="1:15" hidden="1" x14ac:dyDescent="0.3">
      <c r="A744" t="s">
        <v>654</v>
      </c>
      <c r="B744" s="2">
        <v>42286</v>
      </c>
      <c r="C744" s="3">
        <v>161769</v>
      </c>
      <c r="D744" s="4">
        <v>4437</v>
      </c>
      <c r="E744" s="4">
        <v>368</v>
      </c>
      <c r="F744">
        <f t="shared" si="110"/>
        <v>2015</v>
      </c>
      <c r="G744" t="str">
        <f t="shared" si="111"/>
        <v>October</v>
      </c>
      <c r="H744" t="str">
        <f t="shared" si="112"/>
        <v>Friday</v>
      </c>
      <c r="I744">
        <f t="shared" si="113"/>
        <v>2.970284788803788</v>
      </c>
      <c r="J744">
        <f t="shared" si="114"/>
        <v>27.427999184021662</v>
      </c>
      <c r="K744">
        <f t="shared" si="115"/>
        <v>2.2748487040162209</v>
      </c>
      <c r="L744">
        <f t="shared" si="116"/>
        <v>0.58059835957750183</v>
      </c>
      <c r="M744">
        <f t="shared" si="117"/>
        <v>0.13916922499081036</v>
      </c>
      <c r="N744">
        <f t="shared" si="118"/>
        <v>56</v>
      </c>
      <c r="O744" t="str">
        <f t="shared" si="119"/>
        <v>Other</v>
      </c>
    </row>
    <row r="745" spans="1:15" hidden="1" x14ac:dyDescent="0.3">
      <c r="A745" t="s">
        <v>928</v>
      </c>
      <c r="B745" s="2">
        <v>41498</v>
      </c>
      <c r="C745" s="3">
        <v>161268</v>
      </c>
      <c r="D745" s="4">
        <v>4798</v>
      </c>
      <c r="E745" s="4">
        <v>480</v>
      </c>
      <c r="F745">
        <f t="shared" si="110"/>
        <v>2013</v>
      </c>
      <c r="G745" t="str">
        <f t="shared" si="111"/>
        <v>August</v>
      </c>
      <c r="H745" t="str">
        <f t="shared" si="112"/>
        <v>Monday</v>
      </c>
      <c r="I745">
        <f t="shared" si="113"/>
        <v>3.2728129573132927</v>
      </c>
      <c r="J745">
        <f t="shared" si="114"/>
        <v>29.751717637721061</v>
      </c>
      <c r="K745">
        <f t="shared" si="115"/>
        <v>2.976411935411861</v>
      </c>
      <c r="L745">
        <f t="shared" si="116"/>
        <v>0.57658307999345959</v>
      </c>
      <c r="M745">
        <f t="shared" si="117"/>
        <v>0.14301981439281344</v>
      </c>
      <c r="N745">
        <f t="shared" si="118"/>
        <v>46</v>
      </c>
      <c r="O745" t="str">
        <f t="shared" si="119"/>
        <v>Other</v>
      </c>
    </row>
    <row r="746" spans="1:15" hidden="1" x14ac:dyDescent="0.3">
      <c r="A746" t="s">
        <v>581</v>
      </c>
      <c r="B746" s="2">
        <v>42479</v>
      </c>
      <c r="C746" s="3">
        <v>160764</v>
      </c>
      <c r="D746" s="4">
        <v>5779</v>
      </c>
      <c r="E746" s="4">
        <v>1176</v>
      </c>
      <c r="F746">
        <f t="shared" si="110"/>
        <v>2016</v>
      </c>
      <c r="G746" t="str">
        <f t="shared" si="111"/>
        <v>April</v>
      </c>
      <c r="H746" t="str">
        <f t="shared" si="112"/>
        <v>Tuesday</v>
      </c>
      <c r="I746">
        <f t="shared" si="113"/>
        <v>4.3262173123336067</v>
      </c>
      <c r="J746">
        <f t="shared" si="114"/>
        <v>35.947102585155882</v>
      </c>
      <c r="K746">
        <f t="shared" si="115"/>
        <v>7.3150705381801897</v>
      </c>
      <c r="L746">
        <f t="shared" si="116"/>
        <v>0.5705156096779338</v>
      </c>
      <c r="M746">
        <f t="shared" si="117"/>
        <v>0.14277871350093249</v>
      </c>
      <c r="N746">
        <f t="shared" si="118"/>
        <v>29</v>
      </c>
      <c r="O746" t="str">
        <f t="shared" si="119"/>
        <v>Other</v>
      </c>
    </row>
    <row r="747" spans="1:15" hidden="1" x14ac:dyDescent="0.3">
      <c r="A747" t="s">
        <v>792</v>
      </c>
      <c r="B747" s="2">
        <v>42127</v>
      </c>
      <c r="C747" s="3">
        <v>159215</v>
      </c>
      <c r="D747" s="4">
        <v>3806</v>
      </c>
      <c r="E747" s="4">
        <v>356</v>
      </c>
      <c r="F747">
        <f t="shared" si="110"/>
        <v>2015</v>
      </c>
      <c r="G747" t="str">
        <f t="shared" si="111"/>
        <v>May</v>
      </c>
      <c r="H747" t="str">
        <f t="shared" si="112"/>
        <v>Sunday</v>
      </c>
      <c r="I747">
        <f t="shared" si="113"/>
        <v>2.6140753069748452</v>
      </c>
      <c r="J747">
        <f t="shared" si="114"/>
        <v>23.904782840812739</v>
      </c>
      <c r="K747">
        <f t="shared" si="115"/>
        <v>2.2359702289357157</v>
      </c>
      <c r="L747">
        <f t="shared" si="116"/>
        <v>0.55962516085144631</v>
      </c>
      <c r="M747">
        <f t="shared" si="117"/>
        <v>0.1176372241012975</v>
      </c>
      <c r="N747">
        <f t="shared" si="118"/>
        <v>29</v>
      </c>
      <c r="O747" t="str">
        <f t="shared" si="119"/>
        <v>Other</v>
      </c>
    </row>
    <row r="748" spans="1:15" hidden="1" x14ac:dyDescent="0.3">
      <c r="A748" t="s">
        <v>951</v>
      </c>
      <c r="B748" s="2">
        <v>41440</v>
      </c>
      <c r="C748" s="3">
        <v>158886</v>
      </c>
      <c r="D748" s="4">
        <v>6248</v>
      </c>
      <c r="E748" s="4">
        <v>1087</v>
      </c>
      <c r="F748">
        <f t="shared" si="110"/>
        <v>2013</v>
      </c>
      <c r="G748" t="str">
        <f t="shared" si="111"/>
        <v>June</v>
      </c>
      <c r="H748" t="str">
        <f t="shared" si="112"/>
        <v>Saturday</v>
      </c>
      <c r="I748">
        <f t="shared" si="113"/>
        <v>4.6165175031154417</v>
      </c>
      <c r="J748">
        <f t="shared" si="114"/>
        <v>39.323791901111491</v>
      </c>
      <c r="K748">
        <f t="shared" si="115"/>
        <v>6.8413831300429235</v>
      </c>
      <c r="L748">
        <f t="shared" si="116"/>
        <v>0.55871861710905191</v>
      </c>
      <c r="M748">
        <f t="shared" si="117"/>
        <v>0.12166121840999221</v>
      </c>
      <c r="N748">
        <f t="shared" si="118"/>
        <v>53</v>
      </c>
      <c r="O748" t="str">
        <f t="shared" si="119"/>
        <v>Other</v>
      </c>
    </row>
    <row r="749" spans="1:15" hidden="1" x14ac:dyDescent="0.3">
      <c r="A749" t="s">
        <v>950</v>
      </c>
      <c r="B749" s="2">
        <v>41442</v>
      </c>
      <c r="C749" s="3">
        <v>158394</v>
      </c>
      <c r="D749" s="4">
        <v>5984</v>
      </c>
      <c r="E749" s="4">
        <v>1139</v>
      </c>
      <c r="F749">
        <f t="shared" si="110"/>
        <v>2013</v>
      </c>
      <c r="G749" t="str">
        <f t="shared" si="111"/>
        <v>June</v>
      </c>
      <c r="H749" t="str">
        <f t="shared" si="112"/>
        <v>Monday</v>
      </c>
      <c r="I749">
        <f t="shared" si="113"/>
        <v>4.4970137757743345</v>
      </c>
      <c r="J749">
        <f t="shared" si="114"/>
        <v>37.779208808414459</v>
      </c>
      <c r="K749">
        <f t="shared" si="115"/>
        <v>7.1909289493288888</v>
      </c>
      <c r="L749">
        <f t="shared" si="116"/>
        <v>0.54529597498580729</v>
      </c>
      <c r="M749">
        <f t="shared" si="117"/>
        <v>9.8326649769916633E-2</v>
      </c>
      <c r="N749">
        <f t="shared" si="118"/>
        <v>56</v>
      </c>
      <c r="O749" t="str">
        <f t="shared" si="119"/>
        <v>Other</v>
      </c>
    </row>
    <row r="750" spans="1:15" hidden="1" x14ac:dyDescent="0.3">
      <c r="A750" t="s">
        <v>894</v>
      </c>
      <c r="B750" s="2">
        <v>41657</v>
      </c>
      <c r="C750" s="3">
        <v>153030</v>
      </c>
      <c r="D750" s="4">
        <v>3882</v>
      </c>
      <c r="E750" s="4">
        <v>423</v>
      </c>
      <c r="F750">
        <f t="shared" si="110"/>
        <v>2014</v>
      </c>
      <c r="G750" t="str">
        <f t="shared" si="111"/>
        <v>January</v>
      </c>
      <c r="H750" t="str">
        <f t="shared" si="112"/>
        <v>Saturday</v>
      </c>
      <c r="I750">
        <f t="shared" si="113"/>
        <v>2.8131738874730443</v>
      </c>
      <c r="J750">
        <f t="shared" si="114"/>
        <v>25.367574985297001</v>
      </c>
      <c r="K750">
        <f t="shared" si="115"/>
        <v>2.7641638894334446</v>
      </c>
      <c r="L750">
        <f t="shared" si="116"/>
        <v>0.53208307503292551</v>
      </c>
      <c r="M750">
        <f t="shared" si="117"/>
        <v>7.1698976703232081E-2</v>
      </c>
      <c r="N750">
        <f t="shared" si="118"/>
        <v>68</v>
      </c>
      <c r="O750" t="str">
        <f t="shared" si="119"/>
        <v>Other</v>
      </c>
    </row>
    <row r="751" spans="1:15" hidden="1" x14ac:dyDescent="0.3">
      <c r="A751" t="s">
        <v>586</v>
      </c>
      <c r="B751" s="2">
        <v>42466</v>
      </c>
      <c r="C751" s="3">
        <v>152841</v>
      </c>
      <c r="D751" s="4">
        <v>5342</v>
      </c>
      <c r="E751" s="4">
        <v>489</v>
      </c>
      <c r="F751">
        <f t="shared" si="110"/>
        <v>2016</v>
      </c>
      <c r="G751" t="str">
        <f t="shared" si="111"/>
        <v>April</v>
      </c>
      <c r="H751" t="str">
        <f t="shared" si="112"/>
        <v>Wednesday</v>
      </c>
      <c r="I751">
        <f t="shared" si="113"/>
        <v>3.8150757977244329</v>
      </c>
      <c r="J751">
        <f t="shared" si="114"/>
        <v>34.951354675774169</v>
      </c>
      <c r="K751">
        <f t="shared" si="115"/>
        <v>3.1994033014701553</v>
      </c>
      <c r="L751">
        <f t="shared" si="116"/>
        <v>0.52960630970086708</v>
      </c>
      <c r="M751">
        <f t="shared" si="117"/>
        <v>7.2174907843201172E-2</v>
      </c>
      <c r="N751">
        <f t="shared" si="118"/>
        <v>42</v>
      </c>
      <c r="O751" t="str">
        <f t="shared" si="119"/>
        <v>Other</v>
      </c>
    </row>
    <row r="752" spans="1:15" hidden="1" x14ac:dyDescent="0.3">
      <c r="A752" t="s">
        <v>640</v>
      </c>
      <c r="B752" s="2">
        <v>42316</v>
      </c>
      <c r="C752" s="3">
        <v>152608</v>
      </c>
      <c r="D752" s="4">
        <v>1408</v>
      </c>
      <c r="E752" s="4">
        <v>191</v>
      </c>
      <c r="F752">
        <f t="shared" si="110"/>
        <v>2015</v>
      </c>
      <c r="G752" t="str">
        <f t="shared" si="111"/>
        <v>November</v>
      </c>
      <c r="H752" t="str">
        <f t="shared" si="112"/>
        <v>Sunday</v>
      </c>
      <c r="I752">
        <f t="shared" si="113"/>
        <v>1.0477825539945482</v>
      </c>
      <c r="J752">
        <f t="shared" si="114"/>
        <v>9.226252883204026</v>
      </c>
      <c r="K752">
        <f t="shared" si="115"/>
        <v>1.2515726567414553</v>
      </c>
      <c r="L752">
        <f t="shared" si="116"/>
        <v>0.51899886994873834</v>
      </c>
      <c r="M752">
        <f t="shared" si="117"/>
        <v>7.0125566398656927E-2</v>
      </c>
      <c r="N752">
        <f t="shared" si="118"/>
        <v>70</v>
      </c>
      <c r="O752" t="str">
        <f t="shared" si="119"/>
        <v>Other</v>
      </c>
    </row>
    <row r="753" spans="1:15" hidden="1" x14ac:dyDescent="0.3">
      <c r="A753" t="s">
        <v>825</v>
      </c>
      <c r="B753" s="2">
        <v>42041</v>
      </c>
      <c r="C753" s="3">
        <v>148372</v>
      </c>
      <c r="D753" s="4">
        <v>5046</v>
      </c>
      <c r="E753" s="4">
        <v>686</v>
      </c>
      <c r="F753">
        <f t="shared" si="110"/>
        <v>2015</v>
      </c>
      <c r="G753" t="str">
        <f t="shared" si="111"/>
        <v>February</v>
      </c>
      <c r="H753" t="str">
        <f t="shared" si="112"/>
        <v>Friday</v>
      </c>
      <c r="I753">
        <f t="shared" si="113"/>
        <v>3.8632626101959935</v>
      </c>
      <c r="J753">
        <f t="shared" si="114"/>
        <v>34.009112231418328</v>
      </c>
      <c r="K753">
        <f t="shared" si="115"/>
        <v>4.6235138705416121</v>
      </c>
      <c r="L753">
        <f t="shared" si="116"/>
        <v>0.53618390891016643</v>
      </c>
      <c r="M753">
        <f t="shared" si="117"/>
        <v>7.9859057087782487E-2</v>
      </c>
      <c r="N753">
        <f t="shared" si="118"/>
        <v>9</v>
      </c>
      <c r="O753" t="str">
        <f t="shared" si="119"/>
        <v>Other</v>
      </c>
    </row>
    <row r="754" spans="1:15" hidden="1" x14ac:dyDescent="0.3">
      <c r="A754" t="s">
        <v>659</v>
      </c>
      <c r="B754" s="2">
        <v>42276</v>
      </c>
      <c r="C754" s="3">
        <v>147382</v>
      </c>
      <c r="D754" s="4">
        <v>4246</v>
      </c>
      <c r="E754" s="4">
        <v>528</v>
      </c>
      <c r="F754">
        <f t="shared" si="110"/>
        <v>2015</v>
      </c>
      <c r="G754" t="str">
        <f t="shared" si="111"/>
        <v>September</v>
      </c>
      <c r="H754" t="str">
        <f t="shared" si="112"/>
        <v>Tuesday</v>
      </c>
      <c r="I754">
        <f t="shared" si="113"/>
        <v>3.2392015307160982</v>
      </c>
      <c r="J754">
        <f t="shared" si="114"/>
        <v>28.809488268580967</v>
      </c>
      <c r="K754">
        <f t="shared" si="115"/>
        <v>3.5825270385800168</v>
      </c>
      <c r="L754">
        <f t="shared" si="116"/>
        <v>0.52719148891479761</v>
      </c>
      <c r="M754">
        <f t="shared" si="117"/>
        <v>7.0695231153901875E-2</v>
      </c>
      <c r="N754">
        <f t="shared" si="118"/>
        <v>55</v>
      </c>
      <c r="O754" t="str">
        <f t="shared" si="119"/>
        <v>Other</v>
      </c>
    </row>
    <row r="755" spans="1:15" hidden="1" x14ac:dyDescent="0.3">
      <c r="A755" t="s">
        <v>926</v>
      </c>
      <c r="B755" s="2">
        <v>41502</v>
      </c>
      <c r="C755" s="3">
        <v>147116</v>
      </c>
      <c r="D755" s="4">
        <v>3963</v>
      </c>
      <c r="E755" s="4">
        <v>461</v>
      </c>
      <c r="F755">
        <f t="shared" si="110"/>
        <v>2013</v>
      </c>
      <c r="G755" t="str">
        <f t="shared" si="111"/>
        <v>August</v>
      </c>
      <c r="H755" t="str">
        <f t="shared" si="112"/>
        <v>Friday</v>
      </c>
      <c r="I755">
        <f t="shared" si="113"/>
        <v>3.0071508197612768</v>
      </c>
      <c r="J755">
        <f t="shared" si="114"/>
        <v>26.937926534163516</v>
      </c>
      <c r="K755">
        <f t="shared" si="115"/>
        <v>3.133581663449251</v>
      </c>
      <c r="L755">
        <f t="shared" si="116"/>
        <v>0.52207752203753943</v>
      </c>
      <c r="M755">
        <f t="shared" si="117"/>
        <v>6.7173866736370103E-2</v>
      </c>
      <c r="N755">
        <f t="shared" si="118"/>
        <v>35</v>
      </c>
      <c r="O755" t="str">
        <f t="shared" si="119"/>
        <v>Other</v>
      </c>
    </row>
    <row r="756" spans="1:15" hidden="1" x14ac:dyDescent="0.3">
      <c r="A756" t="s">
        <v>730</v>
      </c>
      <c r="B756" s="2">
        <v>42205</v>
      </c>
      <c r="C756" s="3">
        <v>143389</v>
      </c>
      <c r="D756" s="4">
        <v>4303</v>
      </c>
      <c r="E756" s="4">
        <v>462</v>
      </c>
      <c r="F756">
        <f t="shared" si="110"/>
        <v>2015</v>
      </c>
      <c r="G756" t="str">
        <f t="shared" si="111"/>
        <v>July</v>
      </c>
      <c r="H756" t="str">
        <f t="shared" si="112"/>
        <v>Monday</v>
      </c>
      <c r="I756">
        <f t="shared" si="113"/>
        <v>3.3231279944765637</v>
      </c>
      <c r="J756">
        <f t="shared" si="114"/>
        <v>30.00927546743474</v>
      </c>
      <c r="K756">
        <f t="shared" si="115"/>
        <v>3.2220044773308971</v>
      </c>
      <c r="L756">
        <f t="shared" si="116"/>
        <v>0.51850674429813282</v>
      </c>
      <c r="M756">
        <f t="shared" si="117"/>
        <v>6.6088457530161765E-2</v>
      </c>
      <c r="N756">
        <f t="shared" si="118"/>
        <v>24</v>
      </c>
      <c r="O756" t="str">
        <f t="shared" si="119"/>
        <v>Other</v>
      </c>
    </row>
    <row r="757" spans="1:15" hidden="1" x14ac:dyDescent="0.3">
      <c r="A757" t="s">
        <v>777</v>
      </c>
      <c r="B757" s="2">
        <v>42153</v>
      </c>
      <c r="C757" s="3">
        <v>141703</v>
      </c>
      <c r="D757" s="4">
        <v>1528</v>
      </c>
      <c r="E757" s="4">
        <v>128</v>
      </c>
      <c r="F757">
        <f t="shared" si="110"/>
        <v>2015</v>
      </c>
      <c r="G757" t="str">
        <f t="shared" si="111"/>
        <v>May</v>
      </c>
      <c r="H757" t="str">
        <f t="shared" si="112"/>
        <v>Friday</v>
      </c>
      <c r="I757">
        <f t="shared" si="113"/>
        <v>1.1686414543093655</v>
      </c>
      <c r="J757">
        <f t="shared" si="114"/>
        <v>10.783116800632307</v>
      </c>
      <c r="K757">
        <f t="shared" si="115"/>
        <v>0.9032977424613452</v>
      </c>
      <c r="L757">
        <f t="shared" si="116"/>
        <v>0.51281451345515694</v>
      </c>
      <c r="M757">
        <f t="shared" si="117"/>
        <v>6.4955849144106001E-2</v>
      </c>
      <c r="N757">
        <f t="shared" si="118"/>
        <v>55</v>
      </c>
      <c r="O757" t="str">
        <f t="shared" si="119"/>
        <v>Other</v>
      </c>
    </row>
    <row r="758" spans="1:15" hidden="1" x14ac:dyDescent="0.3">
      <c r="A758" t="s">
        <v>622</v>
      </c>
      <c r="B758" s="2">
        <v>42364</v>
      </c>
      <c r="C758" s="3">
        <v>141616</v>
      </c>
      <c r="D758" s="4">
        <v>8489</v>
      </c>
      <c r="E758" s="4">
        <v>579</v>
      </c>
      <c r="F758">
        <f t="shared" si="110"/>
        <v>2015</v>
      </c>
      <c r="G758" t="str">
        <f t="shared" si="111"/>
        <v>December</v>
      </c>
      <c r="H758" t="str">
        <f t="shared" si="112"/>
        <v>Saturday</v>
      </c>
      <c r="I758">
        <f t="shared" si="113"/>
        <v>6.4032312733024508</v>
      </c>
      <c r="J758">
        <f t="shared" si="114"/>
        <v>59.943791661959104</v>
      </c>
      <c r="K758">
        <f t="shared" si="115"/>
        <v>4.0885210710654158</v>
      </c>
      <c r="L758">
        <f t="shared" si="116"/>
        <v>0.52666158804401508</v>
      </c>
      <c r="M758">
        <f t="shared" si="117"/>
        <v>7.5977853921070856E-2</v>
      </c>
      <c r="N758">
        <f t="shared" si="118"/>
        <v>39</v>
      </c>
      <c r="O758" t="str">
        <f t="shared" si="119"/>
        <v>Other</v>
      </c>
    </row>
    <row r="759" spans="1:15" hidden="1" x14ac:dyDescent="0.3">
      <c r="A759" t="s">
        <v>938</v>
      </c>
      <c r="B759" s="2">
        <v>41483</v>
      </c>
      <c r="C759" s="3">
        <v>141434</v>
      </c>
      <c r="D759" s="4">
        <v>4922</v>
      </c>
      <c r="E759" s="4">
        <v>847</v>
      </c>
      <c r="F759">
        <f t="shared" si="110"/>
        <v>2013</v>
      </c>
      <c r="G759" t="str">
        <f t="shared" si="111"/>
        <v>July</v>
      </c>
      <c r="H759" t="str">
        <f t="shared" si="112"/>
        <v>Sunday</v>
      </c>
      <c r="I759">
        <f t="shared" si="113"/>
        <v>4.0789343439342733</v>
      </c>
      <c r="J759">
        <f t="shared" si="114"/>
        <v>34.800684418173851</v>
      </c>
      <c r="K759">
        <f t="shared" si="115"/>
        <v>5.9886590211688846</v>
      </c>
      <c r="L759">
        <f t="shared" si="116"/>
        <v>0.50936443977081403</v>
      </c>
      <c r="M759">
        <f t="shared" si="117"/>
        <v>7.0766179980551736E-2</v>
      </c>
      <c r="N759">
        <f t="shared" si="118"/>
        <v>46</v>
      </c>
      <c r="O759" t="str">
        <f t="shared" si="119"/>
        <v>Other</v>
      </c>
    </row>
    <row r="760" spans="1:15" hidden="1" x14ac:dyDescent="0.3">
      <c r="A760" t="s">
        <v>744</v>
      </c>
      <c r="B760" s="2">
        <v>42192</v>
      </c>
      <c r="C760" s="3">
        <v>141296</v>
      </c>
      <c r="D760" s="4">
        <v>4543</v>
      </c>
      <c r="E760" s="4">
        <v>999</v>
      </c>
      <c r="F760">
        <f t="shared" si="110"/>
        <v>2015</v>
      </c>
      <c r="G760" t="str">
        <f t="shared" si="111"/>
        <v>July</v>
      </c>
      <c r="H760" t="str">
        <f t="shared" si="112"/>
        <v>Tuesday</v>
      </c>
      <c r="I760">
        <f t="shared" si="113"/>
        <v>3.9222624844298495</v>
      </c>
      <c r="J760">
        <f t="shared" si="114"/>
        <v>32.152361001019138</v>
      </c>
      <c r="K760">
        <f t="shared" si="115"/>
        <v>7.0702638432793572</v>
      </c>
      <c r="L760">
        <f t="shared" si="116"/>
        <v>0.49946792381266542</v>
      </c>
      <c r="M760">
        <f t="shared" si="117"/>
        <v>5.5680256640477523E-2</v>
      </c>
      <c r="N760">
        <f t="shared" si="118"/>
        <v>39</v>
      </c>
      <c r="O760" t="str">
        <f t="shared" si="119"/>
        <v>Other</v>
      </c>
    </row>
    <row r="761" spans="1:15" hidden="1" x14ac:dyDescent="0.3">
      <c r="A761" t="s">
        <v>611</v>
      </c>
      <c r="B761" s="2">
        <v>42390</v>
      </c>
      <c r="C761" s="3">
        <v>141084</v>
      </c>
      <c r="D761" s="4">
        <v>5907</v>
      </c>
      <c r="E761" s="4">
        <v>742</v>
      </c>
      <c r="F761">
        <f t="shared" si="110"/>
        <v>2016</v>
      </c>
      <c r="G761" t="str">
        <f t="shared" si="111"/>
        <v>January</v>
      </c>
      <c r="H761" t="str">
        <f t="shared" si="112"/>
        <v>Thursday</v>
      </c>
      <c r="I761">
        <f t="shared" si="113"/>
        <v>4.7127952141986329</v>
      </c>
      <c r="J761">
        <f t="shared" si="114"/>
        <v>41.868673981457853</v>
      </c>
      <c r="K761">
        <f t="shared" si="115"/>
        <v>5.2592781605284795</v>
      </c>
      <c r="L761">
        <f t="shared" si="116"/>
        <v>0.49112829924157803</v>
      </c>
      <c r="M761">
        <f t="shared" si="117"/>
        <v>3.4303421920757152E-2</v>
      </c>
      <c r="N761">
        <f t="shared" si="118"/>
        <v>25</v>
      </c>
      <c r="O761" t="str">
        <f t="shared" si="119"/>
        <v>Other</v>
      </c>
    </row>
    <row r="762" spans="1:15" hidden="1" x14ac:dyDescent="0.3">
      <c r="A762" t="s">
        <v>613</v>
      </c>
      <c r="B762" s="2">
        <v>42385</v>
      </c>
      <c r="C762" s="3">
        <v>140297</v>
      </c>
      <c r="D762" s="4">
        <v>3686</v>
      </c>
      <c r="E762" s="4">
        <v>255</v>
      </c>
      <c r="F762">
        <f t="shared" si="110"/>
        <v>2016</v>
      </c>
      <c r="G762" t="str">
        <f t="shared" si="111"/>
        <v>January</v>
      </c>
      <c r="H762" t="str">
        <f t="shared" si="112"/>
        <v>Saturday</v>
      </c>
      <c r="I762">
        <f t="shared" si="113"/>
        <v>2.8090408205449866</v>
      </c>
      <c r="J762">
        <f t="shared" si="114"/>
        <v>26.2728354847217</v>
      </c>
      <c r="K762">
        <f t="shared" si="115"/>
        <v>1.8175727207281696</v>
      </c>
      <c r="L762">
        <f t="shared" si="116"/>
        <v>0.47569507519010495</v>
      </c>
      <c r="M762">
        <f t="shared" si="117"/>
        <v>2.1731683396154691E-2</v>
      </c>
      <c r="N762">
        <f t="shared" si="118"/>
        <v>54</v>
      </c>
      <c r="O762" t="str">
        <f t="shared" si="119"/>
        <v>Challenge</v>
      </c>
    </row>
    <row r="763" spans="1:15" hidden="1" x14ac:dyDescent="0.3">
      <c r="A763" t="s">
        <v>889</v>
      </c>
      <c r="B763" s="2">
        <v>41687</v>
      </c>
      <c r="C763" s="3">
        <v>140048</v>
      </c>
      <c r="D763" s="4">
        <v>3648</v>
      </c>
      <c r="E763" s="4">
        <v>644</v>
      </c>
      <c r="F763">
        <f t="shared" si="110"/>
        <v>2014</v>
      </c>
      <c r="G763" t="str">
        <f t="shared" si="111"/>
        <v>February</v>
      </c>
      <c r="H763" t="str">
        <f t="shared" si="112"/>
        <v>Monday</v>
      </c>
      <c r="I763">
        <f t="shared" si="113"/>
        <v>3.0646635439277965</v>
      </c>
      <c r="J763">
        <f t="shared" si="114"/>
        <v>26.048212041585742</v>
      </c>
      <c r="K763">
        <f t="shared" si="115"/>
        <v>4.59842339769222</v>
      </c>
      <c r="L763">
        <f t="shared" si="116"/>
        <v>0.47196188322777211</v>
      </c>
      <c r="M763">
        <f t="shared" si="117"/>
        <v>2.781459771414059E-2</v>
      </c>
      <c r="N763">
        <f t="shared" si="118"/>
        <v>32</v>
      </c>
      <c r="O763" t="str">
        <f t="shared" si="119"/>
        <v>Other</v>
      </c>
    </row>
    <row r="764" spans="1:15" hidden="1" x14ac:dyDescent="0.3">
      <c r="A764" t="s">
        <v>936</v>
      </c>
      <c r="B764" s="2">
        <v>41485</v>
      </c>
      <c r="C764" s="3">
        <v>138997</v>
      </c>
      <c r="D764" s="4">
        <v>4404</v>
      </c>
      <c r="E764" s="4">
        <v>623</v>
      </c>
      <c r="F764">
        <f t="shared" si="110"/>
        <v>2013</v>
      </c>
      <c r="G764" t="str">
        <f t="shared" si="111"/>
        <v>July</v>
      </c>
      <c r="H764" t="str">
        <f t="shared" si="112"/>
        <v>Tuesday</v>
      </c>
      <c r="I764">
        <f t="shared" si="113"/>
        <v>3.6166248192407031</v>
      </c>
      <c r="J764">
        <f t="shared" si="114"/>
        <v>31.684137067706494</v>
      </c>
      <c r="K764">
        <f t="shared" si="115"/>
        <v>4.4821111247005332</v>
      </c>
      <c r="L764">
        <f t="shared" si="116"/>
        <v>0.4684030777519641</v>
      </c>
      <c r="M764">
        <f t="shared" si="117"/>
        <v>1.869875144097825E-2</v>
      </c>
      <c r="N764">
        <f t="shared" si="118"/>
        <v>58</v>
      </c>
      <c r="O764" t="str">
        <f t="shared" si="119"/>
        <v>Other</v>
      </c>
    </row>
    <row r="765" spans="1:15" hidden="1" x14ac:dyDescent="0.3">
      <c r="A765" t="s">
        <v>706</v>
      </c>
      <c r="B765" s="2">
        <v>42220</v>
      </c>
      <c r="C765" s="3">
        <v>135720</v>
      </c>
      <c r="D765" s="4">
        <v>2084</v>
      </c>
      <c r="E765" s="4">
        <v>267</v>
      </c>
      <c r="F765">
        <f t="shared" si="110"/>
        <v>2015</v>
      </c>
      <c r="G765" t="str">
        <f t="shared" si="111"/>
        <v>August</v>
      </c>
      <c r="H765" t="str">
        <f t="shared" si="112"/>
        <v>Tuesday</v>
      </c>
      <c r="I765">
        <f t="shared" si="113"/>
        <v>1.732242852932508</v>
      </c>
      <c r="J765">
        <f t="shared" si="114"/>
        <v>15.355142941349838</v>
      </c>
      <c r="K765">
        <f t="shared" si="115"/>
        <v>1.9672855879752431</v>
      </c>
      <c r="L765">
        <f t="shared" si="116"/>
        <v>0.45957985824117281</v>
      </c>
      <c r="M765">
        <f t="shared" si="117"/>
        <v>1.0222441997721793E-2</v>
      </c>
      <c r="N765">
        <f t="shared" si="118"/>
        <v>38</v>
      </c>
      <c r="O765" t="str">
        <f t="shared" si="119"/>
        <v>Other</v>
      </c>
    </row>
    <row r="766" spans="1:15" hidden="1" x14ac:dyDescent="0.3">
      <c r="A766" t="s">
        <v>918</v>
      </c>
      <c r="B766" s="2">
        <v>41589</v>
      </c>
      <c r="C766" s="3">
        <v>135565</v>
      </c>
      <c r="D766" s="4">
        <v>3997</v>
      </c>
      <c r="E766" s="4">
        <v>395</v>
      </c>
      <c r="F766">
        <f t="shared" si="110"/>
        <v>2013</v>
      </c>
      <c r="G766" t="str">
        <f t="shared" si="111"/>
        <v>November</v>
      </c>
      <c r="H766" t="str">
        <f t="shared" si="112"/>
        <v>Monday</v>
      </c>
      <c r="I766">
        <f t="shared" si="113"/>
        <v>3.2397742780216134</v>
      </c>
      <c r="J766">
        <f t="shared" si="114"/>
        <v>29.484011359864272</v>
      </c>
      <c r="K766">
        <f t="shared" si="115"/>
        <v>2.9137314203518607</v>
      </c>
      <c r="L766">
        <f t="shared" si="116"/>
        <v>0.46806839416081875</v>
      </c>
      <c r="M766">
        <f t="shared" si="117"/>
        <v>1.5463892628267114E-2</v>
      </c>
      <c r="N766">
        <f t="shared" si="118"/>
        <v>31</v>
      </c>
      <c r="O766" t="str">
        <f t="shared" si="119"/>
        <v>Other</v>
      </c>
    </row>
    <row r="767" spans="1:15" hidden="1" x14ac:dyDescent="0.3">
      <c r="A767" t="s">
        <v>848</v>
      </c>
      <c r="B767" s="2">
        <v>41818</v>
      </c>
      <c r="C767" s="3">
        <v>135428</v>
      </c>
      <c r="D767" s="4">
        <v>3161</v>
      </c>
      <c r="E767" s="4">
        <v>236</v>
      </c>
      <c r="F767">
        <f t="shared" si="110"/>
        <v>2014</v>
      </c>
      <c r="G767" t="str">
        <f t="shared" si="111"/>
        <v>June</v>
      </c>
      <c r="H767" t="str">
        <f t="shared" si="112"/>
        <v>Saturday</v>
      </c>
      <c r="I767">
        <f t="shared" si="113"/>
        <v>2.5083439170629411</v>
      </c>
      <c r="J767">
        <f t="shared" si="114"/>
        <v>23.340815784032841</v>
      </c>
      <c r="K767">
        <f t="shared" si="115"/>
        <v>1.7426233865965679</v>
      </c>
      <c r="L767">
        <f t="shared" si="116"/>
        <v>0.4618532278256961</v>
      </c>
      <c r="M767">
        <f t="shared" si="117"/>
        <v>1.5934984252102508E-2</v>
      </c>
      <c r="N767">
        <f t="shared" si="118"/>
        <v>13</v>
      </c>
      <c r="O767" t="str">
        <f t="shared" si="119"/>
        <v>Other</v>
      </c>
    </row>
    <row r="768" spans="1:15" hidden="1" x14ac:dyDescent="0.3">
      <c r="A768" t="s">
        <v>653</v>
      </c>
      <c r="B768" s="2">
        <v>42287</v>
      </c>
      <c r="C768" s="3">
        <v>135107</v>
      </c>
      <c r="D768" s="4">
        <v>4344</v>
      </c>
      <c r="E768" s="4">
        <v>902</v>
      </c>
      <c r="F768">
        <f t="shared" si="110"/>
        <v>2015</v>
      </c>
      <c r="G768" t="str">
        <f t="shared" si="111"/>
        <v>October</v>
      </c>
      <c r="H768" t="str">
        <f t="shared" si="112"/>
        <v>Saturday</v>
      </c>
      <c r="I768">
        <f t="shared" si="113"/>
        <v>3.8828484090387616</v>
      </c>
      <c r="J768">
        <f t="shared" si="114"/>
        <v>32.152294107633203</v>
      </c>
      <c r="K768">
        <f t="shared" si="115"/>
        <v>6.6761899827544102</v>
      </c>
      <c r="L768">
        <f t="shared" si="116"/>
        <v>0.46152250039325177</v>
      </c>
      <c r="M768">
        <f t="shared" si="117"/>
        <v>2.266590181949546E-2</v>
      </c>
      <c r="N768">
        <f t="shared" si="118"/>
        <v>22</v>
      </c>
      <c r="O768" t="str">
        <f t="shared" si="119"/>
        <v>Other</v>
      </c>
    </row>
    <row r="769" spans="1:15" hidden="1" x14ac:dyDescent="0.3">
      <c r="A769" t="s">
        <v>579</v>
      </c>
      <c r="B769" s="2">
        <v>42484</v>
      </c>
      <c r="C769" s="3">
        <v>132007</v>
      </c>
      <c r="D769" s="4">
        <v>12524</v>
      </c>
      <c r="E769" s="4">
        <v>1209</v>
      </c>
      <c r="F769">
        <f t="shared" si="110"/>
        <v>2016</v>
      </c>
      <c r="G769" t="str">
        <f t="shared" si="111"/>
        <v>April</v>
      </c>
      <c r="H769" t="str">
        <f t="shared" si="112"/>
        <v>Sunday</v>
      </c>
      <c r="I769">
        <f t="shared" si="113"/>
        <v>10.40323619202012</v>
      </c>
      <c r="J769">
        <f t="shared" si="114"/>
        <v>94.873756694720726</v>
      </c>
      <c r="K769">
        <f t="shared" si="115"/>
        <v>9.158605225480466</v>
      </c>
      <c r="L769">
        <f t="shared" si="116"/>
        <v>0.45270817928678719</v>
      </c>
      <c r="M769">
        <f t="shared" si="117"/>
        <v>3.2058193944672166E-3</v>
      </c>
      <c r="N769">
        <f t="shared" si="118"/>
        <v>23</v>
      </c>
      <c r="O769" t="str">
        <f t="shared" si="119"/>
        <v>Other</v>
      </c>
    </row>
    <row r="770" spans="1:15" hidden="1" x14ac:dyDescent="0.3">
      <c r="A770" t="s">
        <v>733</v>
      </c>
      <c r="B770" s="2">
        <v>42201</v>
      </c>
      <c r="C770" s="3">
        <v>131582</v>
      </c>
      <c r="D770" s="4">
        <v>3856</v>
      </c>
      <c r="E770" s="4">
        <v>300</v>
      </c>
      <c r="F770">
        <f t="shared" ref="F770:F833" si="120">YEAR(B770)</f>
        <v>2015</v>
      </c>
      <c r="G770" t="str">
        <f t="shared" ref="G770:G833" si="121">TEXT(B770,"MMMM")</f>
        <v>July</v>
      </c>
      <c r="H770" t="str">
        <f t="shared" ref="H770:H833" si="122">TEXT(B770, "DDDD")</f>
        <v>Thursday</v>
      </c>
      <c r="I770">
        <f t="shared" ref="I770:I833" si="123">((D770+E770)/C770)*100</f>
        <v>3.158486723108024</v>
      </c>
      <c r="J770">
        <f t="shared" ref="J770:J833" si="124">(D770/C770)*1000</f>
        <v>29.30492012585308</v>
      </c>
      <c r="K770">
        <f t="shared" ref="K770:K833" si="125">(E770/C770)*1000</f>
        <v>2.2799471052271585</v>
      </c>
      <c r="L770">
        <f t="shared" ref="L770:L833" si="126">CORREL(C770:C1268, D770:D1268)</f>
        <v>0.44447488371687111</v>
      </c>
      <c r="M770">
        <f t="shared" ref="M770:M833" si="127">CORREL(C770:C1268,E770:E1268)</f>
        <v>-2.8169271136286266E-2</v>
      </c>
      <c r="N770">
        <f t="shared" ref="N770:N833" si="128">LEN(A770)</f>
        <v>49</v>
      </c>
      <c r="O770" t="str">
        <f t="shared" ref="O770:O833" si="129">IF(ISNUMBER(SEARCH("$",A770)), "Money", IF(ISNUMBER(SEARCH("Win",A770)), "Challenge",IF(ISNUMBER(SEARCH("Challenge",A770)), "Challenge",IF(ISNUMBER(SEARCH("Last To Leave",A770)),"Challenge",IF(ISNUMBER(SEARCH("Giving Away", A770)),"Giveaway",IF(ISNUMBER(SEARCH("Stranded",A770)),"Survival", IF(ISNUMBER(SEARCH("Survive",A770)), "Survival", IF(ISNUMBER(SEARCH("Days",A770)),"Endurance","Other"))))))))</f>
        <v>Other</v>
      </c>
    </row>
    <row r="771" spans="1:15" hidden="1" x14ac:dyDescent="0.3">
      <c r="A771" t="s">
        <v>886</v>
      </c>
      <c r="B771" s="2">
        <v>41693</v>
      </c>
      <c r="C771" s="3">
        <v>130827</v>
      </c>
      <c r="D771" s="4">
        <v>3408</v>
      </c>
      <c r="E771" s="4">
        <v>458</v>
      </c>
      <c r="F771">
        <f t="shared" si="120"/>
        <v>2014</v>
      </c>
      <c r="G771" t="str">
        <f t="shared" si="121"/>
        <v>February</v>
      </c>
      <c r="H771" t="str">
        <f t="shared" si="122"/>
        <v>Sunday</v>
      </c>
      <c r="I771">
        <f t="shared" si="123"/>
        <v>2.9550475054843419</v>
      </c>
      <c r="J771">
        <f t="shared" si="124"/>
        <v>26.049668646380333</v>
      </c>
      <c r="K771">
        <f t="shared" si="125"/>
        <v>3.500806408463085</v>
      </c>
      <c r="L771">
        <f t="shared" si="126"/>
        <v>0.4362511721794457</v>
      </c>
      <c r="M771">
        <f t="shared" si="127"/>
        <v>-2.473609312011962E-2</v>
      </c>
      <c r="N771">
        <f t="shared" si="128"/>
        <v>49</v>
      </c>
      <c r="O771" t="str">
        <f t="shared" si="129"/>
        <v>Other</v>
      </c>
    </row>
    <row r="772" spans="1:15" hidden="1" x14ac:dyDescent="0.3">
      <c r="A772" t="s">
        <v>657</v>
      </c>
      <c r="B772" s="2">
        <v>42281</v>
      </c>
      <c r="C772" s="3">
        <v>130434</v>
      </c>
      <c r="D772" s="4">
        <v>4961</v>
      </c>
      <c r="E772" s="4">
        <v>707</v>
      </c>
      <c r="F772">
        <f t="shared" si="120"/>
        <v>2015</v>
      </c>
      <c r="G772" t="str">
        <f t="shared" si="121"/>
        <v>October</v>
      </c>
      <c r="H772" t="str">
        <f t="shared" si="122"/>
        <v>Sunday</v>
      </c>
      <c r="I772">
        <f t="shared" si="123"/>
        <v>4.3454927396231042</v>
      </c>
      <c r="J772">
        <f t="shared" si="124"/>
        <v>38.034561540702576</v>
      </c>
      <c r="K772">
        <f t="shared" si="125"/>
        <v>5.4203658555284662</v>
      </c>
      <c r="L772">
        <f t="shared" si="126"/>
        <v>0.43140963586820341</v>
      </c>
      <c r="M772">
        <f t="shared" si="127"/>
        <v>-2.7448460285871317E-2</v>
      </c>
      <c r="N772">
        <f t="shared" si="128"/>
        <v>55</v>
      </c>
      <c r="O772" t="str">
        <f t="shared" si="129"/>
        <v>Other</v>
      </c>
    </row>
    <row r="773" spans="1:15" hidden="1" x14ac:dyDescent="0.3">
      <c r="A773" t="s">
        <v>767</v>
      </c>
      <c r="B773" s="2">
        <v>42167</v>
      </c>
      <c r="C773" s="3">
        <v>129325</v>
      </c>
      <c r="D773" s="4">
        <v>2884</v>
      </c>
      <c r="E773" s="4">
        <v>225</v>
      </c>
      <c r="F773">
        <f t="shared" si="120"/>
        <v>2015</v>
      </c>
      <c r="G773" t="str">
        <f t="shared" si="121"/>
        <v>June</v>
      </c>
      <c r="H773" t="str">
        <f t="shared" si="122"/>
        <v>Friday</v>
      </c>
      <c r="I773">
        <f t="shared" si="123"/>
        <v>2.4040208776338683</v>
      </c>
      <c r="J773">
        <f t="shared" si="124"/>
        <v>22.300405953991881</v>
      </c>
      <c r="K773">
        <f t="shared" si="125"/>
        <v>1.7398028223468005</v>
      </c>
      <c r="L773">
        <f t="shared" si="126"/>
        <v>0.41505596218242635</v>
      </c>
      <c r="M773">
        <f t="shared" si="127"/>
        <v>-4.0242722468503363E-2</v>
      </c>
      <c r="N773">
        <f t="shared" si="128"/>
        <v>72</v>
      </c>
      <c r="O773" t="str">
        <f t="shared" si="129"/>
        <v>Other</v>
      </c>
    </row>
    <row r="774" spans="1:15" hidden="1" x14ac:dyDescent="0.3">
      <c r="A774" t="s">
        <v>913</v>
      </c>
      <c r="B774" s="2">
        <v>41595</v>
      </c>
      <c r="C774" s="3">
        <v>128904</v>
      </c>
      <c r="D774" s="4">
        <v>3510</v>
      </c>
      <c r="E774" s="4">
        <v>350</v>
      </c>
      <c r="F774">
        <f t="shared" si="120"/>
        <v>2013</v>
      </c>
      <c r="G774" t="str">
        <f t="shared" si="121"/>
        <v>November</v>
      </c>
      <c r="H774" t="str">
        <f t="shared" si="122"/>
        <v>Sunday</v>
      </c>
      <c r="I774">
        <f t="shared" si="123"/>
        <v>2.9944765096505925</v>
      </c>
      <c r="J774">
        <f t="shared" si="124"/>
        <v>27.229566188791658</v>
      </c>
      <c r="K774">
        <f t="shared" si="125"/>
        <v>2.7151989077142682</v>
      </c>
      <c r="L774">
        <f t="shared" si="126"/>
        <v>0.4144078271356873</v>
      </c>
      <c r="M774">
        <f t="shared" si="127"/>
        <v>-3.403856497555717E-2</v>
      </c>
      <c r="N774">
        <f t="shared" si="128"/>
        <v>72</v>
      </c>
      <c r="O774" t="str">
        <f t="shared" si="129"/>
        <v>Other</v>
      </c>
    </row>
    <row r="775" spans="1:15" hidden="1" x14ac:dyDescent="0.3">
      <c r="A775" t="s">
        <v>580</v>
      </c>
      <c r="B775" s="2">
        <v>42482</v>
      </c>
      <c r="C775" s="3">
        <v>128609</v>
      </c>
      <c r="D775" s="4">
        <v>4821</v>
      </c>
      <c r="E775" s="4">
        <v>457</v>
      </c>
      <c r="F775">
        <f t="shared" si="120"/>
        <v>2016</v>
      </c>
      <c r="G775" t="str">
        <f t="shared" si="121"/>
        <v>April</v>
      </c>
      <c r="H775" t="str">
        <f t="shared" si="122"/>
        <v>Friday</v>
      </c>
      <c r="I775">
        <f t="shared" si="123"/>
        <v>4.1039118568684936</v>
      </c>
      <c r="J775">
        <f t="shared" si="124"/>
        <v>37.485712508455862</v>
      </c>
      <c r="K775">
        <f t="shared" si="125"/>
        <v>3.5534060602290665</v>
      </c>
      <c r="L775">
        <f t="shared" si="126"/>
        <v>0.4079562812352332</v>
      </c>
      <c r="M775">
        <f t="shared" si="127"/>
        <v>-3.2636878134887859E-2</v>
      </c>
      <c r="N775">
        <f t="shared" si="128"/>
        <v>66</v>
      </c>
      <c r="O775" t="str">
        <f t="shared" si="129"/>
        <v>Other</v>
      </c>
    </row>
    <row r="776" spans="1:15" hidden="1" x14ac:dyDescent="0.3">
      <c r="A776" t="s">
        <v>890</v>
      </c>
      <c r="B776" s="2">
        <v>41686</v>
      </c>
      <c r="C776" s="3">
        <v>127801</v>
      </c>
      <c r="D776" s="4">
        <v>2859</v>
      </c>
      <c r="E776" s="4">
        <v>937</v>
      </c>
      <c r="F776">
        <f t="shared" si="120"/>
        <v>2014</v>
      </c>
      <c r="G776" t="str">
        <f t="shared" si="121"/>
        <v>February</v>
      </c>
      <c r="H776" t="str">
        <f t="shared" si="122"/>
        <v>Sunday</v>
      </c>
      <c r="I776">
        <f t="shared" si="123"/>
        <v>2.9702427993521177</v>
      </c>
      <c r="J776">
        <f t="shared" si="124"/>
        <v>22.370716974045585</v>
      </c>
      <c r="K776">
        <f t="shared" si="125"/>
        <v>7.3317110194755903</v>
      </c>
      <c r="L776">
        <f t="shared" si="126"/>
        <v>0.39110147312387633</v>
      </c>
      <c r="M776">
        <f t="shared" si="127"/>
        <v>-3.5529264841586694E-2</v>
      </c>
      <c r="N776">
        <f t="shared" si="128"/>
        <v>34</v>
      </c>
      <c r="O776" t="str">
        <f t="shared" si="129"/>
        <v>Other</v>
      </c>
    </row>
    <row r="777" spans="1:15" hidden="1" x14ac:dyDescent="0.3">
      <c r="A777" t="s">
        <v>910</v>
      </c>
      <c r="B777" s="2">
        <v>41613</v>
      </c>
      <c r="C777" s="3">
        <v>126884</v>
      </c>
      <c r="D777" s="4">
        <v>2671</v>
      </c>
      <c r="E777" s="4">
        <v>369</v>
      </c>
      <c r="F777">
        <f t="shared" si="120"/>
        <v>2013</v>
      </c>
      <c r="G777" t="str">
        <f t="shared" si="121"/>
        <v>December</v>
      </c>
      <c r="H777" t="str">
        <f t="shared" si="122"/>
        <v>Thursday</v>
      </c>
      <c r="I777">
        <f t="shared" si="123"/>
        <v>2.3958891586015572</v>
      </c>
      <c r="J777">
        <f t="shared" si="124"/>
        <v>21.050723495476181</v>
      </c>
      <c r="K777">
        <f t="shared" si="125"/>
        <v>2.9081680905393901</v>
      </c>
      <c r="L777">
        <f t="shared" si="126"/>
        <v>0.39014281483464586</v>
      </c>
      <c r="M777">
        <f t="shared" si="127"/>
        <v>-5.8436492700611298E-2</v>
      </c>
      <c r="N777">
        <f t="shared" si="128"/>
        <v>43</v>
      </c>
      <c r="O777" t="str">
        <f t="shared" si="129"/>
        <v>Other</v>
      </c>
    </row>
    <row r="778" spans="1:15" hidden="1" x14ac:dyDescent="0.3">
      <c r="A778" t="s">
        <v>712</v>
      </c>
      <c r="B778" s="2">
        <v>42217</v>
      </c>
      <c r="C778" s="3">
        <v>126436</v>
      </c>
      <c r="D778" s="4">
        <v>2363</v>
      </c>
      <c r="E778" s="4">
        <v>227</v>
      </c>
      <c r="F778">
        <f t="shared" si="120"/>
        <v>2015</v>
      </c>
      <c r="G778" t="str">
        <f t="shared" si="121"/>
        <v>August</v>
      </c>
      <c r="H778" t="str">
        <f t="shared" si="122"/>
        <v>Saturday</v>
      </c>
      <c r="I778">
        <f t="shared" si="123"/>
        <v>2.0484672087063811</v>
      </c>
      <c r="J778">
        <f t="shared" si="124"/>
        <v>18.689297352019995</v>
      </c>
      <c r="K778">
        <f t="shared" si="125"/>
        <v>1.7953747350438165</v>
      </c>
      <c r="L778">
        <f t="shared" si="126"/>
        <v>0.39107736283316757</v>
      </c>
      <c r="M778">
        <f t="shared" si="127"/>
        <v>-5.8217487973811988E-2</v>
      </c>
      <c r="N778">
        <f t="shared" si="128"/>
        <v>42</v>
      </c>
      <c r="O778" t="str">
        <f t="shared" si="129"/>
        <v>Other</v>
      </c>
    </row>
    <row r="779" spans="1:15" hidden="1" x14ac:dyDescent="0.3">
      <c r="A779" t="s">
        <v>920</v>
      </c>
      <c r="B779" s="2">
        <v>41538</v>
      </c>
      <c r="C779" s="3">
        <v>125090</v>
      </c>
      <c r="D779" s="4">
        <v>4215</v>
      </c>
      <c r="E779" s="4">
        <v>780</v>
      </c>
      <c r="F779">
        <f t="shared" si="120"/>
        <v>2013</v>
      </c>
      <c r="G779" t="str">
        <f t="shared" si="121"/>
        <v>September</v>
      </c>
      <c r="H779" t="str">
        <f t="shared" si="122"/>
        <v>Saturday</v>
      </c>
      <c r="I779">
        <f t="shared" si="123"/>
        <v>3.9931249500359742</v>
      </c>
      <c r="J779">
        <f t="shared" si="124"/>
        <v>33.695739067871138</v>
      </c>
      <c r="K779">
        <f t="shared" si="125"/>
        <v>6.2355104324886081</v>
      </c>
      <c r="L779">
        <f t="shared" si="126"/>
        <v>0.3954108999514746</v>
      </c>
      <c r="M779">
        <f t="shared" si="127"/>
        <v>-5.2195243637293116E-2</v>
      </c>
      <c r="N779">
        <f t="shared" si="128"/>
        <v>15</v>
      </c>
      <c r="O779" t="str">
        <f t="shared" si="129"/>
        <v>Other</v>
      </c>
    </row>
    <row r="780" spans="1:15" hidden="1" x14ac:dyDescent="0.3">
      <c r="A780" t="s">
        <v>883</v>
      </c>
      <c r="B780" s="2">
        <v>41706</v>
      </c>
      <c r="C780" s="3">
        <v>124762</v>
      </c>
      <c r="D780" s="4">
        <v>3359</v>
      </c>
      <c r="E780" s="4">
        <v>1125</v>
      </c>
      <c r="F780">
        <f t="shared" si="120"/>
        <v>2014</v>
      </c>
      <c r="G780" t="str">
        <f t="shared" si="121"/>
        <v>March</v>
      </c>
      <c r="H780" t="str">
        <f t="shared" si="122"/>
        <v>Saturday</v>
      </c>
      <c r="I780">
        <f t="shared" si="123"/>
        <v>3.5940430579823981</v>
      </c>
      <c r="J780">
        <f t="shared" si="124"/>
        <v>26.923261890639779</v>
      </c>
      <c r="K780">
        <f t="shared" si="125"/>
        <v>9.0171686891842064</v>
      </c>
      <c r="L780">
        <f t="shared" si="126"/>
        <v>0.38229718848080563</v>
      </c>
      <c r="M780">
        <f t="shared" si="127"/>
        <v>-6.8892705348163955E-2</v>
      </c>
      <c r="N780">
        <f t="shared" si="128"/>
        <v>12</v>
      </c>
      <c r="O780" t="str">
        <f t="shared" si="129"/>
        <v>Other</v>
      </c>
    </row>
    <row r="781" spans="1:15" hidden="1" x14ac:dyDescent="0.3">
      <c r="A781" t="s">
        <v>895</v>
      </c>
      <c r="B781" s="2">
        <v>41651</v>
      </c>
      <c r="C781" s="3">
        <v>124672</v>
      </c>
      <c r="D781" s="4">
        <v>2494</v>
      </c>
      <c r="E781" s="4">
        <v>300</v>
      </c>
      <c r="F781">
        <f t="shared" si="120"/>
        <v>2014</v>
      </c>
      <c r="G781" t="str">
        <f t="shared" si="121"/>
        <v>January</v>
      </c>
      <c r="H781" t="str">
        <f t="shared" si="122"/>
        <v>Sunday</v>
      </c>
      <c r="I781">
        <f t="shared" si="123"/>
        <v>2.2410805954825461</v>
      </c>
      <c r="J781">
        <f t="shared" si="124"/>
        <v>20.004491786447637</v>
      </c>
      <c r="K781">
        <f t="shared" si="125"/>
        <v>2.4063141683778233</v>
      </c>
      <c r="L781">
        <f t="shared" si="126"/>
        <v>0.37605917054269772</v>
      </c>
      <c r="M781">
        <f t="shared" si="127"/>
        <v>-0.10180708861584407</v>
      </c>
      <c r="N781">
        <f t="shared" si="128"/>
        <v>30</v>
      </c>
      <c r="O781" t="str">
        <f t="shared" si="129"/>
        <v>Other</v>
      </c>
    </row>
    <row r="782" spans="1:15" hidden="1" x14ac:dyDescent="0.3">
      <c r="A782" t="s">
        <v>602</v>
      </c>
      <c r="B782" s="2">
        <v>42415</v>
      </c>
      <c r="C782" s="3">
        <v>123664</v>
      </c>
      <c r="D782" s="4">
        <v>4667</v>
      </c>
      <c r="E782" s="4">
        <v>277</v>
      </c>
      <c r="F782">
        <f t="shared" si="120"/>
        <v>2016</v>
      </c>
      <c r="G782" t="str">
        <f t="shared" si="121"/>
        <v>February</v>
      </c>
      <c r="H782" t="str">
        <f t="shared" si="122"/>
        <v>Monday</v>
      </c>
      <c r="I782">
        <f t="shared" si="123"/>
        <v>3.9979298744986416</v>
      </c>
      <c r="J782">
        <f t="shared" si="124"/>
        <v>37.73935826109458</v>
      </c>
      <c r="K782">
        <f t="shared" si="125"/>
        <v>2.2399404838918362</v>
      </c>
      <c r="L782">
        <f t="shared" si="126"/>
        <v>0.37866215249070551</v>
      </c>
      <c r="M782">
        <f t="shared" si="127"/>
        <v>-9.9457385355362193E-2</v>
      </c>
      <c r="N782">
        <f t="shared" si="128"/>
        <v>22</v>
      </c>
      <c r="O782" t="str">
        <f t="shared" si="129"/>
        <v>Other</v>
      </c>
    </row>
    <row r="783" spans="1:15" hidden="1" x14ac:dyDescent="0.3">
      <c r="A783" t="s">
        <v>716</v>
      </c>
      <c r="B783" s="2">
        <v>42215</v>
      </c>
      <c r="C783" s="3">
        <v>122657</v>
      </c>
      <c r="D783" s="4">
        <v>3356</v>
      </c>
      <c r="E783" s="4">
        <v>436</v>
      </c>
      <c r="F783">
        <f t="shared" si="120"/>
        <v>2015</v>
      </c>
      <c r="G783" t="str">
        <f t="shared" si="121"/>
        <v>July</v>
      </c>
      <c r="H783" t="str">
        <f t="shared" si="122"/>
        <v>Thursday</v>
      </c>
      <c r="I783">
        <f t="shared" si="123"/>
        <v>3.0915479752480493</v>
      </c>
      <c r="J783">
        <f t="shared" si="124"/>
        <v>27.36085180625647</v>
      </c>
      <c r="K783">
        <f t="shared" si="125"/>
        <v>3.5546279462240231</v>
      </c>
      <c r="L783">
        <f t="shared" si="126"/>
        <v>0.36101354090276327</v>
      </c>
      <c r="M783">
        <f t="shared" si="127"/>
        <v>-9.6093793256667767E-2</v>
      </c>
      <c r="N783">
        <f t="shared" si="128"/>
        <v>37</v>
      </c>
      <c r="O783" t="str">
        <f t="shared" si="129"/>
        <v>Other</v>
      </c>
    </row>
    <row r="784" spans="1:15" hidden="1" x14ac:dyDescent="0.3">
      <c r="A784" t="s">
        <v>857</v>
      </c>
      <c r="B784" s="2">
        <v>41792</v>
      </c>
      <c r="C784" s="3">
        <v>121901</v>
      </c>
      <c r="D784" s="4">
        <v>2527</v>
      </c>
      <c r="E784" s="4">
        <v>361</v>
      </c>
      <c r="F784">
        <f t="shared" si="120"/>
        <v>2014</v>
      </c>
      <c r="G784" t="str">
        <f t="shared" si="121"/>
        <v>June</v>
      </c>
      <c r="H784" t="str">
        <f t="shared" si="122"/>
        <v>Monday</v>
      </c>
      <c r="I784">
        <f t="shared" si="123"/>
        <v>2.369135610044216</v>
      </c>
      <c r="J784">
        <f t="shared" si="124"/>
        <v>20.729936587886893</v>
      </c>
      <c r="K784">
        <f t="shared" si="125"/>
        <v>2.96141951255527</v>
      </c>
      <c r="L784">
        <f t="shared" si="126"/>
        <v>0.35406919593680886</v>
      </c>
      <c r="M784">
        <f t="shared" si="127"/>
        <v>-9.937649016015572E-2</v>
      </c>
      <c r="N784">
        <f t="shared" si="128"/>
        <v>35</v>
      </c>
      <c r="O784" t="str">
        <f t="shared" si="129"/>
        <v>Other</v>
      </c>
    </row>
    <row r="785" spans="1:15" hidden="1" x14ac:dyDescent="0.3">
      <c r="A785" t="s">
        <v>626</v>
      </c>
      <c r="B785" s="2">
        <v>42357</v>
      </c>
      <c r="C785" s="3">
        <v>121633</v>
      </c>
      <c r="D785" s="4">
        <v>4638</v>
      </c>
      <c r="E785" s="4">
        <v>423</v>
      </c>
      <c r="F785">
        <f t="shared" si="120"/>
        <v>2015</v>
      </c>
      <c r="G785" t="str">
        <f t="shared" si="121"/>
        <v>December</v>
      </c>
      <c r="H785" t="str">
        <f t="shared" si="122"/>
        <v>Saturday</v>
      </c>
      <c r="I785">
        <f t="shared" si="123"/>
        <v>4.1608773934705221</v>
      </c>
      <c r="J785">
        <f t="shared" si="124"/>
        <v>38.131099290488599</v>
      </c>
      <c r="K785">
        <f t="shared" si="125"/>
        <v>3.4776746442166191</v>
      </c>
      <c r="L785">
        <f t="shared" si="126"/>
        <v>0.3556736951336395</v>
      </c>
      <c r="M785">
        <f t="shared" si="127"/>
        <v>-9.953172548781461E-2</v>
      </c>
      <c r="N785">
        <f t="shared" si="128"/>
        <v>33</v>
      </c>
      <c r="O785" t="str">
        <f t="shared" si="129"/>
        <v>Other</v>
      </c>
    </row>
    <row r="786" spans="1:15" hidden="1" x14ac:dyDescent="0.3">
      <c r="A786" t="s">
        <v>919</v>
      </c>
      <c r="B786" s="2">
        <v>41578</v>
      </c>
      <c r="C786" s="3">
        <v>120682</v>
      </c>
      <c r="D786" s="4">
        <v>3134</v>
      </c>
      <c r="E786" s="4">
        <v>347</v>
      </c>
      <c r="F786">
        <f t="shared" si="120"/>
        <v>2013</v>
      </c>
      <c r="G786" t="str">
        <f t="shared" si="121"/>
        <v>October</v>
      </c>
      <c r="H786" t="str">
        <f t="shared" si="122"/>
        <v>Thursday</v>
      </c>
      <c r="I786">
        <f t="shared" si="123"/>
        <v>2.8844400987719796</v>
      </c>
      <c r="J786">
        <f t="shared" si="124"/>
        <v>25.969075752804894</v>
      </c>
      <c r="K786">
        <f t="shared" si="125"/>
        <v>2.8753252349149001</v>
      </c>
      <c r="L786">
        <f t="shared" si="126"/>
        <v>0.33696224597855062</v>
      </c>
      <c r="M786">
        <f t="shared" si="127"/>
        <v>-0.10236820282866022</v>
      </c>
      <c r="N786">
        <f t="shared" si="128"/>
        <v>59</v>
      </c>
      <c r="O786" t="str">
        <f t="shared" si="129"/>
        <v>Other</v>
      </c>
    </row>
    <row r="787" spans="1:15" hidden="1" x14ac:dyDescent="0.3">
      <c r="A787" t="s">
        <v>637</v>
      </c>
      <c r="B787" s="2">
        <v>42334</v>
      </c>
      <c r="C787" s="3">
        <v>120341</v>
      </c>
      <c r="D787" s="4">
        <v>2771</v>
      </c>
      <c r="E787" s="4">
        <v>292</v>
      </c>
      <c r="F787">
        <f t="shared" si="120"/>
        <v>2015</v>
      </c>
      <c r="G787" t="str">
        <f t="shared" si="121"/>
        <v>November</v>
      </c>
      <c r="H787" t="str">
        <f t="shared" si="122"/>
        <v>Thursday</v>
      </c>
      <c r="I787">
        <f t="shared" si="123"/>
        <v>2.54526719904272</v>
      </c>
      <c r="J787">
        <f t="shared" si="124"/>
        <v>23.026233785659088</v>
      </c>
      <c r="K787">
        <f t="shared" si="125"/>
        <v>2.4264382047681172</v>
      </c>
      <c r="L787">
        <f t="shared" si="126"/>
        <v>0.331482158115878</v>
      </c>
      <c r="M787">
        <f t="shared" si="127"/>
        <v>-0.10198407644571837</v>
      </c>
      <c r="N787">
        <f t="shared" si="128"/>
        <v>61</v>
      </c>
      <c r="O787" t="str">
        <f t="shared" si="129"/>
        <v>Other</v>
      </c>
    </row>
    <row r="788" spans="1:15" hidden="1" x14ac:dyDescent="0.3">
      <c r="A788" t="s">
        <v>831</v>
      </c>
      <c r="B788" s="2">
        <v>41969</v>
      </c>
      <c r="C788" s="3">
        <v>118316</v>
      </c>
      <c r="D788" s="4">
        <v>2130</v>
      </c>
      <c r="E788" s="4">
        <v>256</v>
      </c>
      <c r="F788">
        <f t="shared" si="120"/>
        <v>2014</v>
      </c>
      <c r="G788" t="str">
        <f t="shared" si="121"/>
        <v>November</v>
      </c>
      <c r="H788" t="str">
        <f t="shared" si="122"/>
        <v>Wednesday</v>
      </c>
      <c r="I788">
        <f t="shared" si="123"/>
        <v>2.0166334223604583</v>
      </c>
      <c r="J788">
        <f t="shared" si="124"/>
        <v>18.002637005983974</v>
      </c>
      <c r="K788">
        <f t="shared" si="125"/>
        <v>2.1636972176206091</v>
      </c>
      <c r="L788">
        <f t="shared" si="126"/>
        <v>0.32981795629467087</v>
      </c>
      <c r="M788">
        <f t="shared" si="127"/>
        <v>-9.9240270164134781E-2</v>
      </c>
      <c r="N788">
        <f t="shared" si="128"/>
        <v>45</v>
      </c>
      <c r="O788" t="str">
        <f t="shared" si="129"/>
        <v>Other</v>
      </c>
    </row>
    <row r="789" spans="1:15" hidden="1" x14ac:dyDescent="0.3">
      <c r="A789" t="s">
        <v>932</v>
      </c>
      <c r="B789" s="2">
        <v>41491</v>
      </c>
      <c r="C789" s="3">
        <v>117479</v>
      </c>
      <c r="D789" s="4">
        <v>3762</v>
      </c>
      <c r="E789" s="4">
        <v>559</v>
      </c>
      <c r="F789">
        <f t="shared" si="120"/>
        <v>2013</v>
      </c>
      <c r="G789" t="str">
        <f t="shared" si="121"/>
        <v>August</v>
      </c>
      <c r="H789" t="str">
        <f t="shared" si="122"/>
        <v>Monday</v>
      </c>
      <c r="I789">
        <f t="shared" si="123"/>
        <v>3.6781041718094301</v>
      </c>
      <c r="J789">
        <f t="shared" si="124"/>
        <v>32.022744490504685</v>
      </c>
      <c r="K789">
        <f t="shared" si="125"/>
        <v>4.7582972275896118</v>
      </c>
      <c r="L789">
        <f t="shared" si="126"/>
        <v>0.33534613566618299</v>
      </c>
      <c r="M789">
        <f t="shared" si="127"/>
        <v>-9.4994744613594861E-2</v>
      </c>
      <c r="N789">
        <f t="shared" si="128"/>
        <v>23</v>
      </c>
      <c r="O789" t="str">
        <f t="shared" si="129"/>
        <v>Other</v>
      </c>
    </row>
    <row r="790" spans="1:15" hidden="1" x14ac:dyDescent="0.3">
      <c r="A790" t="s">
        <v>829</v>
      </c>
      <c r="B790" s="2">
        <v>41974</v>
      </c>
      <c r="C790" s="3">
        <v>117193</v>
      </c>
      <c r="D790" s="4">
        <v>2275</v>
      </c>
      <c r="E790" s="4">
        <v>259</v>
      </c>
      <c r="F790">
        <f t="shared" si="120"/>
        <v>2014</v>
      </c>
      <c r="G790" t="str">
        <f t="shared" si="121"/>
        <v>December</v>
      </c>
      <c r="H790" t="str">
        <f t="shared" si="122"/>
        <v>Monday</v>
      </c>
      <c r="I790">
        <f t="shared" si="123"/>
        <v>2.1622451852926368</v>
      </c>
      <c r="J790">
        <f t="shared" si="124"/>
        <v>19.412422243649363</v>
      </c>
      <c r="K790">
        <f t="shared" si="125"/>
        <v>2.2100296092770049</v>
      </c>
      <c r="L790">
        <f t="shared" si="126"/>
        <v>0.32364308257522306</v>
      </c>
      <c r="M790">
        <f t="shared" si="127"/>
        <v>-0.10338620062266932</v>
      </c>
      <c r="N790">
        <f t="shared" si="128"/>
        <v>41</v>
      </c>
      <c r="O790" t="str">
        <f t="shared" si="129"/>
        <v>Other</v>
      </c>
    </row>
    <row r="791" spans="1:15" hidden="1" x14ac:dyDescent="0.3">
      <c r="A791" t="s">
        <v>603</v>
      </c>
      <c r="B791" s="2">
        <v>42410</v>
      </c>
      <c r="C791" s="3">
        <v>116585</v>
      </c>
      <c r="D791" s="4">
        <v>3931</v>
      </c>
      <c r="E791" s="4">
        <v>345</v>
      </c>
      <c r="F791">
        <f t="shared" si="120"/>
        <v>2016</v>
      </c>
      <c r="G791" t="str">
        <f t="shared" si="121"/>
        <v>February</v>
      </c>
      <c r="H791" t="str">
        <f t="shared" si="122"/>
        <v>Wednesday</v>
      </c>
      <c r="I791">
        <f t="shared" si="123"/>
        <v>3.6677102543208813</v>
      </c>
      <c r="J791">
        <f t="shared" si="124"/>
        <v>33.717888236050953</v>
      </c>
      <c r="K791">
        <f t="shared" si="125"/>
        <v>2.9592143071578678</v>
      </c>
      <c r="L791">
        <f t="shared" si="126"/>
        <v>0.32734353139608158</v>
      </c>
      <c r="M791">
        <f t="shared" si="127"/>
        <v>-9.9298994401436455E-2</v>
      </c>
      <c r="N791">
        <f t="shared" si="128"/>
        <v>46</v>
      </c>
      <c r="O791" t="str">
        <f t="shared" si="129"/>
        <v>Other</v>
      </c>
    </row>
    <row r="792" spans="1:15" hidden="1" x14ac:dyDescent="0.3">
      <c r="A792" t="s">
        <v>691</v>
      </c>
      <c r="B792" s="2">
        <v>42234</v>
      </c>
      <c r="C792" s="3">
        <v>116253</v>
      </c>
      <c r="D792" s="4">
        <v>3262</v>
      </c>
      <c r="E792" s="4">
        <v>184</v>
      </c>
      <c r="F792">
        <f t="shared" si="120"/>
        <v>2015</v>
      </c>
      <c r="G792" t="str">
        <f t="shared" si="121"/>
        <v>August</v>
      </c>
      <c r="H792" t="str">
        <f t="shared" si="122"/>
        <v>Tuesday</v>
      </c>
      <c r="I792">
        <f t="shared" si="123"/>
        <v>2.9642245791506454</v>
      </c>
      <c r="J792">
        <f t="shared" si="124"/>
        <v>28.059490937868269</v>
      </c>
      <c r="K792">
        <f t="shared" si="125"/>
        <v>1.5827548536381857</v>
      </c>
      <c r="L792">
        <f t="shared" si="126"/>
        <v>0.31358563990375377</v>
      </c>
      <c r="M792">
        <f t="shared" si="127"/>
        <v>-9.8722694902588573E-2</v>
      </c>
      <c r="N792">
        <f t="shared" si="128"/>
        <v>44</v>
      </c>
      <c r="O792" t="str">
        <f t="shared" si="129"/>
        <v>Other</v>
      </c>
    </row>
    <row r="793" spans="1:15" hidden="1" x14ac:dyDescent="0.3">
      <c r="A793" t="s">
        <v>806</v>
      </c>
      <c r="B793" s="2">
        <v>42100</v>
      </c>
      <c r="C793" s="3">
        <v>115445</v>
      </c>
      <c r="D793" s="4">
        <v>2059</v>
      </c>
      <c r="E793" s="4">
        <v>213</v>
      </c>
      <c r="F793">
        <f t="shared" si="120"/>
        <v>2015</v>
      </c>
      <c r="G793" t="str">
        <f t="shared" si="121"/>
        <v>April</v>
      </c>
      <c r="H793" t="str">
        <f t="shared" si="122"/>
        <v>Monday</v>
      </c>
      <c r="I793">
        <f t="shared" si="123"/>
        <v>1.9680367274459698</v>
      </c>
      <c r="J793">
        <f t="shared" si="124"/>
        <v>17.835332842479104</v>
      </c>
      <c r="K793">
        <f t="shared" si="125"/>
        <v>1.8450344319805969</v>
      </c>
      <c r="L793">
        <f t="shared" si="126"/>
        <v>0.30593633787700025</v>
      </c>
      <c r="M793">
        <f t="shared" si="127"/>
        <v>-9.1339803672261688E-2</v>
      </c>
      <c r="N793">
        <f t="shared" si="128"/>
        <v>41</v>
      </c>
      <c r="O793" t="str">
        <f t="shared" si="129"/>
        <v>Other</v>
      </c>
    </row>
    <row r="794" spans="1:15" hidden="1" x14ac:dyDescent="0.3">
      <c r="A794" t="s">
        <v>931</v>
      </c>
      <c r="B794" s="2">
        <v>41494</v>
      </c>
      <c r="C794" s="3">
        <v>115195</v>
      </c>
      <c r="D794" s="4">
        <v>3941</v>
      </c>
      <c r="E794" s="4">
        <v>689</v>
      </c>
      <c r="F794">
        <f t="shared" si="120"/>
        <v>2013</v>
      </c>
      <c r="G794" t="str">
        <f t="shared" si="121"/>
        <v>August</v>
      </c>
      <c r="H794" t="str">
        <f t="shared" si="122"/>
        <v>Thursday</v>
      </c>
      <c r="I794">
        <f t="shared" si="123"/>
        <v>4.0192716697773339</v>
      </c>
      <c r="J794">
        <f t="shared" si="124"/>
        <v>34.21155432093407</v>
      </c>
      <c r="K794">
        <f t="shared" si="125"/>
        <v>5.9811623768392721</v>
      </c>
      <c r="L794">
        <f t="shared" si="126"/>
        <v>0.31195419763997145</v>
      </c>
      <c r="M794">
        <f t="shared" si="127"/>
        <v>-8.5015369504282137E-2</v>
      </c>
      <c r="N794">
        <f t="shared" si="128"/>
        <v>48</v>
      </c>
      <c r="O794" t="str">
        <f t="shared" si="129"/>
        <v>Other</v>
      </c>
    </row>
    <row r="795" spans="1:15" hidden="1" x14ac:dyDescent="0.3">
      <c r="A795" t="s">
        <v>813</v>
      </c>
      <c r="B795" s="2">
        <v>42068</v>
      </c>
      <c r="C795" s="3">
        <v>114488</v>
      </c>
      <c r="D795" s="4">
        <v>1748</v>
      </c>
      <c r="E795" s="4">
        <v>317</v>
      </c>
      <c r="F795">
        <f t="shared" si="120"/>
        <v>2015</v>
      </c>
      <c r="G795" t="str">
        <f t="shared" si="121"/>
        <v>March</v>
      </c>
      <c r="H795" t="str">
        <f t="shared" si="122"/>
        <v>Thursday</v>
      </c>
      <c r="I795">
        <f t="shared" si="123"/>
        <v>1.8036824820068478</v>
      </c>
      <c r="J795">
        <f t="shared" si="124"/>
        <v>15.267975683041017</v>
      </c>
      <c r="K795">
        <f t="shared" si="125"/>
        <v>2.7688491370274613</v>
      </c>
      <c r="L795">
        <f t="shared" si="126"/>
        <v>0.29719537513339789</v>
      </c>
      <c r="M795">
        <f t="shared" si="127"/>
        <v>-9.9394321565274585E-2</v>
      </c>
      <c r="N795">
        <f t="shared" si="128"/>
        <v>62</v>
      </c>
      <c r="O795" t="str">
        <f t="shared" si="129"/>
        <v>Money</v>
      </c>
    </row>
    <row r="796" spans="1:15" hidden="1" x14ac:dyDescent="0.3">
      <c r="A796" t="s">
        <v>934</v>
      </c>
      <c r="B796" s="2">
        <v>41488</v>
      </c>
      <c r="C796" s="3">
        <v>114325</v>
      </c>
      <c r="D796" s="4">
        <v>4547</v>
      </c>
      <c r="E796" s="4">
        <v>916</v>
      </c>
      <c r="F796">
        <f t="shared" si="120"/>
        <v>2013</v>
      </c>
      <c r="G796" t="str">
        <f t="shared" si="121"/>
        <v>August</v>
      </c>
      <c r="H796" t="str">
        <f t="shared" si="122"/>
        <v>Friday</v>
      </c>
      <c r="I796">
        <f t="shared" si="123"/>
        <v>4.7784823966761429</v>
      </c>
      <c r="J796">
        <f t="shared" si="124"/>
        <v>39.772578176251912</v>
      </c>
      <c r="K796">
        <f t="shared" si="125"/>
        <v>8.0122457905095139</v>
      </c>
      <c r="L796">
        <f t="shared" si="126"/>
        <v>0.30717798137406827</v>
      </c>
      <c r="M796">
        <f t="shared" si="127"/>
        <v>-9.7584318266496828E-2</v>
      </c>
      <c r="N796">
        <f t="shared" si="128"/>
        <v>10</v>
      </c>
      <c r="O796" t="str">
        <f t="shared" si="129"/>
        <v>Other</v>
      </c>
    </row>
    <row r="797" spans="1:15" hidden="1" x14ac:dyDescent="0.3">
      <c r="A797" t="s">
        <v>933</v>
      </c>
      <c r="B797" s="2">
        <v>41491</v>
      </c>
      <c r="C797" s="3">
        <v>114145</v>
      </c>
      <c r="D797" s="4">
        <v>4355</v>
      </c>
      <c r="E797" s="4">
        <v>896</v>
      </c>
      <c r="F797">
        <f t="shared" si="120"/>
        <v>2013</v>
      </c>
      <c r="G797" t="str">
        <f t="shared" si="121"/>
        <v>August</v>
      </c>
      <c r="H797" t="str">
        <f t="shared" si="122"/>
        <v>Monday</v>
      </c>
      <c r="I797">
        <f t="shared" si="123"/>
        <v>4.6002891059617159</v>
      </c>
      <c r="J797">
        <f t="shared" si="124"/>
        <v>38.153226159709142</v>
      </c>
      <c r="K797">
        <f t="shared" si="125"/>
        <v>7.8496648999080119</v>
      </c>
      <c r="L797">
        <f t="shared" si="126"/>
        <v>0.28605333063173938</v>
      </c>
      <c r="M797">
        <f t="shared" si="127"/>
        <v>-0.12338768786820946</v>
      </c>
      <c r="N797">
        <f t="shared" si="128"/>
        <v>31</v>
      </c>
      <c r="O797" t="str">
        <f t="shared" si="129"/>
        <v>Other</v>
      </c>
    </row>
    <row r="798" spans="1:15" hidden="1" x14ac:dyDescent="0.3">
      <c r="A798" t="s">
        <v>781</v>
      </c>
      <c r="B798" s="2">
        <v>42147</v>
      </c>
      <c r="C798" s="3">
        <v>112977</v>
      </c>
      <c r="D798" s="4">
        <v>1688</v>
      </c>
      <c r="E798" s="4">
        <v>217</v>
      </c>
      <c r="F798">
        <f t="shared" si="120"/>
        <v>2015</v>
      </c>
      <c r="G798" t="str">
        <f t="shared" si="121"/>
        <v>May</v>
      </c>
      <c r="H798" t="str">
        <f t="shared" si="122"/>
        <v>Saturday</v>
      </c>
      <c r="I798">
        <f t="shared" si="123"/>
        <v>1.6861839135399241</v>
      </c>
      <c r="J798">
        <f t="shared" si="124"/>
        <v>14.94109420501518</v>
      </c>
      <c r="K798">
        <f t="shared" si="125"/>
        <v>1.9207449303840605</v>
      </c>
      <c r="L798">
        <f t="shared" si="126"/>
        <v>0.26537235074489163</v>
      </c>
      <c r="M798">
        <f t="shared" si="127"/>
        <v>-0.14960171910931974</v>
      </c>
      <c r="N798">
        <f t="shared" si="128"/>
        <v>17</v>
      </c>
      <c r="O798" t="str">
        <f t="shared" si="129"/>
        <v>Other</v>
      </c>
    </row>
    <row r="799" spans="1:15" hidden="1" x14ac:dyDescent="0.3">
      <c r="A799" t="s">
        <v>801</v>
      </c>
      <c r="B799" s="2">
        <v>42108</v>
      </c>
      <c r="C799" s="3">
        <v>112745</v>
      </c>
      <c r="D799" s="4">
        <v>2469</v>
      </c>
      <c r="E799" s="4">
        <v>240</v>
      </c>
      <c r="F799">
        <f t="shared" si="120"/>
        <v>2015</v>
      </c>
      <c r="G799" t="str">
        <f t="shared" si="121"/>
        <v>April</v>
      </c>
      <c r="H799" t="str">
        <f t="shared" si="122"/>
        <v>Tuesday</v>
      </c>
      <c r="I799">
        <f t="shared" si="123"/>
        <v>2.4027673067541797</v>
      </c>
      <c r="J799">
        <f t="shared" si="124"/>
        <v>21.898975564326577</v>
      </c>
      <c r="K799">
        <f t="shared" si="125"/>
        <v>2.12869750321522</v>
      </c>
      <c r="L799">
        <f t="shared" si="126"/>
        <v>0.27584498163694121</v>
      </c>
      <c r="M799">
        <f t="shared" si="127"/>
        <v>-0.14429832213291952</v>
      </c>
      <c r="N799">
        <f t="shared" si="128"/>
        <v>7</v>
      </c>
      <c r="O799" t="str">
        <f t="shared" si="129"/>
        <v>Other</v>
      </c>
    </row>
    <row r="800" spans="1:15" hidden="1" x14ac:dyDescent="0.3">
      <c r="A800" t="s">
        <v>717</v>
      </c>
      <c r="B800" s="2">
        <v>42214</v>
      </c>
      <c r="C800" s="3">
        <v>111617</v>
      </c>
      <c r="D800" s="4">
        <v>1731</v>
      </c>
      <c r="E800" s="4">
        <v>227</v>
      </c>
      <c r="F800">
        <f t="shared" si="120"/>
        <v>2015</v>
      </c>
      <c r="G800" t="str">
        <f t="shared" si="121"/>
        <v>July</v>
      </c>
      <c r="H800" t="str">
        <f t="shared" si="122"/>
        <v>Wednesday</v>
      </c>
      <c r="I800">
        <f t="shared" si="123"/>
        <v>1.7542130679018428</v>
      </c>
      <c r="J800">
        <f t="shared" si="124"/>
        <v>15.508390298968795</v>
      </c>
      <c r="K800">
        <f t="shared" si="125"/>
        <v>2.0337403800496343</v>
      </c>
      <c r="L800">
        <f t="shared" si="126"/>
        <v>0.27618232062161496</v>
      </c>
      <c r="M800">
        <f t="shared" si="127"/>
        <v>-0.13983915338254796</v>
      </c>
      <c r="N800">
        <f t="shared" si="128"/>
        <v>50</v>
      </c>
      <c r="O800" t="str">
        <f t="shared" si="129"/>
        <v>Other</v>
      </c>
    </row>
    <row r="801" spans="1:15" hidden="1" x14ac:dyDescent="0.3">
      <c r="A801" t="s">
        <v>627</v>
      </c>
      <c r="B801" s="2">
        <v>42353</v>
      </c>
      <c r="C801" s="3">
        <v>111409</v>
      </c>
      <c r="D801" s="4">
        <v>4269</v>
      </c>
      <c r="E801" s="4">
        <v>450</v>
      </c>
      <c r="F801">
        <f t="shared" si="120"/>
        <v>2015</v>
      </c>
      <c r="G801" t="str">
        <f t="shared" si="121"/>
        <v>December</v>
      </c>
      <c r="H801" t="str">
        <f t="shared" si="122"/>
        <v>Tuesday</v>
      </c>
      <c r="I801">
        <f t="shared" si="123"/>
        <v>4.2357439704153164</v>
      </c>
      <c r="J801">
        <f t="shared" si="124"/>
        <v>38.318268721557502</v>
      </c>
      <c r="K801">
        <f t="shared" si="125"/>
        <v>4.0391709825956612</v>
      </c>
      <c r="L801">
        <f t="shared" si="126"/>
        <v>0.28628147022161449</v>
      </c>
      <c r="M801">
        <f t="shared" si="127"/>
        <v>-0.13472344520897722</v>
      </c>
      <c r="N801">
        <f t="shared" si="128"/>
        <v>38</v>
      </c>
      <c r="O801" t="str">
        <f t="shared" si="129"/>
        <v>Other</v>
      </c>
    </row>
    <row r="802" spans="1:15" hidden="1" x14ac:dyDescent="0.3">
      <c r="A802" t="s">
        <v>628</v>
      </c>
      <c r="B802" s="2">
        <v>42349</v>
      </c>
      <c r="C802" s="3">
        <v>110854</v>
      </c>
      <c r="D802" s="4">
        <v>4561</v>
      </c>
      <c r="E802" s="4">
        <v>311</v>
      </c>
      <c r="F802">
        <f t="shared" si="120"/>
        <v>2015</v>
      </c>
      <c r="G802" t="str">
        <f t="shared" si="121"/>
        <v>December</v>
      </c>
      <c r="H802" t="str">
        <f t="shared" si="122"/>
        <v>Friday</v>
      </c>
      <c r="I802">
        <f t="shared" si="123"/>
        <v>4.3949699604885701</v>
      </c>
      <c r="J802">
        <f t="shared" si="124"/>
        <v>41.144207696609953</v>
      </c>
      <c r="K802">
        <f t="shared" si="125"/>
        <v>2.8054919082757501</v>
      </c>
      <c r="L802">
        <f t="shared" si="126"/>
        <v>0.26596744281312057</v>
      </c>
      <c r="M802">
        <f t="shared" si="127"/>
        <v>-0.13964369388242723</v>
      </c>
      <c r="N802">
        <f t="shared" si="128"/>
        <v>43</v>
      </c>
      <c r="O802" t="str">
        <f t="shared" si="129"/>
        <v>Other</v>
      </c>
    </row>
    <row r="803" spans="1:15" hidden="1" x14ac:dyDescent="0.3">
      <c r="A803" t="s">
        <v>710</v>
      </c>
      <c r="B803" s="2">
        <v>42217</v>
      </c>
      <c r="C803" s="3">
        <v>109944</v>
      </c>
      <c r="D803" s="4">
        <v>2235</v>
      </c>
      <c r="E803" s="4">
        <v>308</v>
      </c>
      <c r="F803">
        <f t="shared" si="120"/>
        <v>2015</v>
      </c>
      <c r="G803" t="str">
        <f t="shared" si="121"/>
        <v>August</v>
      </c>
      <c r="H803" t="str">
        <f t="shared" si="122"/>
        <v>Saturday</v>
      </c>
      <c r="I803">
        <f t="shared" si="123"/>
        <v>2.3129957069053337</v>
      </c>
      <c r="J803">
        <f t="shared" si="124"/>
        <v>20.328530888452303</v>
      </c>
      <c r="K803">
        <f t="shared" si="125"/>
        <v>2.8014261806010334</v>
      </c>
      <c r="L803">
        <f t="shared" si="126"/>
        <v>0.24148558521368338</v>
      </c>
      <c r="M803">
        <f t="shared" si="127"/>
        <v>-0.13824313750494036</v>
      </c>
      <c r="N803">
        <f t="shared" si="128"/>
        <v>52</v>
      </c>
      <c r="O803" t="str">
        <f t="shared" si="129"/>
        <v>Other</v>
      </c>
    </row>
    <row r="804" spans="1:15" hidden="1" x14ac:dyDescent="0.3">
      <c r="A804" t="s">
        <v>884</v>
      </c>
      <c r="B804" s="2">
        <v>41700</v>
      </c>
      <c r="C804" s="3">
        <v>109741</v>
      </c>
      <c r="D804" s="4">
        <v>2108</v>
      </c>
      <c r="E804" s="4">
        <v>315</v>
      </c>
      <c r="F804">
        <f t="shared" si="120"/>
        <v>2014</v>
      </c>
      <c r="G804" t="str">
        <f t="shared" si="121"/>
        <v>March</v>
      </c>
      <c r="H804" t="str">
        <f t="shared" si="122"/>
        <v>Sunday</v>
      </c>
      <c r="I804">
        <f t="shared" si="123"/>
        <v>2.2079259347007953</v>
      </c>
      <c r="J804">
        <f t="shared" si="124"/>
        <v>19.208864508251246</v>
      </c>
      <c r="K804">
        <f t="shared" si="125"/>
        <v>2.8703948387567091</v>
      </c>
      <c r="L804">
        <f t="shared" si="126"/>
        <v>0.24401478915464089</v>
      </c>
      <c r="M804">
        <f t="shared" si="127"/>
        <v>-0.13665992550113229</v>
      </c>
      <c r="N804">
        <f t="shared" si="128"/>
        <v>49</v>
      </c>
      <c r="O804" t="str">
        <f t="shared" si="129"/>
        <v>Other</v>
      </c>
    </row>
    <row r="805" spans="1:15" hidden="1" x14ac:dyDescent="0.3">
      <c r="A805" t="s">
        <v>779</v>
      </c>
      <c r="B805" s="2">
        <v>42152</v>
      </c>
      <c r="C805" s="3">
        <v>107964</v>
      </c>
      <c r="D805" s="4">
        <v>1478</v>
      </c>
      <c r="E805" s="4">
        <v>188</v>
      </c>
      <c r="F805">
        <f t="shared" si="120"/>
        <v>2015</v>
      </c>
      <c r="G805" t="str">
        <f t="shared" si="121"/>
        <v>May</v>
      </c>
      <c r="H805" t="str">
        <f t="shared" si="122"/>
        <v>Thursday</v>
      </c>
      <c r="I805">
        <f t="shared" si="123"/>
        <v>1.5431069615797859</v>
      </c>
      <c r="J805">
        <f t="shared" si="124"/>
        <v>13.689748434663406</v>
      </c>
      <c r="K805">
        <f t="shared" si="125"/>
        <v>1.7413211811344522</v>
      </c>
      <c r="L805">
        <f t="shared" si="126"/>
        <v>0.24845031719854352</v>
      </c>
      <c r="M805">
        <f t="shared" si="127"/>
        <v>-0.13536154546053891</v>
      </c>
      <c r="N805">
        <f t="shared" si="128"/>
        <v>45</v>
      </c>
      <c r="O805" t="str">
        <f t="shared" si="129"/>
        <v>Other</v>
      </c>
    </row>
    <row r="806" spans="1:15" hidden="1" x14ac:dyDescent="0.3">
      <c r="A806" t="s">
        <v>720</v>
      </c>
      <c r="B806" s="2">
        <v>42213</v>
      </c>
      <c r="C806" s="3">
        <v>107669</v>
      </c>
      <c r="D806" s="4">
        <v>2276</v>
      </c>
      <c r="E806" s="4">
        <v>194</v>
      </c>
      <c r="F806">
        <f t="shared" si="120"/>
        <v>2015</v>
      </c>
      <c r="G806" t="str">
        <f t="shared" si="121"/>
        <v>July</v>
      </c>
      <c r="H806" t="str">
        <f t="shared" si="122"/>
        <v>Tuesday</v>
      </c>
      <c r="I806">
        <f t="shared" si="123"/>
        <v>2.2940679304163685</v>
      </c>
      <c r="J806">
        <f t="shared" si="124"/>
        <v>21.138860767723301</v>
      </c>
      <c r="K806">
        <f t="shared" si="125"/>
        <v>1.8018185364403867</v>
      </c>
      <c r="L806">
        <f t="shared" si="126"/>
        <v>0.26157839004205957</v>
      </c>
      <c r="M806">
        <f t="shared" si="127"/>
        <v>-0.12838735890217581</v>
      </c>
      <c r="N806">
        <f t="shared" si="128"/>
        <v>21</v>
      </c>
      <c r="O806" t="str">
        <f t="shared" si="129"/>
        <v>Other</v>
      </c>
    </row>
    <row r="807" spans="1:15" hidden="1" x14ac:dyDescent="0.3">
      <c r="A807" t="s">
        <v>747</v>
      </c>
      <c r="B807" s="2">
        <v>42190</v>
      </c>
      <c r="C807" s="3">
        <v>107057</v>
      </c>
      <c r="D807" s="4">
        <v>2503</v>
      </c>
      <c r="E807" s="4">
        <v>249</v>
      </c>
      <c r="F807">
        <f t="shared" si="120"/>
        <v>2015</v>
      </c>
      <c r="G807" t="str">
        <f t="shared" si="121"/>
        <v>July</v>
      </c>
      <c r="H807" t="str">
        <f t="shared" si="122"/>
        <v>Sunday</v>
      </c>
      <c r="I807">
        <f t="shared" si="123"/>
        <v>2.5705932353792837</v>
      </c>
      <c r="J807">
        <f t="shared" si="124"/>
        <v>23.38006856160737</v>
      </c>
      <c r="K807">
        <f t="shared" si="125"/>
        <v>2.3258637921854715</v>
      </c>
      <c r="L807">
        <f t="shared" si="126"/>
        <v>0.26386270646721693</v>
      </c>
      <c r="M807">
        <f t="shared" si="127"/>
        <v>-0.12144122793970194</v>
      </c>
      <c r="N807">
        <f t="shared" si="128"/>
        <v>32</v>
      </c>
      <c r="O807" t="str">
        <f t="shared" si="129"/>
        <v>Other</v>
      </c>
    </row>
    <row r="808" spans="1:15" hidden="1" x14ac:dyDescent="0.3">
      <c r="A808" t="s">
        <v>696</v>
      </c>
      <c r="B808" s="2">
        <v>42229</v>
      </c>
      <c r="C808" s="3">
        <v>106600</v>
      </c>
      <c r="D808" s="4">
        <v>2357</v>
      </c>
      <c r="E808" s="4">
        <v>294</v>
      </c>
      <c r="F808">
        <f t="shared" si="120"/>
        <v>2015</v>
      </c>
      <c r="G808" t="str">
        <f t="shared" si="121"/>
        <v>August</v>
      </c>
      <c r="H808" t="str">
        <f t="shared" si="122"/>
        <v>Thursday</v>
      </c>
      <c r="I808">
        <f t="shared" si="123"/>
        <v>2.4868667917448404</v>
      </c>
      <c r="J808">
        <f t="shared" si="124"/>
        <v>22.110694183864915</v>
      </c>
      <c r="K808">
        <f t="shared" si="125"/>
        <v>2.7579737335834897</v>
      </c>
      <c r="L808">
        <f t="shared" si="126"/>
        <v>0.26314785274139962</v>
      </c>
      <c r="M808">
        <f t="shared" si="127"/>
        <v>-0.11677487726440298</v>
      </c>
      <c r="N808">
        <f t="shared" si="128"/>
        <v>4</v>
      </c>
      <c r="O808" t="str">
        <f t="shared" si="129"/>
        <v>Other</v>
      </c>
    </row>
    <row r="809" spans="1:15" hidden="1" x14ac:dyDescent="0.3">
      <c r="A809" t="s">
        <v>610</v>
      </c>
      <c r="B809" s="2">
        <v>42391</v>
      </c>
      <c r="C809" s="3">
        <v>106443</v>
      </c>
      <c r="D809" s="4">
        <v>4389</v>
      </c>
      <c r="E809" s="4">
        <v>198</v>
      </c>
      <c r="F809">
        <f t="shared" si="120"/>
        <v>2016</v>
      </c>
      <c r="G809" t="str">
        <f t="shared" si="121"/>
        <v>January</v>
      </c>
      <c r="H809" t="str">
        <f t="shared" si="122"/>
        <v>Friday</v>
      </c>
      <c r="I809">
        <f t="shared" si="123"/>
        <v>4.3093486654829345</v>
      </c>
      <c r="J809">
        <f t="shared" si="124"/>
        <v>41.233336151743188</v>
      </c>
      <c r="K809">
        <f t="shared" si="125"/>
        <v>1.8601505030861587</v>
      </c>
      <c r="L809">
        <f t="shared" si="126"/>
        <v>0.26437043689093925</v>
      </c>
      <c r="M809">
        <f t="shared" si="127"/>
        <v>-0.11402168369790526</v>
      </c>
      <c r="N809">
        <f t="shared" si="128"/>
        <v>28</v>
      </c>
      <c r="O809" t="str">
        <f t="shared" si="129"/>
        <v>Other</v>
      </c>
    </row>
    <row r="810" spans="1:15" hidden="1" x14ac:dyDescent="0.3">
      <c r="A810" t="s">
        <v>869</v>
      </c>
      <c r="B810" s="2">
        <v>41746</v>
      </c>
      <c r="C810" s="3">
        <v>106011</v>
      </c>
      <c r="D810" s="4">
        <v>3453</v>
      </c>
      <c r="E810" s="4">
        <v>292</v>
      </c>
      <c r="F810">
        <f t="shared" si="120"/>
        <v>2014</v>
      </c>
      <c r="G810" t="str">
        <f t="shared" si="121"/>
        <v>April</v>
      </c>
      <c r="H810" t="str">
        <f t="shared" si="122"/>
        <v>Thursday</v>
      </c>
      <c r="I810">
        <f t="shared" si="123"/>
        <v>3.5326522719340447</v>
      </c>
      <c r="J810">
        <f t="shared" si="124"/>
        <v>32.572091575402553</v>
      </c>
      <c r="K810">
        <f t="shared" si="125"/>
        <v>2.754431143937893</v>
      </c>
      <c r="L810">
        <f t="shared" si="126"/>
        <v>0.24075820817928306</v>
      </c>
      <c r="M810">
        <f t="shared" si="127"/>
        <v>-0.10674700081332551</v>
      </c>
      <c r="N810">
        <f t="shared" si="128"/>
        <v>10</v>
      </c>
      <c r="O810" t="str">
        <f t="shared" si="129"/>
        <v>Other</v>
      </c>
    </row>
    <row r="811" spans="1:15" hidden="1" x14ac:dyDescent="0.3">
      <c r="A811" t="s">
        <v>861</v>
      </c>
      <c r="B811" s="2">
        <v>41775</v>
      </c>
      <c r="C811" s="3">
        <v>105343</v>
      </c>
      <c r="D811" s="4">
        <v>3275</v>
      </c>
      <c r="E811" s="4">
        <v>371</v>
      </c>
      <c r="F811">
        <f t="shared" si="120"/>
        <v>2014</v>
      </c>
      <c r="G811" t="str">
        <f t="shared" si="121"/>
        <v>May</v>
      </c>
      <c r="H811" t="str">
        <f t="shared" si="122"/>
        <v>Friday</v>
      </c>
      <c r="I811">
        <f t="shared" si="123"/>
        <v>3.4610747747833273</v>
      </c>
      <c r="J811">
        <f t="shared" si="124"/>
        <v>31.088919054896859</v>
      </c>
      <c r="K811">
        <f t="shared" si="125"/>
        <v>3.5218286929364075</v>
      </c>
      <c r="L811">
        <f t="shared" si="126"/>
        <v>0.22691056633197698</v>
      </c>
      <c r="M811">
        <f t="shared" si="127"/>
        <v>-0.10362314312064105</v>
      </c>
      <c r="N811">
        <f t="shared" si="128"/>
        <v>44</v>
      </c>
      <c r="O811" t="str">
        <f t="shared" si="129"/>
        <v>Other</v>
      </c>
    </row>
    <row r="812" spans="1:15" hidden="1" x14ac:dyDescent="0.3">
      <c r="A812" t="s">
        <v>605</v>
      </c>
      <c r="B812" s="2">
        <v>42407</v>
      </c>
      <c r="C812" s="3">
        <v>105220</v>
      </c>
      <c r="D812" s="4">
        <v>2634</v>
      </c>
      <c r="E812" s="4">
        <v>329</v>
      </c>
      <c r="F812">
        <f t="shared" si="120"/>
        <v>2016</v>
      </c>
      <c r="G812" t="str">
        <f t="shared" si="121"/>
        <v>February</v>
      </c>
      <c r="H812" t="str">
        <f t="shared" si="122"/>
        <v>Sunday</v>
      </c>
      <c r="I812">
        <f t="shared" si="123"/>
        <v>2.8160045618703671</v>
      </c>
      <c r="J812">
        <f t="shared" si="124"/>
        <v>25.033263638091618</v>
      </c>
      <c r="K812">
        <f t="shared" si="125"/>
        <v>3.1267819806120509</v>
      </c>
      <c r="L812">
        <f t="shared" si="126"/>
        <v>0.21485919767610465</v>
      </c>
      <c r="M812">
        <f t="shared" si="127"/>
        <v>-0.10415190514993264</v>
      </c>
      <c r="N812">
        <f t="shared" si="128"/>
        <v>85</v>
      </c>
      <c r="O812" t="str">
        <f t="shared" si="129"/>
        <v>Other</v>
      </c>
    </row>
    <row r="813" spans="1:15" hidden="1" x14ac:dyDescent="0.3">
      <c r="A813" t="s">
        <v>750</v>
      </c>
      <c r="B813" s="2">
        <v>42187</v>
      </c>
      <c r="C813" s="3">
        <v>104277</v>
      </c>
      <c r="D813" s="4">
        <v>3460</v>
      </c>
      <c r="E813" s="4">
        <v>344</v>
      </c>
      <c r="F813">
        <f t="shared" si="120"/>
        <v>2015</v>
      </c>
      <c r="G813" t="str">
        <f t="shared" si="121"/>
        <v>July</v>
      </c>
      <c r="H813" t="str">
        <f t="shared" si="122"/>
        <v>Thursday</v>
      </c>
      <c r="I813">
        <f t="shared" si="123"/>
        <v>3.6479760637532728</v>
      </c>
      <c r="J813">
        <f t="shared" si="124"/>
        <v>33.180854838555007</v>
      </c>
      <c r="K813">
        <f t="shared" si="125"/>
        <v>3.2989057989777231</v>
      </c>
      <c r="L813">
        <f t="shared" si="126"/>
        <v>0.21104540023297302</v>
      </c>
      <c r="M813">
        <f t="shared" si="127"/>
        <v>-0.10269665486880107</v>
      </c>
      <c r="N813">
        <f t="shared" si="128"/>
        <v>27</v>
      </c>
      <c r="O813" t="str">
        <f t="shared" si="129"/>
        <v>Other</v>
      </c>
    </row>
    <row r="814" spans="1:15" hidden="1" x14ac:dyDescent="0.3">
      <c r="A814" t="s">
        <v>649</v>
      </c>
      <c r="B814" s="2">
        <v>42292</v>
      </c>
      <c r="C814" s="3">
        <v>103978</v>
      </c>
      <c r="D814" s="4">
        <v>4496</v>
      </c>
      <c r="E814" s="4">
        <v>518</v>
      </c>
      <c r="F814">
        <f t="shared" si="120"/>
        <v>2015</v>
      </c>
      <c r="G814" t="str">
        <f t="shared" si="121"/>
        <v>October</v>
      </c>
      <c r="H814" t="str">
        <f t="shared" si="122"/>
        <v>Thursday</v>
      </c>
      <c r="I814">
        <f t="shared" si="123"/>
        <v>4.8221739214064518</v>
      </c>
      <c r="J814">
        <f t="shared" si="124"/>
        <v>43.239916136105712</v>
      </c>
      <c r="K814">
        <f t="shared" si="125"/>
        <v>4.9818230779587989</v>
      </c>
      <c r="L814">
        <f t="shared" si="126"/>
        <v>0.19592842316022163</v>
      </c>
      <c r="M814">
        <f t="shared" si="127"/>
        <v>-0.10191247797287969</v>
      </c>
      <c r="N814">
        <f t="shared" si="128"/>
        <v>54</v>
      </c>
      <c r="O814" t="str">
        <f t="shared" si="129"/>
        <v>Other</v>
      </c>
    </row>
    <row r="815" spans="1:15" hidden="1" x14ac:dyDescent="0.3">
      <c r="A815" t="s">
        <v>814</v>
      </c>
      <c r="B815" s="2">
        <v>42067</v>
      </c>
      <c r="C815" s="3">
        <v>103659</v>
      </c>
      <c r="D815" s="4">
        <v>1872</v>
      </c>
      <c r="E815" s="4">
        <v>327</v>
      </c>
      <c r="F815">
        <f t="shared" si="120"/>
        <v>2015</v>
      </c>
      <c r="G815" t="str">
        <f t="shared" si="121"/>
        <v>March</v>
      </c>
      <c r="H815" t="str">
        <f t="shared" si="122"/>
        <v>Wednesday</v>
      </c>
      <c r="I815">
        <f t="shared" si="123"/>
        <v>2.1213787514832285</v>
      </c>
      <c r="J815">
        <f t="shared" si="124"/>
        <v>18.059213382340175</v>
      </c>
      <c r="K815">
        <f t="shared" si="125"/>
        <v>3.1545741324921135</v>
      </c>
      <c r="L815">
        <f t="shared" si="126"/>
        <v>0.16660400701991596</v>
      </c>
      <c r="M815">
        <f t="shared" si="127"/>
        <v>-0.10964899086662128</v>
      </c>
      <c r="N815">
        <f t="shared" si="128"/>
        <v>37</v>
      </c>
      <c r="O815" t="str">
        <f t="shared" si="129"/>
        <v>Other</v>
      </c>
    </row>
    <row r="816" spans="1:15" hidden="1" x14ac:dyDescent="0.3">
      <c r="A816" t="s">
        <v>617</v>
      </c>
      <c r="B816" s="2">
        <v>42374</v>
      </c>
      <c r="C816" s="3">
        <v>102896</v>
      </c>
      <c r="D816" s="4">
        <v>4626</v>
      </c>
      <c r="E816" s="4">
        <v>729</v>
      </c>
      <c r="F816">
        <f t="shared" si="120"/>
        <v>2016</v>
      </c>
      <c r="G816" t="str">
        <f t="shared" si="121"/>
        <v>January</v>
      </c>
      <c r="H816" t="str">
        <f t="shared" si="122"/>
        <v>Tuesday</v>
      </c>
      <c r="I816">
        <f t="shared" si="123"/>
        <v>5.2042839371792882</v>
      </c>
      <c r="J816">
        <f t="shared" si="124"/>
        <v>44.958015860674855</v>
      </c>
      <c r="K816">
        <f t="shared" si="125"/>
        <v>7.0848235111180218</v>
      </c>
      <c r="L816">
        <f t="shared" si="126"/>
        <v>0.17299362337234214</v>
      </c>
      <c r="M816">
        <f t="shared" si="127"/>
        <v>-0.10819655906657008</v>
      </c>
      <c r="N816">
        <f t="shared" si="128"/>
        <v>51</v>
      </c>
      <c r="O816" t="str">
        <f t="shared" si="129"/>
        <v>Other</v>
      </c>
    </row>
    <row r="817" spans="1:15" hidden="1" x14ac:dyDescent="0.3">
      <c r="A817" t="s">
        <v>915</v>
      </c>
      <c r="B817" s="2">
        <v>41594</v>
      </c>
      <c r="C817" s="3">
        <v>101958</v>
      </c>
      <c r="D817" s="4">
        <v>3473</v>
      </c>
      <c r="E817" s="4">
        <v>749</v>
      </c>
      <c r="F817">
        <f t="shared" si="120"/>
        <v>2013</v>
      </c>
      <c r="G817" t="str">
        <f t="shared" si="121"/>
        <v>November</v>
      </c>
      <c r="H817" t="str">
        <f t="shared" si="122"/>
        <v>Saturday</v>
      </c>
      <c r="I817">
        <f t="shared" si="123"/>
        <v>4.140920771297985</v>
      </c>
      <c r="J817">
        <f t="shared" si="124"/>
        <v>34.063045567782815</v>
      </c>
      <c r="K817">
        <f t="shared" si="125"/>
        <v>7.3461621451970416</v>
      </c>
      <c r="L817">
        <f t="shared" si="126"/>
        <v>0.14004481757108819</v>
      </c>
      <c r="M817">
        <f t="shared" si="127"/>
        <v>-0.12698229604613898</v>
      </c>
      <c r="N817">
        <f t="shared" si="128"/>
        <v>20</v>
      </c>
      <c r="O817" t="str">
        <f t="shared" si="129"/>
        <v>Other</v>
      </c>
    </row>
    <row r="818" spans="1:15" hidden="1" x14ac:dyDescent="0.3">
      <c r="A818" t="s">
        <v>819</v>
      </c>
      <c r="B818" s="2">
        <v>42059</v>
      </c>
      <c r="C818" s="3">
        <v>101902</v>
      </c>
      <c r="D818" s="4">
        <v>1281</v>
      </c>
      <c r="E818" s="4">
        <v>256</v>
      </c>
      <c r="F818">
        <f t="shared" si="120"/>
        <v>2015</v>
      </c>
      <c r="G818" t="str">
        <f t="shared" si="121"/>
        <v>February</v>
      </c>
      <c r="H818" t="str">
        <f t="shared" si="122"/>
        <v>Tuesday</v>
      </c>
      <c r="I818">
        <f t="shared" si="123"/>
        <v>1.5083119075189888</v>
      </c>
      <c r="J818">
        <f t="shared" si="124"/>
        <v>12.570901454338482</v>
      </c>
      <c r="K818">
        <f t="shared" si="125"/>
        <v>2.512217620851406</v>
      </c>
      <c r="L818">
        <f t="shared" si="126"/>
        <v>0.12154020306508308</v>
      </c>
      <c r="M818">
        <f t="shared" si="127"/>
        <v>-0.14718484347393235</v>
      </c>
      <c r="N818">
        <f t="shared" si="128"/>
        <v>52</v>
      </c>
      <c r="O818" t="str">
        <f t="shared" si="129"/>
        <v>Other</v>
      </c>
    </row>
    <row r="819" spans="1:15" hidden="1" x14ac:dyDescent="0.3">
      <c r="A819" t="s">
        <v>671</v>
      </c>
      <c r="B819" s="2">
        <v>42256</v>
      </c>
      <c r="C819" s="3">
        <v>101657</v>
      </c>
      <c r="D819" s="4">
        <v>3336</v>
      </c>
      <c r="E819" s="4">
        <v>379</v>
      </c>
      <c r="F819">
        <f t="shared" si="120"/>
        <v>2015</v>
      </c>
      <c r="G819" t="str">
        <f t="shared" si="121"/>
        <v>September</v>
      </c>
      <c r="H819" t="str">
        <f t="shared" si="122"/>
        <v>Wednesday</v>
      </c>
      <c r="I819">
        <f t="shared" si="123"/>
        <v>3.654445832554571</v>
      </c>
      <c r="J819">
        <f t="shared" si="124"/>
        <v>32.816234986277387</v>
      </c>
      <c r="K819">
        <f t="shared" si="125"/>
        <v>3.7282233392683239</v>
      </c>
      <c r="L819">
        <f t="shared" si="126"/>
        <v>0.13673129807845741</v>
      </c>
      <c r="M819">
        <f t="shared" si="127"/>
        <v>-0.14306470401815524</v>
      </c>
      <c r="N819">
        <f t="shared" si="128"/>
        <v>48</v>
      </c>
      <c r="O819" t="str">
        <f t="shared" si="129"/>
        <v>Other</v>
      </c>
    </row>
    <row r="820" spans="1:15" hidden="1" x14ac:dyDescent="0.3">
      <c r="A820" t="s">
        <v>873</v>
      </c>
      <c r="B820" s="2">
        <v>41730</v>
      </c>
      <c r="C820" s="3">
        <v>101420</v>
      </c>
      <c r="D820" s="4">
        <v>1461</v>
      </c>
      <c r="E820" s="4">
        <v>199</v>
      </c>
      <c r="F820">
        <f t="shared" si="120"/>
        <v>2014</v>
      </c>
      <c r="G820" t="str">
        <f t="shared" si="121"/>
        <v>April</v>
      </c>
      <c r="H820" t="str">
        <f t="shared" si="122"/>
        <v>Tuesday</v>
      </c>
      <c r="I820">
        <f t="shared" si="123"/>
        <v>1.6367580358903571</v>
      </c>
      <c r="J820">
        <f t="shared" si="124"/>
        <v>14.405442713468743</v>
      </c>
      <c r="K820">
        <f t="shared" si="125"/>
        <v>1.9621376454348254</v>
      </c>
      <c r="L820">
        <f t="shared" si="126"/>
        <v>0.11935060410057202</v>
      </c>
      <c r="M820">
        <f t="shared" si="127"/>
        <v>-0.14499126672560433</v>
      </c>
      <c r="N820">
        <f t="shared" si="128"/>
        <v>59</v>
      </c>
      <c r="O820" t="str">
        <f t="shared" si="129"/>
        <v>Other</v>
      </c>
    </row>
    <row r="821" spans="1:15" hidden="1" x14ac:dyDescent="0.3">
      <c r="A821" t="s">
        <v>903</v>
      </c>
      <c r="B821" s="2">
        <v>41635</v>
      </c>
      <c r="C821" s="3">
        <v>101234</v>
      </c>
      <c r="D821" s="4">
        <v>2179</v>
      </c>
      <c r="E821" s="4">
        <v>424</v>
      </c>
      <c r="F821">
        <f t="shared" si="120"/>
        <v>2013</v>
      </c>
      <c r="G821" t="str">
        <f t="shared" si="121"/>
        <v>December</v>
      </c>
      <c r="H821" t="str">
        <f t="shared" si="122"/>
        <v>Friday</v>
      </c>
      <c r="I821">
        <f t="shared" si="123"/>
        <v>2.5712705217614635</v>
      </c>
      <c r="J821">
        <f t="shared" si="124"/>
        <v>21.524389039255585</v>
      </c>
      <c r="K821">
        <f t="shared" si="125"/>
        <v>4.1883161783590488</v>
      </c>
      <c r="L821">
        <f t="shared" si="126"/>
        <v>0.13197357871396506</v>
      </c>
      <c r="M821">
        <f t="shared" si="127"/>
        <v>-0.13785733415200677</v>
      </c>
      <c r="N821">
        <f t="shared" si="128"/>
        <v>23</v>
      </c>
      <c r="O821" t="str">
        <f t="shared" si="129"/>
        <v>Other</v>
      </c>
    </row>
    <row r="822" spans="1:15" hidden="1" x14ac:dyDescent="0.3">
      <c r="A822" t="s">
        <v>696</v>
      </c>
      <c r="B822" s="2">
        <v>42116</v>
      </c>
      <c r="C822" s="3">
        <v>100762</v>
      </c>
      <c r="D822" s="4">
        <v>1913</v>
      </c>
      <c r="E822" s="4">
        <v>172</v>
      </c>
      <c r="F822">
        <f t="shared" si="120"/>
        <v>2015</v>
      </c>
      <c r="G822" t="str">
        <f t="shared" si="121"/>
        <v>April</v>
      </c>
      <c r="H822" t="str">
        <f t="shared" si="122"/>
        <v>Wednesday</v>
      </c>
      <c r="I822">
        <f t="shared" si="123"/>
        <v>2.0692324487405966</v>
      </c>
      <c r="J822">
        <f t="shared" si="124"/>
        <v>18.985331771898135</v>
      </c>
      <c r="K822">
        <f t="shared" si="125"/>
        <v>1.7069927155078304</v>
      </c>
      <c r="L822">
        <f t="shared" si="126"/>
        <v>0.13278324020425875</v>
      </c>
      <c r="M822">
        <f t="shared" si="127"/>
        <v>-0.14216823839250933</v>
      </c>
      <c r="N822">
        <f t="shared" si="128"/>
        <v>4</v>
      </c>
      <c r="O822" t="str">
        <f t="shared" si="129"/>
        <v>Other</v>
      </c>
    </row>
    <row r="823" spans="1:15" hidden="1" x14ac:dyDescent="0.3">
      <c r="A823" t="s">
        <v>877</v>
      </c>
      <c r="B823" s="2">
        <v>41727</v>
      </c>
      <c r="C823" s="3">
        <v>100267</v>
      </c>
      <c r="D823" s="4">
        <v>2083</v>
      </c>
      <c r="E823" s="4">
        <v>313</v>
      </c>
      <c r="F823">
        <f t="shared" si="120"/>
        <v>2014</v>
      </c>
      <c r="G823" t="str">
        <f t="shared" si="121"/>
        <v>March</v>
      </c>
      <c r="H823" t="str">
        <f t="shared" si="122"/>
        <v>Saturday</v>
      </c>
      <c r="I823">
        <f t="shared" si="123"/>
        <v>2.3896197153599887</v>
      </c>
      <c r="J823">
        <f t="shared" si="124"/>
        <v>20.774531999561173</v>
      </c>
      <c r="K823">
        <f t="shared" si="125"/>
        <v>3.1216651540387166</v>
      </c>
      <c r="L823">
        <f t="shared" si="126"/>
        <v>0.13821476303094624</v>
      </c>
      <c r="M823">
        <f t="shared" si="127"/>
        <v>-0.1333877854024868</v>
      </c>
      <c r="N823">
        <f t="shared" si="128"/>
        <v>36</v>
      </c>
      <c r="O823" t="str">
        <f t="shared" si="129"/>
        <v>Other</v>
      </c>
    </row>
    <row r="824" spans="1:15" hidden="1" x14ac:dyDescent="0.3">
      <c r="A824" t="s">
        <v>695</v>
      </c>
      <c r="B824" s="2">
        <v>42230</v>
      </c>
      <c r="C824" s="3">
        <v>99391</v>
      </c>
      <c r="D824" s="4">
        <v>3840</v>
      </c>
      <c r="E824" s="4">
        <v>412</v>
      </c>
      <c r="F824">
        <f t="shared" si="120"/>
        <v>2015</v>
      </c>
      <c r="G824" t="str">
        <f t="shared" si="121"/>
        <v>August</v>
      </c>
      <c r="H824" t="str">
        <f t="shared" si="122"/>
        <v>Friday</v>
      </c>
      <c r="I824">
        <f t="shared" si="123"/>
        <v>4.2780533448702602</v>
      </c>
      <c r="J824">
        <f t="shared" si="124"/>
        <v>38.635288909458602</v>
      </c>
      <c r="K824">
        <f t="shared" si="125"/>
        <v>4.1452445392439961</v>
      </c>
      <c r="L824">
        <f t="shared" si="126"/>
        <v>0.1408781661988513</v>
      </c>
      <c r="M824">
        <f t="shared" si="127"/>
        <v>-0.13170063704774757</v>
      </c>
      <c r="N824">
        <f t="shared" si="128"/>
        <v>42</v>
      </c>
      <c r="O824" t="str">
        <f t="shared" si="129"/>
        <v>Other</v>
      </c>
    </row>
    <row r="825" spans="1:15" hidden="1" x14ac:dyDescent="0.3">
      <c r="A825" t="s">
        <v>718</v>
      </c>
      <c r="B825" s="2">
        <v>42214</v>
      </c>
      <c r="C825" s="3">
        <v>99265</v>
      </c>
      <c r="D825" s="4">
        <v>2628</v>
      </c>
      <c r="E825" s="4">
        <v>425</v>
      </c>
      <c r="F825">
        <f t="shared" si="120"/>
        <v>2015</v>
      </c>
      <c r="G825" t="str">
        <f t="shared" si="121"/>
        <v>July</v>
      </c>
      <c r="H825" t="str">
        <f t="shared" si="122"/>
        <v>Wednesday</v>
      </c>
      <c r="I825">
        <f t="shared" si="123"/>
        <v>3.0756057019090313</v>
      </c>
      <c r="J825">
        <f t="shared" si="124"/>
        <v>26.4745882234423</v>
      </c>
      <c r="K825">
        <f t="shared" si="125"/>
        <v>4.2814687956480126</v>
      </c>
      <c r="L825">
        <f t="shared" si="126"/>
        <v>0.11456176787221656</v>
      </c>
      <c r="M825">
        <f t="shared" si="127"/>
        <v>-0.13523247230991298</v>
      </c>
      <c r="N825">
        <f t="shared" si="128"/>
        <v>29</v>
      </c>
      <c r="O825" t="str">
        <f t="shared" si="129"/>
        <v>Other</v>
      </c>
    </row>
    <row r="826" spans="1:15" hidden="1" x14ac:dyDescent="0.3">
      <c r="A826" t="s">
        <v>724</v>
      </c>
      <c r="B826" s="2">
        <v>42210</v>
      </c>
      <c r="C826" s="3">
        <v>98427</v>
      </c>
      <c r="D826" s="4">
        <v>2812</v>
      </c>
      <c r="E826" s="4">
        <v>370</v>
      </c>
      <c r="F826">
        <f t="shared" si="120"/>
        <v>2015</v>
      </c>
      <c r="G826" t="str">
        <f t="shared" si="121"/>
        <v>July</v>
      </c>
      <c r="H826" t="str">
        <f t="shared" si="122"/>
        <v>Saturday</v>
      </c>
      <c r="I826">
        <f t="shared" si="123"/>
        <v>3.2328527741371778</v>
      </c>
      <c r="J826">
        <f t="shared" si="124"/>
        <v>28.569396608654131</v>
      </c>
      <c r="K826">
        <f t="shared" si="125"/>
        <v>3.7591311327176489</v>
      </c>
      <c r="L826">
        <f t="shared" si="126"/>
        <v>0.10702195016607061</v>
      </c>
      <c r="M826">
        <f t="shared" si="127"/>
        <v>-0.13970074522961848</v>
      </c>
      <c r="N826">
        <f t="shared" si="128"/>
        <v>40</v>
      </c>
      <c r="O826" t="str">
        <f t="shared" si="129"/>
        <v>Other</v>
      </c>
    </row>
    <row r="827" spans="1:15" hidden="1" x14ac:dyDescent="0.3">
      <c r="A827" t="s">
        <v>656</v>
      </c>
      <c r="B827" s="2">
        <v>42282</v>
      </c>
      <c r="C827" s="3">
        <v>98030</v>
      </c>
      <c r="D827" s="4">
        <v>2767</v>
      </c>
      <c r="E827" s="4">
        <v>284</v>
      </c>
      <c r="F827">
        <f t="shared" si="120"/>
        <v>2015</v>
      </c>
      <c r="G827" t="str">
        <f t="shared" si="121"/>
        <v>October</v>
      </c>
      <c r="H827" t="str">
        <f t="shared" si="122"/>
        <v>Monday</v>
      </c>
      <c r="I827">
        <f t="shared" si="123"/>
        <v>3.1123125573803936</v>
      </c>
      <c r="J827">
        <f t="shared" si="124"/>
        <v>28.226053249005407</v>
      </c>
      <c r="K827">
        <f t="shared" si="125"/>
        <v>2.8970723247985313</v>
      </c>
      <c r="L827">
        <f t="shared" si="126"/>
        <v>9.608092689842096E-2</v>
      </c>
      <c r="M827">
        <f t="shared" si="127"/>
        <v>-0.1412303042241648</v>
      </c>
      <c r="N827">
        <f t="shared" si="128"/>
        <v>74</v>
      </c>
      <c r="O827" t="str">
        <f t="shared" si="129"/>
        <v>Other</v>
      </c>
    </row>
    <row r="828" spans="1:15" hidden="1" x14ac:dyDescent="0.3">
      <c r="A828" t="s">
        <v>868</v>
      </c>
      <c r="B828" s="2">
        <v>41749</v>
      </c>
      <c r="C828" s="3">
        <v>97062</v>
      </c>
      <c r="D828" s="4">
        <v>2883</v>
      </c>
      <c r="E828" s="4">
        <v>360</v>
      </c>
      <c r="F828">
        <f t="shared" si="120"/>
        <v>2014</v>
      </c>
      <c r="G828" t="str">
        <f t="shared" si="121"/>
        <v>April</v>
      </c>
      <c r="H828" t="str">
        <f t="shared" si="122"/>
        <v>Sunday</v>
      </c>
      <c r="I828">
        <f t="shared" si="123"/>
        <v>3.34116338010756</v>
      </c>
      <c r="J828">
        <f t="shared" si="124"/>
        <v>29.702664276441862</v>
      </c>
      <c r="K828">
        <f t="shared" si="125"/>
        <v>3.7089695246337393</v>
      </c>
      <c r="L828">
        <f t="shared" si="126"/>
        <v>8.5454957353657837E-2</v>
      </c>
      <c r="M828">
        <f t="shared" si="127"/>
        <v>-0.13813737271488893</v>
      </c>
      <c r="N828">
        <f t="shared" si="128"/>
        <v>10</v>
      </c>
      <c r="O828" t="str">
        <f t="shared" si="129"/>
        <v>Other</v>
      </c>
    </row>
    <row r="829" spans="1:15" hidden="1" x14ac:dyDescent="0.3">
      <c r="A829" t="s">
        <v>897</v>
      </c>
      <c r="B829" s="2">
        <v>41639</v>
      </c>
      <c r="C829" s="3">
        <v>96931</v>
      </c>
      <c r="D829" s="4">
        <v>2132</v>
      </c>
      <c r="E829" s="4">
        <v>347</v>
      </c>
      <c r="F829">
        <f t="shared" si="120"/>
        <v>2013</v>
      </c>
      <c r="G829" t="str">
        <f t="shared" si="121"/>
        <v>December</v>
      </c>
      <c r="H829" t="str">
        <f t="shared" si="122"/>
        <v>Tuesday</v>
      </c>
      <c r="I829">
        <f t="shared" si="123"/>
        <v>2.5574893480929735</v>
      </c>
      <c r="J829">
        <f t="shared" si="124"/>
        <v>21.99502739061807</v>
      </c>
      <c r="K829">
        <f t="shared" si="125"/>
        <v>3.5798660903116648</v>
      </c>
      <c r="L829">
        <f t="shared" si="126"/>
        <v>7.255297576872044E-2</v>
      </c>
      <c r="M829">
        <f t="shared" si="127"/>
        <v>-0.1390474953483038</v>
      </c>
      <c r="N829">
        <f t="shared" si="128"/>
        <v>24</v>
      </c>
      <c r="O829" t="str">
        <f t="shared" si="129"/>
        <v>Other</v>
      </c>
    </row>
    <row r="830" spans="1:15" hidden="1" x14ac:dyDescent="0.3">
      <c r="A830" t="s">
        <v>827</v>
      </c>
      <c r="B830" s="2">
        <v>42005</v>
      </c>
      <c r="C830" s="3">
        <v>96287</v>
      </c>
      <c r="D830" s="4">
        <v>1686</v>
      </c>
      <c r="E830" s="4">
        <v>216</v>
      </c>
      <c r="F830">
        <f t="shared" si="120"/>
        <v>2015</v>
      </c>
      <c r="G830" t="str">
        <f t="shared" si="121"/>
        <v>January</v>
      </c>
      <c r="H830" t="str">
        <f t="shared" si="122"/>
        <v>Thursday</v>
      </c>
      <c r="I830">
        <f t="shared" si="123"/>
        <v>1.975344542877024</v>
      </c>
      <c r="J830">
        <f t="shared" si="124"/>
        <v>17.510151941591285</v>
      </c>
      <c r="K830">
        <f t="shared" si="125"/>
        <v>2.2432934871789545</v>
      </c>
      <c r="L830">
        <f t="shared" si="126"/>
        <v>7.2551793582133262E-2</v>
      </c>
      <c r="M830">
        <f t="shared" si="127"/>
        <v>-0.13932952628130829</v>
      </c>
      <c r="N830">
        <f t="shared" si="128"/>
        <v>35</v>
      </c>
      <c r="O830" t="str">
        <f t="shared" si="129"/>
        <v>Other</v>
      </c>
    </row>
    <row r="831" spans="1:15" hidden="1" x14ac:dyDescent="0.3">
      <c r="A831" t="s">
        <v>697</v>
      </c>
      <c r="B831" s="2">
        <v>42228</v>
      </c>
      <c r="C831" s="3">
        <v>95682</v>
      </c>
      <c r="D831" s="4">
        <v>1673</v>
      </c>
      <c r="E831" s="4">
        <v>197</v>
      </c>
      <c r="F831">
        <f t="shared" si="120"/>
        <v>2015</v>
      </c>
      <c r="G831" t="str">
        <f t="shared" si="121"/>
        <v>August</v>
      </c>
      <c r="H831" t="str">
        <f t="shared" si="122"/>
        <v>Wednesday</v>
      </c>
      <c r="I831">
        <f t="shared" si="123"/>
        <v>1.9543905854810726</v>
      </c>
      <c r="J831">
        <f t="shared" si="124"/>
        <v>17.485002403795907</v>
      </c>
      <c r="K831">
        <f t="shared" si="125"/>
        <v>2.0589034510148201</v>
      </c>
      <c r="L831">
        <f t="shared" si="126"/>
        <v>8.0774977453401856E-2</v>
      </c>
      <c r="M831">
        <f t="shared" si="127"/>
        <v>-0.13239503591755131</v>
      </c>
      <c r="N831">
        <f t="shared" si="128"/>
        <v>49</v>
      </c>
      <c r="O831" t="str">
        <f t="shared" si="129"/>
        <v>Money</v>
      </c>
    </row>
    <row r="832" spans="1:15" hidden="1" x14ac:dyDescent="0.3">
      <c r="A832" t="s">
        <v>663</v>
      </c>
      <c r="B832" s="2">
        <v>42270</v>
      </c>
      <c r="C832" s="3">
        <v>94674</v>
      </c>
      <c r="D832" s="4">
        <v>3282</v>
      </c>
      <c r="E832" s="4">
        <v>496</v>
      </c>
      <c r="F832">
        <f t="shared" si="120"/>
        <v>2015</v>
      </c>
      <c r="G832" t="str">
        <f t="shared" si="121"/>
        <v>September</v>
      </c>
      <c r="H832" t="str">
        <f t="shared" si="122"/>
        <v>Wednesday</v>
      </c>
      <c r="I832">
        <f t="shared" si="123"/>
        <v>3.990535944398673</v>
      </c>
      <c r="J832">
        <f t="shared" si="124"/>
        <v>34.666328664680904</v>
      </c>
      <c r="K832">
        <f t="shared" si="125"/>
        <v>5.2390307793058284</v>
      </c>
      <c r="L832">
        <f t="shared" si="126"/>
        <v>8.9507213577392289E-2</v>
      </c>
      <c r="M832">
        <f t="shared" si="127"/>
        <v>-0.12416949180008058</v>
      </c>
      <c r="N832">
        <f t="shared" si="128"/>
        <v>52</v>
      </c>
      <c r="O832" t="str">
        <f t="shared" si="129"/>
        <v>Other</v>
      </c>
    </row>
    <row r="833" spans="1:15" hidden="1" x14ac:dyDescent="0.3">
      <c r="A833" t="s">
        <v>887</v>
      </c>
      <c r="B833" s="2">
        <v>41693</v>
      </c>
      <c r="C833" s="3">
        <v>92837</v>
      </c>
      <c r="D833" s="4">
        <v>2341</v>
      </c>
      <c r="E833" s="4">
        <v>380</v>
      </c>
      <c r="F833">
        <f t="shared" si="120"/>
        <v>2014</v>
      </c>
      <c r="G833" t="str">
        <f t="shared" si="121"/>
        <v>February</v>
      </c>
      <c r="H833" t="str">
        <f t="shared" si="122"/>
        <v>Sunday</v>
      </c>
      <c r="I833">
        <f t="shared" si="123"/>
        <v>2.9309434815860054</v>
      </c>
      <c r="J833">
        <f t="shared" si="124"/>
        <v>25.216239214968169</v>
      </c>
      <c r="K833">
        <f t="shared" si="125"/>
        <v>4.0931956008918853</v>
      </c>
      <c r="L833">
        <f t="shared" si="126"/>
        <v>6.9417799484258427E-2</v>
      </c>
      <c r="M833">
        <f t="shared" si="127"/>
        <v>-0.13226569295520879</v>
      </c>
      <c r="N833">
        <f t="shared" si="128"/>
        <v>28</v>
      </c>
      <c r="O833" t="str">
        <f t="shared" si="129"/>
        <v>Other</v>
      </c>
    </row>
    <row r="834" spans="1:15" hidden="1" x14ac:dyDescent="0.3">
      <c r="A834" t="s">
        <v>912</v>
      </c>
      <c r="B834" s="2">
        <v>41605</v>
      </c>
      <c r="C834" s="3">
        <v>92680</v>
      </c>
      <c r="D834" s="4">
        <v>2491</v>
      </c>
      <c r="E834" s="4">
        <v>523</v>
      </c>
      <c r="F834">
        <f t="shared" ref="F834:F897" si="130">YEAR(B834)</f>
        <v>2013</v>
      </c>
      <c r="G834" t="str">
        <f t="shared" ref="G834:G897" si="131">TEXT(B834,"MMMM")</f>
        <v>November</v>
      </c>
      <c r="H834" t="str">
        <f t="shared" ref="H834:H897" si="132">TEXT(B834, "DDDD")</f>
        <v>Wednesday</v>
      </c>
      <c r="I834">
        <f t="shared" ref="I834:I897" si="133">((D834+E834)/C834)*100</f>
        <v>3.2520500647388864</v>
      </c>
      <c r="J834">
        <f t="shared" ref="J834:J897" si="134">(D834/C834)*1000</f>
        <v>26.877427708243417</v>
      </c>
      <c r="K834">
        <f t="shared" ref="K834:K897" si="135">(E834/C834)*1000</f>
        <v>5.6430729391454468</v>
      </c>
      <c r="L834">
        <f t="shared" ref="L834:L897" si="136">CORREL(C834:C1332, D834:D1332)</f>
        <v>6.5594951780600513E-2</v>
      </c>
      <c r="M834">
        <f t="shared" ref="M834:M897" si="137">CORREL(C834:C1332,E834:E1332)</f>
        <v>-0.13382963831827827</v>
      </c>
      <c r="N834">
        <f t="shared" ref="N834:N897" si="138">LEN(A834)</f>
        <v>25</v>
      </c>
      <c r="O834" t="str">
        <f t="shared" ref="O834:O897" si="139">IF(ISNUMBER(SEARCH("$",A834)), "Money", IF(ISNUMBER(SEARCH("Win",A834)), "Challenge",IF(ISNUMBER(SEARCH("Challenge",A834)), "Challenge",IF(ISNUMBER(SEARCH("Last To Leave",A834)),"Challenge",IF(ISNUMBER(SEARCH("Giving Away", A834)),"Giveaway",IF(ISNUMBER(SEARCH("Stranded",A834)),"Survival", IF(ISNUMBER(SEARCH("Survive",A834)), "Survival", IF(ISNUMBER(SEARCH("Days",A834)),"Endurance","Other"))))))))</f>
        <v>Other</v>
      </c>
    </row>
    <row r="835" spans="1:15" hidden="1" x14ac:dyDescent="0.3">
      <c r="A835" t="s">
        <v>840</v>
      </c>
      <c r="B835" s="2">
        <v>41869</v>
      </c>
      <c r="C835" s="3">
        <v>92660</v>
      </c>
      <c r="D835" s="4">
        <v>2106</v>
      </c>
      <c r="E835" s="4">
        <v>197</v>
      </c>
      <c r="F835">
        <f t="shared" si="130"/>
        <v>2014</v>
      </c>
      <c r="G835" t="str">
        <f t="shared" si="131"/>
        <v>August</v>
      </c>
      <c r="H835" t="str">
        <f t="shared" si="132"/>
        <v>Monday</v>
      </c>
      <c r="I835">
        <f t="shared" si="133"/>
        <v>2.4854306065184546</v>
      </c>
      <c r="J835">
        <f t="shared" si="134"/>
        <v>22.728253831210878</v>
      </c>
      <c r="K835">
        <f t="shared" si="135"/>
        <v>2.1260522339736672</v>
      </c>
      <c r="L835">
        <f t="shared" si="136"/>
        <v>5.899106263893053E-2</v>
      </c>
      <c r="M835">
        <f t="shared" si="137"/>
        <v>-0.14324356470180097</v>
      </c>
      <c r="N835">
        <f t="shared" si="138"/>
        <v>22</v>
      </c>
      <c r="O835" t="str">
        <f t="shared" si="139"/>
        <v>Other</v>
      </c>
    </row>
    <row r="836" spans="1:15" hidden="1" x14ac:dyDescent="0.3">
      <c r="A836" t="s">
        <v>644</v>
      </c>
      <c r="B836" s="2">
        <v>42306</v>
      </c>
      <c r="C836" s="3">
        <v>92183</v>
      </c>
      <c r="D836" s="4">
        <v>3651</v>
      </c>
      <c r="E836" s="4">
        <v>294</v>
      </c>
      <c r="F836">
        <f t="shared" si="130"/>
        <v>2015</v>
      </c>
      <c r="G836" t="str">
        <f t="shared" si="131"/>
        <v>October</v>
      </c>
      <c r="H836" t="str">
        <f t="shared" si="132"/>
        <v>Thursday</v>
      </c>
      <c r="I836">
        <f t="shared" si="133"/>
        <v>4.2795309330353755</v>
      </c>
      <c r="J836">
        <f t="shared" si="134"/>
        <v>39.606001106494688</v>
      </c>
      <c r="K836">
        <f t="shared" si="135"/>
        <v>3.1893082238590629</v>
      </c>
      <c r="L836">
        <f t="shared" si="136"/>
        <v>5.8974506227564782E-2</v>
      </c>
      <c r="M836">
        <f t="shared" si="137"/>
        <v>-0.13537996843135533</v>
      </c>
      <c r="N836">
        <f t="shared" si="138"/>
        <v>29</v>
      </c>
      <c r="O836" t="str">
        <f t="shared" si="139"/>
        <v>Other</v>
      </c>
    </row>
    <row r="837" spans="1:15" hidden="1" x14ac:dyDescent="0.3">
      <c r="A837" t="s">
        <v>866</v>
      </c>
      <c r="B837" s="2">
        <v>41753</v>
      </c>
      <c r="C837" s="3">
        <v>91369</v>
      </c>
      <c r="D837" s="4">
        <v>1810</v>
      </c>
      <c r="E837" s="4">
        <v>272</v>
      </c>
      <c r="F837">
        <f t="shared" si="130"/>
        <v>2014</v>
      </c>
      <c r="G837" t="str">
        <f t="shared" si="131"/>
        <v>April</v>
      </c>
      <c r="H837" t="str">
        <f t="shared" si="132"/>
        <v>Thursday</v>
      </c>
      <c r="I837">
        <f t="shared" si="133"/>
        <v>2.2786721973535884</v>
      </c>
      <c r="J837">
        <f t="shared" si="134"/>
        <v>19.809782311287197</v>
      </c>
      <c r="K837">
        <f t="shared" si="135"/>
        <v>2.9769396622486841</v>
      </c>
      <c r="L837">
        <f t="shared" si="136"/>
        <v>3.1127602370207192E-2</v>
      </c>
      <c r="M837">
        <f t="shared" si="137"/>
        <v>-0.1324710253317482</v>
      </c>
      <c r="N837">
        <f t="shared" si="138"/>
        <v>35</v>
      </c>
      <c r="O837" t="str">
        <f t="shared" si="139"/>
        <v>Challenge</v>
      </c>
    </row>
    <row r="838" spans="1:15" hidden="1" x14ac:dyDescent="0.3">
      <c r="A838" t="s">
        <v>856</v>
      </c>
      <c r="B838" s="2">
        <v>41792</v>
      </c>
      <c r="C838" s="3">
        <v>90960</v>
      </c>
      <c r="D838" s="4">
        <v>1793</v>
      </c>
      <c r="E838" s="4">
        <v>223</v>
      </c>
      <c r="F838">
        <f t="shared" si="130"/>
        <v>2014</v>
      </c>
      <c r="G838" t="str">
        <f t="shared" si="131"/>
        <v>June</v>
      </c>
      <c r="H838" t="str">
        <f t="shared" si="132"/>
        <v>Monday</v>
      </c>
      <c r="I838">
        <f t="shared" si="133"/>
        <v>2.2163588390501321</v>
      </c>
      <c r="J838">
        <f t="shared" si="134"/>
        <v>19.711961301671064</v>
      </c>
      <c r="K838">
        <f t="shared" si="135"/>
        <v>2.4516270888302549</v>
      </c>
      <c r="L838">
        <f t="shared" si="136"/>
        <v>3.5699824856304282E-2</v>
      </c>
      <c r="M838">
        <f t="shared" si="137"/>
        <v>-0.12827853118568869</v>
      </c>
      <c r="N838">
        <f t="shared" si="138"/>
        <v>28</v>
      </c>
      <c r="O838" t="str">
        <f t="shared" si="139"/>
        <v>Other</v>
      </c>
    </row>
    <row r="839" spans="1:15" hidden="1" x14ac:dyDescent="0.3">
      <c r="A839" t="s">
        <v>689</v>
      </c>
      <c r="B839" s="2">
        <v>42235</v>
      </c>
      <c r="C839" s="3">
        <v>90731</v>
      </c>
      <c r="D839" s="4">
        <v>1968</v>
      </c>
      <c r="E839" s="4">
        <v>184</v>
      </c>
      <c r="F839">
        <f t="shared" si="130"/>
        <v>2015</v>
      </c>
      <c r="G839" t="str">
        <f t="shared" si="131"/>
        <v>August</v>
      </c>
      <c r="H839" t="str">
        <f t="shared" si="132"/>
        <v>Wednesday</v>
      </c>
      <c r="I839">
        <f t="shared" si="133"/>
        <v>2.3718464471900456</v>
      </c>
      <c r="J839">
        <f t="shared" si="134"/>
        <v>21.690491673187775</v>
      </c>
      <c r="K839">
        <f t="shared" si="135"/>
        <v>2.0279727987126783</v>
      </c>
      <c r="L839">
        <f t="shared" si="136"/>
        <v>4.0749639782124147E-2</v>
      </c>
      <c r="M839">
        <f t="shared" si="137"/>
        <v>-0.12128544959359464</v>
      </c>
      <c r="N839">
        <f t="shared" si="138"/>
        <v>38</v>
      </c>
      <c r="O839" t="str">
        <f t="shared" si="139"/>
        <v>Other</v>
      </c>
    </row>
    <row r="840" spans="1:15" hidden="1" x14ac:dyDescent="0.3">
      <c r="A840" t="s">
        <v>597</v>
      </c>
      <c r="B840" s="2">
        <v>42438</v>
      </c>
      <c r="C840" s="3">
        <v>90439</v>
      </c>
      <c r="D840" s="4">
        <v>2981</v>
      </c>
      <c r="E840" s="4">
        <v>1348</v>
      </c>
      <c r="F840">
        <f t="shared" si="130"/>
        <v>2016</v>
      </c>
      <c r="G840" t="str">
        <f t="shared" si="131"/>
        <v>March</v>
      </c>
      <c r="H840" t="str">
        <f t="shared" si="132"/>
        <v>Wednesday</v>
      </c>
      <c r="I840">
        <f t="shared" si="133"/>
        <v>4.7866517763354306</v>
      </c>
      <c r="J840">
        <f t="shared" si="134"/>
        <v>32.961443624984796</v>
      </c>
      <c r="K840">
        <f t="shared" si="135"/>
        <v>14.905074138369509</v>
      </c>
      <c r="L840">
        <f t="shared" si="136"/>
        <v>4.276677631042828E-2</v>
      </c>
      <c r="M840">
        <f t="shared" si="137"/>
        <v>-0.11184086844908334</v>
      </c>
      <c r="N840">
        <f t="shared" si="138"/>
        <v>25</v>
      </c>
      <c r="O840" t="str">
        <f t="shared" si="139"/>
        <v>Other</v>
      </c>
    </row>
    <row r="841" spans="1:15" hidden="1" x14ac:dyDescent="0.3">
      <c r="A841" t="s">
        <v>909</v>
      </c>
      <c r="B841" s="2">
        <v>41613</v>
      </c>
      <c r="C841" s="3">
        <v>89747</v>
      </c>
      <c r="D841" s="4">
        <v>2296</v>
      </c>
      <c r="E841" s="4">
        <v>356</v>
      </c>
      <c r="F841">
        <f t="shared" si="130"/>
        <v>2013</v>
      </c>
      <c r="G841" t="str">
        <f t="shared" si="131"/>
        <v>December</v>
      </c>
      <c r="H841" t="str">
        <f t="shared" si="132"/>
        <v>Thursday</v>
      </c>
      <c r="I841">
        <f t="shared" si="133"/>
        <v>2.9549734252955528</v>
      </c>
      <c r="J841">
        <f t="shared" si="134"/>
        <v>25.583027844941892</v>
      </c>
      <c r="K841">
        <f t="shared" si="135"/>
        <v>3.9667064080136378</v>
      </c>
      <c r="L841">
        <f t="shared" si="136"/>
        <v>2.5795462354532537E-2</v>
      </c>
      <c r="M841">
        <f t="shared" si="137"/>
        <v>-0.17414610432622427</v>
      </c>
      <c r="N841">
        <f t="shared" si="138"/>
        <v>34</v>
      </c>
      <c r="O841" t="str">
        <f t="shared" si="139"/>
        <v>Other</v>
      </c>
    </row>
    <row r="842" spans="1:15" hidden="1" x14ac:dyDescent="0.3">
      <c r="A842" t="s">
        <v>864</v>
      </c>
      <c r="B842" s="2">
        <v>41767</v>
      </c>
      <c r="C842" s="3">
        <v>89087</v>
      </c>
      <c r="D842" s="4">
        <v>2409</v>
      </c>
      <c r="E842" s="4">
        <v>315</v>
      </c>
      <c r="F842">
        <f t="shared" si="130"/>
        <v>2014</v>
      </c>
      <c r="G842" t="str">
        <f t="shared" si="131"/>
        <v>May</v>
      </c>
      <c r="H842" t="str">
        <f t="shared" si="132"/>
        <v>Thursday</v>
      </c>
      <c r="I842">
        <f t="shared" si="133"/>
        <v>3.0576851841458348</v>
      </c>
      <c r="J842">
        <f t="shared" si="134"/>
        <v>27.040982410452706</v>
      </c>
      <c r="K842">
        <f t="shared" si="135"/>
        <v>3.5358694310056462</v>
      </c>
      <c r="L842">
        <f t="shared" si="136"/>
        <v>2.120692655285002E-2</v>
      </c>
      <c r="M842">
        <f t="shared" si="137"/>
        <v>-0.17560791172290557</v>
      </c>
      <c r="N842">
        <f t="shared" si="138"/>
        <v>15</v>
      </c>
      <c r="O842" t="str">
        <f t="shared" si="139"/>
        <v>Other</v>
      </c>
    </row>
    <row r="843" spans="1:15" hidden="1" x14ac:dyDescent="0.3">
      <c r="A843" t="s">
        <v>911</v>
      </c>
      <c r="B843" s="2">
        <v>41613</v>
      </c>
      <c r="C843" s="3">
        <v>88576</v>
      </c>
      <c r="D843" s="4">
        <v>2585</v>
      </c>
      <c r="E843" s="4">
        <v>522</v>
      </c>
      <c r="F843">
        <f t="shared" si="130"/>
        <v>2013</v>
      </c>
      <c r="G843" t="str">
        <f t="shared" si="131"/>
        <v>December</v>
      </c>
      <c r="H843" t="str">
        <f t="shared" si="132"/>
        <v>Thursday</v>
      </c>
      <c r="I843">
        <f t="shared" si="133"/>
        <v>3.5077221820809248</v>
      </c>
      <c r="J843">
        <f t="shared" si="134"/>
        <v>29.183977601156069</v>
      </c>
      <c r="K843">
        <f t="shared" si="135"/>
        <v>5.8932442196531793</v>
      </c>
      <c r="L843">
        <f t="shared" si="136"/>
        <v>1.4382308963665337E-2</v>
      </c>
      <c r="M843">
        <f t="shared" si="137"/>
        <v>-0.17469078626934198</v>
      </c>
      <c r="N843">
        <f t="shared" si="138"/>
        <v>48</v>
      </c>
      <c r="O843" t="str">
        <f t="shared" si="139"/>
        <v>Other</v>
      </c>
    </row>
    <row r="844" spans="1:15" hidden="1" x14ac:dyDescent="0.3">
      <c r="A844" t="s">
        <v>815</v>
      </c>
      <c r="B844" s="2">
        <v>42066</v>
      </c>
      <c r="C844" s="3">
        <v>88277</v>
      </c>
      <c r="D844" s="4">
        <v>1480</v>
      </c>
      <c r="E844" s="4">
        <v>227</v>
      </c>
      <c r="F844">
        <f t="shared" si="130"/>
        <v>2015</v>
      </c>
      <c r="G844" t="str">
        <f t="shared" si="131"/>
        <v>March</v>
      </c>
      <c r="H844" t="str">
        <f t="shared" si="132"/>
        <v>Tuesday</v>
      </c>
      <c r="I844">
        <f t="shared" si="133"/>
        <v>1.9336860110787633</v>
      </c>
      <c r="J844">
        <f t="shared" si="134"/>
        <v>16.765408883401111</v>
      </c>
      <c r="K844">
        <f t="shared" si="135"/>
        <v>2.5714512273865222</v>
      </c>
      <c r="L844">
        <f t="shared" si="136"/>
        <v>4.0240309454491509E-3</v>
      </c>
      <c r="M844">
        <f t="shared" si="137"/>
        <v>-0.18593032921048552</v>
      </c>
      <c r="N844">
        <f t="shared" si="138"/>
        <v>40</v>
      </c>
      <c r="O844" t="str">
        <f t="shared" si="139"/>
        <v>Other</v>
      </c>
    </row>
    <row r="845" spans="1:15" hidden="1" x14ac:dyDescent="0.3">
      <c r="A845" t="s">
        <v>876</v>
      </c>
      <c r="B845" s="2">
        <v>41728</v>
      </c>
      <c r="C845" s="3">
        <v>87927</v>
      </c>
      <c r="D845" s="4">
        <v>1762</v>
      </c>
      <c r="E845" s="4">
        <v>399</v>
      </c>
      <c r="F845">
        <f t="shared" si="130"/>
        <v>2014</v>
      </c>
      <c r="G845" t="str">
        <f t="shared" si="131"/>
        <v>March</v>
      </c>
      <c r="H845" t="str">
        <f t="shared" si="132"/>
        <v>Sunday</v>
      </c>
      <c r="I845">
        <f t="shared" si="133"/>
        <v>2.4577206091416741</v>
      </c>
      <c r="J845">
        <f t="shared" si="134"/>
        <v>20.039350825116287</v>
      </c>
      <c r="K845">
        <f t="shared" si="135"/>
        <v>4.5378552663004532</v>
      </c>
      <c r="L845">
        <f t="shared" si="136"/>
        <v>1.4332741646735236E-2</v>
      </c>
      <c r="M845">
        <f t="shared" si="137"/>
        <v>-0.18022487044632202</v>
      </c>
      <c r="N845">
        <f t="shared" si="138"/>
        <v>47</v>
      </c>
      <c r="O845" t="str">
        <f t="shared" si="139"/>
        <v>Other</v>
      </c>
    </row>
    <row r="846" spans="1:15" hidden="1" x14ac:dyDescent="0.3">
      <c r="A846" t="s">
        <v>798</v>
      </c>
      <c r="B846" s="2">
        <v>42119</v>
      </c>
      <c r="C846" s="3">
        <v>87820</v>
      </c>
      <c r="D846" s="4">
        <v>1759</v>
      </c>
      <c r="E846" s="4">
        <v>234</v>
      </c>
      <c r="F846">
        <f t="shared" si="130"/>
        <v>2015</v>
      </c>
      <c r="G846" t="str">
        <f t="shared" si="131"/>
        <v>April</v>
      </c>
      <c r="H846" t="str">
        <f t="shared" si="132"/>
        <v>Saturday</v>
      </c>
      <c r="I846">
        <f t="shared" si="133"/>
        <v>2.2694147119107262</v>
      </c>
      <c r="J846">
        <f t="shared" si="134"/>
        <v>20.029606012297883</v>
      </c>
      <c r="K846">
        <f t="shared" si="135"/>
        <v>2.6645411068093829</v>
      </c>
      <c r="L846">
        <f t="shared" si="136"/>
        <v>1.9612468983813667E-2</v>
      </c>
      <c r="M846">
        <f t="shared" si="137"/>
        <v>-0.18443765569295195</v>
      </c>
      <c r="N846">
        <f t="shared" si="138"/>
        <v>22</v>
      </c>
      <c r="O846" t="str">
        <f t="shared" si="139"/>
        <v>Other</v>
      </c>
    </row>
    <row r="847" spans="1:15" hidden="1" x14ac:dyDescent="0.3">
      <c r="A847" t="s">
        <v>771</v>
      </c>
      <c r="B847" s="2">
        <v>42162</v>
      </c>
      <c r="C847" s="3">
        <v>87068</v>
      </c>
      <c r="D847" s="4">
        <v>1642</v>
      </c>
      <c r="E847" s="4">
        <v>191</v>
      </c>
      <c r="F847">
        <f t="shared" si="130"/>
        <v>2015</v>
      </c>
      <c r="G847" t="str">
        <f t="shared" si="131"/>
        <v>June</v>
      </c>
      <c r="H847" t="str">
        <f t="shared" si="132"/>
        <v>Sunday</v>
      </c>
      <c r="I847">
        <f t="shared" si="133"/>
        <v>2.1052510681306567</v>
      </c>
      <c r="J847">
        <f t="shared" si="134"/>
        <v>18.858822988928193</v>
      </c>
      <c r="K847">
        <f t="shared" si="135"/>
        <v>2.1936876923783708</v>
      </c>
      <c r="L847">
        <f t="shared" si="136"/>
        <v>2.5261804638787782E-2</v>
      </c>
      <c r="M847">
        <f t="shared" si="137"/>
        <v>-0.17896836944119654</v>
      </c>
      <c r="N847">
        <f t="shared" si="138"/>
        <v>59</v>
      </c>
      <c r="O847" t="str">
        <f t="shared" si="139"/>
        <v>Other</v>
      </c>
    </row>
    <row r="848" spans="1:15" hidden="1" x14ac:dyDescent="0.3">
      <c r="A848" t="s">
        <v>846</v>
      </c>
      <c r="B848" s="2">
        <v>41828</v>
      </c>
      <c r="C848" s="3">
        <v>86689</v>
      </c>
      <c r="D848" s="4">
        <v>2448</v>
      </c>
      <c r="E848" s="4">
        <v>632</v>
      </c>
      <c r="F848">
        <f t="shared" si="130"/>
        <v>2014</v>
      </c>
      <c r="G848" t="str">
        <f t="shared" si="131"/>
        <v>July</v>
      </c>
      <c r="H848" t="str">
        <f t="shared" si="132"/>
        <v>Tuesday</v>
      </c>
      <c r="I848">
        <f t="shared" si="133"/>
        <v>3.5529305909630979</v>
      </c>
      <c r="J848">
        <f t="shared" si="134"/>
        <v>28.23887690479761</v>
      </c>
      <c r="K848">
        <f t="shared" si="135"/>
        <v>7.2904290048333698</v>
      </c>
      <c r="L848">
        <f t="shared" si="136"/>
        <v>3.3324201419984469E-2</v>
      </c>
      <c r="M848">
        <f t="shared" si="137"/>
        <v>-0.17077500211292118</v>
      </c>
      <c r="N848">
        <f t="shared" si="138"/>
        <v>13</v>
      </c>
      <c r="O848" t="str">
        <f t="shared" si="139"/>
        <v>Other</v>
      </c>
    </row>
    <row r="849" spans="1:15" hidden="1" x14ac:dyDescent="0.3">
      <c r="A849" t="s">
        <v>907</v>
      </c>
      <c r="B849" s="2">
        <v>41625</v>
      </c>
      <c r="C849" s="3">
        <v>85899</v>
      </c>
      <c r="D849" s="4">
        <v>2128</v>
      </c>
      <c r="E849" s="4">
        <v>313</v>
      </c>
      <c r="F849">
        <f t="shared" si="130"/>
        <v>2013</v>
      </c>
      <c r="G849" t="str">
        <f t="shared" si="131"/>
        <v>December</v>
      </c>
      <c r="H849" t="str">
        <f t="shared" si="132"/>
        <v>Tuesday</v>
      </c>
      <c r="I849">
        <f t="shared" si="133"/>
        <v>2.8417094494697261</v>
      </c>
      <c r="J849">
        <f t="shared" si="134"/>
        <v>24.773280247732803</v>
      </c>
      <c r="K849">
        <f t="shared" si="135"/>
        <v>3.6438142469644585</v>
      </c>
      <c r="L849">
        <f t="shared" si="136"/>
        <v>2.5743370602677586E-2</v>
      </c>
      <c r="M849">
        <f t="shared" si="137"/>
        <v>-0.18959297015941162</v>
      </c>
      <c r="N849">
        <f t="shared" si="138"/>
        <v>50</v>
      </c>
      <c r="O849" t="str">
        <f t="shared" si="139"/>
        <v>Other</v>
      </c>
    </row>
    <row r="850" spans="1:15" hidden="1" x14ac:dyDescent="0.3">
      <c r="A850" t="s">
        <v>837</v>
      </c>
      <c r="B850" s="2">
        <v>41872</v>
      </c>
      <c r="C850" s="3">
        <v>85543</v>
      </c>
      <c r="D850" s="4">
        <v>1391</v>
      </c>
      <c r="E850" s="4">
        <v>195</v>
      </c>
      <c r="F850">
        <f t="shared" si="130"/>
        <v>2014</v>
      </c>
      <c r="G850" t="str">
        <f t="shared" si="131"/>
        <v>August</v>
      </c>
      <c r="H850" t="str">
        <f t="shared" si="132"/>
        <v>Thursday</v>
      </c>
      <c r="I850">
        <f t="shared" si="133"/>
        <v>1.8540383199092854</v>
      </c>
      <c r="J850">
        <f t="shared" si="134"/>
        <v>16.260827887728979</v>
      </c>
      <c r="K850">
        <f t="shared" si="135"/>
        <v>2.2795553113638758</v>
      </c>
      <c r="L850">
        <f t="shared" si="136"/>
        <v>2.4257568251916228E-2</v>
      </c>
      <c r="M850">
        <f t="shared" si="137"/>
        <v>-0.18884408258407911</v>
      </c>
      <c r="N850">
        <f t="shared" si="138"/>
        <v>44</v>
      </c>
      <c r="O850" t="str">
        <f t="shared" si="139"/>
        <v>Other</v>
      </c>
    </row>
    <row r="851" spans="1:15" hidden="1" x14ac:dyDescent="0.3">
      <c r="A851" t="s">
        <v>790</v>
      </c>
      <c r="B851" s="2">
        <v>42131</v>
      </c>
      <c r="C851" s="3">
        <v>85475</v>
      </c>
      <c r="D851" s="4">
        <v>1757</v>
      </c>
      <c r="E851" s="4">
        <v>188</v>
      </c>
      <c r="F851">
        <f t="shared" si="130"/>
        <v>2015</v>
      </c>
      <c r="G851" t="str">
        <f t="shared" si="131"/>
        <v>May</v>
      </c>
      <c r="H851" t="str">
        <f t="shared" si="132"/>
        <v>Thursday</v>
      </c>
      <c r="I851">
        <f t="shared" si="133"/>
        <v>2.2755191576484353</v>
      </c>
      <c r="J851">
        <f t="shared" si="134"/>
        <v>20.555718046212345</v>
      </c>
      <c r="K851">
        <f t="shared" si="135"/>
        <v>2.1994735302720096</v>
      </c>
      <c r="L851">
        <f t="shared" si="136"/>
        <v>3.7304287286177774E-2</v>
      </c>
      <c r="M851">
        <f t="shared" si="137"/>
        <v>-0.18104759257393369</v>
      </c>
      <c r="N851">
        <f t="shared" si="138"/>
        <v>12</v>
      </c>
      <c r="O851" t="str">
        <f t="shared" si="139"/>
        <v>Other</v>
      </c>
    </row>
    <row r="852" spans="1:15" hidden="1" x14ac:dyDescent="0.3">
      <c r="A852" t="s">
        <v>904</v>
      </c>
      <c r="B852" s="2">
        <v>41632</v>
      </c>
      <c r="C852" s="3">
        <v>84890</v>
      </c>
      <c r="D852" s="4">
        <v>2116</v>
      </c>
      <c r="E852" s="4">
        <v>383</v>
      </c>
      <c r="F852">
        <f t="shared" si="130"/>
        <v>2013</v>
      </c>
      <c r="G852" t="str">
        <f t="shared" si="131"/>
        <v>December</v>
      </c>
      <c r="H852" t="str">
        <f t="shared" si="132"/>
        <v>Tuesday</v>
      </c>
      <c r="I852">
        <f t="shared" si="133"/>
        <v>2.9438096359995289</v>
      </c>
      <c r="J852">
        <f t="shared" si="134"/>
        <v>24.926375309223701</v>
      </c>
      <c r="K852">
        <f t="shared" si="135"/>
        <v>4.5117210507715866</v>
      </c>
      <c r="L852">
        <f t="shared" si="136"/>
        <v>4.3699876074124532E-2</v>
      </c>
      <c r="M852">
        <f t="shared" si="137"/>
        <v>-0.17240285938631988</v>
      </c>
      <c r="N852">
        <f t="shared" si="138"/>
        <v>40</v>
      </c>
      <c r="O852" t="str">
        <f t="shared" si="139"/>
        <v>Other</v>
      </c>
    </row>
    <row r="853" spans="1:15" hidden="1" x14ac:dyDescent="0.3">
      <c r="A853" t="s">
        <v>905</v>
      </c>
      <c r="B853" s="2">
        <v>41626</v>
      </c>
      <c r="C853" s="3">
        <v>84746</v>
      </c>
      <c r="D853" s="4">
        <v>2154</v>
      </c>
      <c r="E853" s="4">
        <v>379</v>
      </c>
      <c r="F853">
        <f t="shared" si="130"/>
        <v>2013</v>
      </c>
      <c r="G853" t="str">
        <f t="shared" si="131"/>
        <v>December</v>
      </c>
      <c r="H853" t="str">
        <f t="shared" si="132"/>
        <v>Wednesday</v>
      </c>
      <c r="I853">
        <f t="shared" si="133"/>
        <v>2.9889316309914333</v>
      </c>
      <c r="J853">
        <f t="shared" si="134"/>
        <v>25.417128832039271</v>
      </c>
      <c r="K853">
        <f t="shared" si="135"/>
        <v>4.4721874778750621</v>
      </c>
      <c r="L853">
        <f t="shared" si="136"/>
        <v>4.2990458672455004E-2</v>
      </c>
      <c r="M853">
        <f t="shared" si="137"/>
        <v>-0.17547923226936682</v>
      </c>
      <c r="N853">
        <f t="shared" si="138"/>
        <v>40</v>
      </c>
      <c r="O853" t="str">
        <f t="shared" si="139"/>
        <v>Other</v>
      </c>
    </row>
    <row r="854" spans="1:15" hidden="1" x14ac:dyDescent="0.3">
      <c r="A854" t="s">
        <v>906</v>
      </c>
      <c r="B854" s="2">
        <v>41626</v>
      </c>
      <c r="C854" s="3">
        <v>84501</v>
      </c>
      <c r="D854" s="4">
        <v>2160</v>
      </c>
      <c r="E854" s="4">
        <v>364</v>
      </c>
      <c r="F854">
        <f t="shared" si="130"/>
        <v>2013</v>
      </c>
      <c r="G854" t="str">
        <f t="shared" si="131"/>
        <v>December</v>
      </c>
      <c r="H854" t="str">
        <f t="shared" si="132"/>
        <v>Wednesday</v>
      </c>
      <c r="I854">
        <f t="shared" si="133"/>
        <v>2.9869469000366857</v>
      </c>
      <c r="J854">
        <f t="shared" si="134"/>
        <v>25.561827670678454</v>
      </c>
      <c r="K854">
        <f t="shared" si="135"/>
        <v>4.3076413296884057</v>
      </c>
      <c r="L854">
        <f t="shared" si="136"/>
        <v>4.1470816406782823E-2</v>
      </c>
      <c r="M854">
        <f t="shared" si="137"/>
        <v>-0.17855258886328534</v>
      </c>
      <c r="N854">
        <f t="shared" si="138"/>
        <v>31</v>
      </c>
      <c r="O854" t="str">
        <f t="shared" si="139"/>
        <v>Other</v>
      </c>
    </row>
    <row r="855" spans="1:15" hidden="1" x14ac:dyDescent="0.3">
      <c r="A855" t="s">
        <v>898</v>
      </c>
      <c r="B855" s="2">
        <v>41637</v>
      </c>
      <c r="C855" s="3">
        <v>84474</v>
      </c>
      <c r="D855" s="4">
        <v>2082</v>
      </c>
      <c r="E855" s="4">
        <v>335</v>
      </c>
      <c r="F855">
        <f t="shared" si="130"/>
        <v>2013</v>
      </c>
      <c r="G855" t="str">
        <f t="shared" si="131"/>
        <v>December</v>
      </c>
      <c r="H855" t="str">
        <f t="shared" si="132"/>
        <v>Sunday</v>
      </c>
      <c r="I855">
        <f t="shared" si="133"/>
        <v>2.8612354097118637</v>
      </c>
      <c r="J855">
        <f t="shared" si="134"/>
        <v>24.646636835002486</v>
      </c>
      <c r="K855">
        <f t="shared" si="135"/>
        <v>3.9657172621161538</v>
      </c>
      <c r="L855">
        <f t="shared" si="136"/>
        <v>3.9754711240794958E-2</v>
      </c>
      <c r="M855">
        <f t="shared" si="137"/>
        <v>-0.18086143386448336</v>
      </c>
      <c r="N855">
        <f t="shared" si="138"/>
        <v>39</v>
      </c>
      <c r="O855" t="str">
        <f t="shared" si="139"/>
        <v>Other</v>
      </c>
    </row>
    <row r="856" spans="1:15" hidden="1" x14ac:dyDescent="0.3">
      <c r="A856" t="s">
        <v>908</v>
      </c>
      <c r="B856" s="2">
        <v>41622</v>
      </c>
      <c r="C856" s="3">
        <v>83948</v>
      </c>
      <c r="D856" s="4">
        <v>2201</v>
      </c>
      <c r="E856" s="4">
        <v>335</v>
      </c>
      <c r="F856">
        <f t="shared" si="130"/>
        <v>2013</v>
      </c>
      <c r="G856" t="str">
        <f t="shared" si="131"/>
        <v>December</v>
      </c>
      <c r="H856" t="str">
        <f t="shared" si="132"/>
        <v>Saturday</v>
      </c>
      <c r="I856">
        <f t="shared" si="133"/>
        <v>3.0209177109639302</v>
      </c>
      <c r="J856">
        <f t="shared" si="134"/>
        <v>26.218611521418019</v>
      </c>
      <c r="K856">
        <f t="shared" si="135"/>
        <v>3.9905655882212794</v>
      </c>
      <c r="L856">
        <f t="shared" si="136"/>
        <v>3.9652154402044677E-2</v>
      </c>
      <c r="M856">
        <f t="shared" si="137"/>
        <v>-0.18150848651634305</v>
      </c>
      <c r="N856">
        <f t="shared" si="138"/>
        <v>46</v>
      </c>
      <c r="O856" t="str">
        <f t="shared" si="139"/>
        <v>Other</v>
      </c>
    </row>
    <row r="857" spans="1:15" hidden="1" x14ac:dyDescent="0.3">
      <c r="A857" t="s">
        <v>830</v>
      </c>
      <c r="B857" s="2">
        <v>41973</v>
      </c>
      <c r="C857" s="3">
        <v>83768</v>
      </c>
      <c r="D857" s="4">
        <v>1857</v>
      </c>
      <c r="E857" s="4">
        <v>290</v>
      </c>
      <c r="F857">
        <f t="shared" si="130"/>
        <v>2014</v>
      </c>
      <c r="G857" t="str">
        <f t="shared" si="131"/>
        <v>November</v>
      </c>
      <c r="H857" t="str">
        <f t="shared" si="132"/>
        <v>Sunday</v>
      </c>
      <c r="I857">
        <f t="shared" si="133"/>
        <v>2.5630312291089674</v>
      </c>
      <c r="J857">
        <f t="shared" si="134"/>
        <v>22.168369783210775</v>
      </c>
      <c r="K857">
        <f t="shared" si="135"/>
        <v>3.4619425078789039</v>
      </c>
      <c r="L857">
        <f t="shared" si="136"/>
        <v>3.6927942000170202E-2</v>
      </c>
      <c r="M857">
        <f t="shared" si="137"/>
        <v>-0.18215985294543605</v>
      </c>
      <c r="N857">
        <f t="shared" si="138"/>
        <v>35</v>
      </c>
      <c r="O857" t="str">
        <f t="shared" si="139"/>
        <v>Other</v>
      </c>
    </row>
    <row r="858" spans="1:15" hidden="1" x14ac:dyDescent="0.3">
      <c r="A858" t="s">
        <v>863</v>
      </c>
      <c r="B858" s="2">
        <v>41773</v>
      </c>
      <c r="C858" s="3">
        <v>83391</v>
      </c>
      <c r="D858" s="4">
        <v>1582</v>
      </c>
      <c r="E858" s="4">
        <v>244</v>
      </c>
      <c r="F858">
        <f t="shared" si="130"/>
        <v>2014</v>
      </c>
      <c r="G858" t="str">
        <f t="shared" si="131"/>
        <v>May</v>
      </c>
      <c r="H858" t="str">
        <f t="shared" si="132"/>
        <v>Wednesday</v>
      </c>
      <c r="I858">
        <f t="shared" si="133"/>
        <v>2.1896847381611924</v>
      </c>
      <c r="J858">
        <f t="shared" si="134"/>
        <v>18.970872156467724</v>
      </c>
      <c r="K858">
        <f t="shared" si="135"/>
        <v>2.9259752251441999</v>
      </c>
      <c r="L858">
        <f t="shared" si="136"/>
        <v>4.1816797851575438E-2</v>
      </c>
      <c r="M858">
        <f t="shared" si="137"/>
        <v>-0.17983427721269524</v>
      </c>
      <c r="N858">
        <f t="shared" si="138"/>
        <v>38</v>
      </c>
      <c r="O858" t="str">
        <f t="shared" si="139"/>
        <v>Other</v>
      </c>
    </row>
    <row r="859" spans="1:15" hidden="1" x14ac:dyDescent="0.3">
      <c r="A859" t="s">
        <v>612</v>
      </c>
      <c r="B859" s="2">
        <v>42387</v>
      </c>
      <c r="C859" s="3">
        <v>83358</v>
      </c>
      <c r="D859" s="4">
        <v>2460</v>
      </c>
      <c r="E859" s="4">
        <v>251</v>
      </c>
      <c r="F859">
        <f t="shared" si="130"/>
        <v>2016</v>
      </c>
      <c r="G859" t="str">
        <f t="shared" si="131"/>
        <v>January</v>
      </c>
      <c r="H859" t="str">
        <f t="shared" si="132"/>
        <v>Monday</v>
      </c>
      <c r="I859">
        <f t="shared" si="133"/>
        <v>3.252237337748026</v>
      </c>
      <c r="J859">
        <f t="shared" si="134"/>
        <v>29.511264665658963</v>
      </c>
      <c r="K859">
        <f t="shared" si="135"/>
        <v>3.0111087118213007</v>
      </c>
      <c r="L859">
        <f t="shared" si="136"/>
        <v>5.3327195434567355E-2</v>
      </c>
      <c r="M859">
        <f t="shared" si="137"/>
        <v>-0.17419908146953228</v>
      </c>
      <c r="N859">
        <f t="shared" si="138"/>
        <v>29</v>
      </c>
      <c r="O859" t="str">
        <f t="shared" si="139"/>
        <v>Other</v>
      </c>
    </row>
    <row r="860" spans="1:15" hidden="1" x14ac:dyDescent="0.3">
      <c r="A860" t="s">
        <v>824</v>
      </c>
      <c r="B860" s="2">
        <v>42043</v>
      </c>
      <c r="C860" s="3">
        <v>83270</v>
      </c>
      <c r="D860" s="4">
        <v>1745</v>
      </c>
      <c r="E860" s="4">
        <v>183</v>
      </c>
      <c r="F860">
        <f t="shared" si="130"/>
        <v>2015</v>
      </c>
      <c r="G860" t="str">
        <f t="shared" si="131"/>
        <v>February</v>
      </c>
      <c r="H860" t="str">
        <f t="shared" si="132"/>
        <v>Sunday</v>
      </c>
      <c r="I860">
        <f t="shared" si="133"/>
        <v>2.3153596733517476</v>
      </c>
      <c r="J860">
        <f t="shared" si="134"/>
        <v>20.955926504143147</v>
      </c>
      <c r="K860">
        <f t="shared" si="135"/>
        <v>2.1976702293743244</v>
      </c>
      <c r="L860">
        <f t="shared" si="136"/>
        <v>4.4868720838400433E-2</v>
      </c>
      <c r="M860">
        <f t="shared" si="137"/>
        <v>-0.16876831955810059</v>
      </c>
      <c r="N860">
        <f t="shared" si="138"/>
        <v>40</v>
      </c>
      <c r="O860" t="str">
        <f t="shared" si="139"/>
        <v>Other</v>
      </c>
    </row>
    <row r="861" spans="1:15" hidden="1" x14ac:dyDescent="0.3">
      <c r="A861" t="s">
        <v>620</v>
      </c>
      <c r="B861" s="2">
        <v>42368</v>
      </c>
      <c r="C861" s="3">
        <v>83002</v>
      </c>
      <c r="D861" s="4">
        <v>2739</v>
      </c>
      <c r="E861" s="4">
        <v>555</v>
      </c>
      <c r="F861">
        <f t="shared" si="130"/>
        <v>2015</v>
      </c>
      <c r="G861" t="str">
        <f t="shared" si="131"/>
        <v>December</v>
      </c>
      <c r="H861" t="str">
        <f t="shared" si="132"/>
        <v>Wednesday</v>
      </c>
      <c r="I861">
        <f t="shared" si="133"/>
        <v>3.9685790703838459</v>
      </c>
      <c r="J861">
        <f t="shared" si="134"/>
        <v>32.999204838437628</v>
      </c>
      <c r="K861">
        <f t="shared" si="135"/>
        <v>6.6865858654008337</v>
      </c>
      <c r="L861">
        <f t="shared" si="136"/>
        <v>5.3488196306837064E-2</v>
      </c>
      <c r="M861">
        <f t="shared" si="137"/>
        <v>-0.15791153603994421</v>
      </c>
      <c r="N861">
        <f t="shared" si="138"/>
        <v>20</v>
      </c>
      <c r="O861" t="str">
        <f t="shared" si="139"/>
        <v>Other</v>
      </c>
    </row>
    <row r="862" spans="1:15" hidden="1" x14ac:dyDescent="0.3">
      <c r="A862" t="s">
        <v>855</v>
      </c>
      <c r="B862" s="2">
        <v>41799</v>
      </c>
      <c r="C862" s="3">
        <v>82632</v>
      </c>
      <c r="D862" s="4">
        <v>2120</v>
      </c>
      <c r="E862" s="4">
        <v>229</v>
      </c>
      <c r="F862">
        <f t="shared" si="130"/>
        <v>2014</v>
      </c>
      <c r="G862" t="str">
        <f t="shared" si="131"/>
        <v>June</v>
      </c>
      <c r="H862" t="str">
        <f t="shared" si="132"/>
        <v>Monday</v>
      </c>
      <c r="I862">
        <f t="shared" si="133"/>
        <v>2.842724368283474</v>
      </c>
      <c r="J862">
        <f t="shared" si="134"/>
        <v>25.655920224610323</v>
      </c>
      <c r="K862">
        <f t="shared" si="135"/>
        <v>2.7713234582244168</v>
      </c>
      <c r="L862">
        <f t="shared" si="136"/>
        <v>3.742940448002318E-2</v>
      </c>
      <c r="M862">
        <f t="shared" si="137"/>
        <v>-0.17599569494738862</v>
      </c>
      <c r="N862">
        <f t="shared" si="138"/>
        <v>28</v>
      </c>
      <c r="O862" t="str">
        <f t="shared" si="139"/>
        <v>Other</v>
      </c>
    </row>
    <row r="863" spans="1:15" hidden="1" x14ac:dyDescent="0.3">
      <c r="A863" t="s">
        <v>618</v>
      </c>
      <c r="B863" s="2">
        <v>42374</v>
      </c>
      <c r="C863" s="3">
        <v>82632</v>
      </c>
      <c r="D863" s="4">
        <v>2270</v>
      </c>
      <c r="E863" s="4">
        <v>439</v>
      </c>
      <c r="F863">
        <f t="shared" si="130"/>
        <v>2016</v>
      </c>
      <c r="G863" t="str">
        <f t="shared" si="131"/>
        <v>January</v>
      </c>
      <c r="H863" t="str">
        <f t="shared" si="132"/>
        <v>Tuesday</v>
      </c>
      <c r="I863">
        <f t="shared" si="133"/>
        <v>3.2783909381353471</v>
      </c>
      <c r="J863">
        <f t="shared" si="134"/>
        <v>27.471197598993125</v>
      </c>
      <c r="K863">
        <f t="shared" si="135"/>
        <v>5.3127117823603447</v>
      </c>
      <c r="L863">
        <f t="shared" si="136"/>
        <v>3.6363474098635606E-2</v>
      </c>
      <c r="M863">
        <f t="shared" si="137"/>
        <v>-0.1687600993957209</v>
      </c>
      <c r="N863">
        <f t="shared" si="138"/>
        <v>41</v>
      </c>
      <c r="O863" t="str">
        <f t="shared" si="139"/>
        <v>Other</v>
      </c>
    </row>
    <row r="864" spans="1:15" hidden="1" x14ac:dyDescent="0.3">
      <c r="A864" t="s">
        <v>795</v>
      </c>
      <c r="B864" s="2">
        <v>42125</v>
      </c>
      <c r="C864" s="3">
        <v>82624</v>
      </c>
      <c r="D864" s="4">
        <v>2108</v>
      </c>
      <c r="E864" s="4">
        <v>246</v>
      </c>
      <c r="F864">
        <f t="shared" si="130"/>
        <v>2015</v>
      </c>
      <c r="G864" t="str">
        <f t="shared" si="131"/>
        <v>May</v>
      </c>
      <c r="H864" t="str">
        <f t="shared" si="132"/>
        <v>Friday</v>
      </c>
      <c r="I864">
        <f t="shared" si="133"/>
        <v>2.8490511231603408</v>
      </c>
      <c r="J864">
        <f t="shared" si="134"/>
        <v>25.513168086754455</v>
      </c>
      <c r="K864">
        <f t="shared" si="135"/>
        <v>2.9773431448489545</v>
      </c>
      <c r="L864">
        <f t="shared" si="136"/>
        <v>3.1101890737243794E-2</v>
      </c>
      <c r="M864">
        <f t="shared" si="137"/>
        <v>-0.17908958284040891</v>
      </c>
      <c r="N864">
        <f t="shared" si="138"/>
        <v>11</v>
      </c>
      <c r="O864" t="str">
        <f t="shared" si="139"/>
        <v>Other</v>
      </c>
    </row>
    <row r="865" spans="1:15" hidden="1" x14ac:dyDescent="0.3">
      <c r="A865" t="s">
        <v>631</v>
      </c>
      <c r="B865" s="2">
        <v>42341</v>
      </c>
      <c r="C865" s="3">
        <v>82546</v>
      </c>
      <c r="D865" s="4">
        <v>3582</v>
      </c>
      <c r="E865" s="4">
        <v>333</v>
      </c>
      <c r="F865">
        <f t="shared" si="130"/>
        <v>2015</v>
      </c>
      <c r="G865" t="str">
        <f t="shared" si="131"/>
        <v>December</v>
      </c>
      <c r="H865" t="str">
        <f t="shared" si="132"/>
        <v>Thursday</v>
      </c>
      <c r="I865">
        <f t="shared" si="133"/>
        <v>4.7428100695369855</v>
      </c>
      <c r="J865">
        <f t="shared" si="134"/>
        <v>43.39398638334989</v>
      </c>
      <c r="K865">
        <f t="shared" si="135"/>
        <v>4.0341143120199643</v>
      </c>
      <c r="L865">
        <f t="shared" si="136"/>
        <v>3.0047012812835824E-2</v>
      </c>
      <c r="M865">
        <f t="shared" si="137"/>
        <v>-0.17345812672714772</v>
      </c>
      <c r="N865">
        <f t="shared" si="138"/>
        <v>55</v>
      </c>
      <c r="O865" t="str">
        <f t="shared" si="139"/>
        <v>Other</v>
      </c>
    </row>
    <row r="866" spans="1:15" hidden="1" x14ac:dyDescent="0.3">
      <c r="A866" t="s">
        <v>639</v>
      </c>
      <c r="B866" s="2">
        <v>42326</v>
      </c>
      <c r="C866" s="3">
        <v>82066</v>
      </c>
      <c r="D866" s="4">
        <v>2560</v>
      </c>
      <c r="E866" s="4">
        <v>404</v>
      </c>
      <c r="F866">
        <f t="shared" si="130"/>
        <v>2015</v>
      </c>
      <c r="G866" t="str">
        <f t="shared" si="131"/>
        <v>November</v>
      </c>
      <c r="H866" t="str">
        <f t="shared" si="132"/>
        <v>Wednesday</v>
      </c>
      <c r="I866">
        <f t="shared" si="133"/>
        <v>3.6117271464431071</v>
      </c>
      <c r="J866">
        <f t="shared" si="134"/>
        <v>31.194404503692148</v>
      </c>
      <c r="K866">
        <f t="shared" si="135"/>
        <v>4.9228669607389177</v>
      </c>
      <c r="L866">
        <f t="shared" si="136"/>
        <v>-1.7198777304686788E-2</v>
      </c>
      <c r="M866">
        <f t="shared" si="137"/>
        <v>-0.17593950339118677</v>
      </c>
      <c r="N866">
        <f t="shared" si="138"/>
        <v>35</v>
      </c>
      <c r="O866" t="str">
        <f t="shared" si="139"/>
        <v>Other</v>
      </c>
    </row>
    <row r="867" spans="1:15" hidden="1" x14ac:dyDescent="0.3">
      <c r="A867" t="s">
        <v>805</v>
      </c>
      <c r="B867" s="2">
        <v>42101</v>
      </c>
      <c r="C867" s="3">
        <v>81159</v>
      </c>
      <c r="D867" s="4">
        <v>1225</v>
      </c>
      <c r="E867" s="4">
        <v>209</v>
      </c>
      <c r="F867">
        <f t="shared" si="130"/>
        <v>2015</v>
      </c>
      <c r="G867" t="str">
        <f t="shared" si="131"/>
        <v>April</v>
      </c>
      <c r="H867" t="str">
        <f t="shared" si="132"/>
        <v>Tuesday</v>
      </c>
      <c r="I867">
        <f t="shared" si="133"/>
        <v>1.7669020071711086</v>
      </c>
      <c r="J867">
        <f t="shared" si="134"/>
        <v>15.093828164467281</v>
      </c>
      <c r="K867">
        <f t="shared" si="135"/>
        <v>2.5751919072438052</v>
      </c>
      <c r="L867">
        <f t="shared" si="136"/>
        <v>-3.6503464099440566E-2</v>
      </c>
      <c r="M867">
        <f t="shared" si="137"/>
        <v>-0.18614719128068793</v>
      </c>
      <c r="N867">
        <f t="shared" si="138"/>
        <v>24</v>
      </c>
      <c r="O867" t="str">
        <f t="shared" si="139"/>
        <v>Other</v>
      </c>
    </row>
    <row r="868" spans="1:15" hidden="1" x14ac:dyDescent="0.3">
      <c r="A868" t="s">
        <v>686</v>
      </c>
      <c r="B868" s="2">
        <v>42237</v>
      </c>
      <c r="C868" s="3">
        <v>79798</v>
      </c>
      <c r="D868" s="4">
        <v>3274</v>
      </c>
      <c r="E868" s="4">
        <v>819</v>
      </c>
      <c r="F868">
        <f t="shared" si="130"/>
        <v>2015</v>
      </c>
      <c r="G868" t="str">
        <f t="shared" si="131"/>
        <v>August</v>
      </c>
      <c r="H868" t="str">
        <f t="shared" si="132"/>
        <v>Friday</v>
      </c>
      <c r="I868">
        <f t="shared" si="133"/>
        <v>5.1292012331136121</v>
      </c>
      <c r="J868">
        <f t="shared" si="134"/>
        <v>41.028597207950071</v>
      </c>
      <c r="K868">
        <f t="shared" si="135"/>
        <v>10.263415123186045</v>
      </c>
      <c r="L868">
        <f t="shared" si="136"/>
        <v>-1.3305717540108434E-2</v>
      </c>
      <c r="M868">
        <f t="shared" si="137"/>
        <v>-0.17747722762503162</v>
      </c>
      <c r="N868">
        <f t="shared" si="138"/>
        <v>55</v>
      </c>
      <c r="O868" t="str">
        <f t="shared" si="139"/>
        <v>Other</v>
      </c>
    </row>
    <row r="869" spans="1:15" hidden="1" x14ac:dyDescent="0.3">
      <c r="A869" t="s">
        <v>882</v>
      </c>
      <c r="B869" s="2">
        <v>41711</v>
      </c>
      <c r="C869" s="3">
        <v>79170</v>
      </c>
      <c r="D869" s="4">
        <v>2068</v>
      </c>
      <c r="E869" s="4">
        <v>374</v>
      </c>
      <c r="F869">
        <f t="shared" si="130"/>
        <v>2014</v>
      </c>
      <c r="G869" t="str">
        <f t="shared" si="131"/>
        <v>March</v>
      </c>
      <c r="H869" t="str">
        <f t="shared" si="132"/>
        <v>Thursday</v>
      </c>
      <c r="I869">
        <f t="shared" si="133"/>
        <v>3.0845017051913604</v>
      </c>
      <c r="J869">
        <f t="shared" si="134"/>
        <v>26.121005431350259</v>
      </c>
      <c r="K869">
        <f t="shared" si="135"/>
        <v>4.7240116205633447</v>
      </c>
      <c r="L869">
        <f t="shared" si="136"/>
        <v>-5.5014345007871043E-2</v>
      </c>
      <c r="M869">
        <f t="shared" si="137"/>
        <v>-0.22974962448850256</v>
      </c>
      <c r="N869">
        <f t="shared" si="138"/>
        <v>6</v>
      </c>
      <c r="O869" t="str">
        <f t="shared" si="139"/>
        <v>Other</v>
      </c>
    </row>
    <row r="870" spans="1:15" hidden="1" x14ac:dyDescent="0.3">
      <c r="A870" t="s">
        <v>759</v>
      </c>
      <c r="B870" s="2">
        <v>42177</v>
      </c>
      <c r="C870" s="3">
        <v>78519</v>
      </c>
      <c r="D870" s="4">
        <v>1756</v>
      </c>
      <c r="E870" s="4">
        <v>171</v>
      </c>
      <c r="F870">
        <f t="shared" si="130"/>
        <v>2015</v>
      </c>
      <c r="G870" t="str">
        <f t="shared" si="131"/>
        <v>June</v>
      </c>
      <c r="H870" t="str">
        <f t="shared" si="132"/>
        <v>Monday</v>
      </c>
      <c r="I870">
        <f t="shared" si="133"/>
        <v>2.4541830639717777</v>
      </c>
      <c r="J870">
        <f t="shared" si="134"/>
        <v>22.36401380557572</v>
      </c>
      <c r="K870">
        <f t="shared" si="135"/>
        <v>2.177816834142055</v>
      </c>
      <c r="L870">
        <f t="shared" si="136"/>
        <v>-6.0792187375798376E-2</v>
      </c>
      <c r="M870">
        <f t="shared" si="137"/>
        <v>-0.24023691297796845</v>
      </c>
      <c r="N870">
        <f t="shared" si="138"/>
        <v>36</v>
      </c>
      <c r="O870" t="str">
        <f t="shared" si="139"/>
        <v>Other</v>
      </c>
    </row>
    <row r="871" spans="1:15" hidden="1" x14ac:dyDescent="0.3">
      <c r="A871" t="s">
        <v>729</v>
      </c>
      <c r="B871" s="2">
        <v>42206</v>
      </c>
      <c r="C871" s="3">
        <v>77700</v>
      </c>
      <c r="D871" s="4">
        <v>1307</v>
      </c>
      <c r="E871" s="4">
        <v>171</v>
      </c>
      <c r="F871">
        <f t="shared" si="130"/>
        <v>2015</v>
      </c>
      <c r="G871" t="str">
        <f t="shared" si="131"/>
        <v>July</v>
      </c>
      <c r="H871" t="str">
        <f t="shared" si="132"/>
        <v>Tuesday</v>
      </c>
      <c r="I871">
        <f t="shared" si="133"/>
        <v>1.9021879021879022</v>
      </c>
      <c r="J871">
        <f t="shared" si="134"/>
        <v>16.82110682110682</v>
      </c>
      <c r="K871">
        <f t="shared" si="135"/>
        <v>2.2007722007722008</v>
      </c>
      <c r="L871">
        <f t="shared" si="136"/>
        <v>-5.6716137738770614E-2</v>
      </c>
      <c r="M871">
        <f t="shared" si="137"/>
        <v>-0.23129447681540977</v>
      </c>
      <c r="N871">
        <f t="shared" si="138"/>
        <v>41</v>
      </c>
      <c r="O871" t="str">
        <f t="shared" si="139"/>
        <v>Challenge</v>
      </c>
    </row>
    <row r="872" spans="1:15" hidden="1" x14ac:dyDescent="0.3">
      <c r="A872" t="s">
        <v>878</v>
      </c>
      <c r="B872" s="2">
        <v>41726</v>
      </c>
      <c r="C872" s="3">
        <v>77386</v>
      </c>
      <c r="D872" s="4">
        <v>1950</v>
      </c>
      <c r="E872" s="4">
        <v>240</v>
      </c>
      <c r="F872">
        <f t="shared" si="130"/>
        <v>2014</v>
      </c>
      <c r="G872" t="str">
        <f t="shared" si="131"/>
        <v>March</v>
      </c>
      <c r="H872" t="str">
        <f t="shared" si="132"/>
        <v>Friday</v>
      </c>
      <c r="I872">
        <f t="shared" si="133"/>
        <v>2.82996924508309</v>
      </c>
      <c r="J872">
        <f t="shared" si="134"/>
        <v>25.198356291835733</v>
      </c>
      <c r="K872">
        <f t="shared" si="135"/>
        <v>3.1013361589951671</v>
      </c>
      <c r="L872">
        <f t="shared" si="136"/>
        <v>-3.7405952002547059E-2</v>
      </c>
      <c r="M872">
        <f t="shared" si="137"/>
        <v>-0.22150011639236317</v>
      </c>
      <c r="N872">
        <f t="shared" si="138"/>
        <v>23</v>
      </c>
      <c r="O872" t="str">
        <f t="shared" si="139"/>
        <v>Other</v>
      </c>
    </row>
    <row r="873" spans="1:15" hidden="1" x14ac:dyDescent="0.3">
      <c r="A873" t="s">
        <v>851</v>
      </c>
      <c r="B873" s="2">
        <v>41808</v>
      </c>
      <c r="C873" s="3">
        <v>77096</v>
      </c>
      <c r="D873" s="4">
        <v>1529</v>
      </c>
      <c r="E873" s="4">
        <v>180</v>
      </c>
      <c r="F873">
        <f t="shared" si="130"/>
        <v>2014</v>
      </c>
      <c r="G873" t="str">
        <f t="shared" si="131"/>
        <v>June</v>
      </c>
      <c r="H873" t="str">
        <f t="shared" si="132"/>
        <v>Wednesday</v>
      </c>
      <c r="I873">
        <f t="shared" si="133"/>
        <v>2.2167168205873198</v>
      </c>
      <c r="J873">
        <f t="shared" si="134"/>
        <v>19.832416727197259</v>
      </c>
      <c r="K873">
        <f t="shared" si="135"/>
        <v>2.3347514786759365</v>
      </c>
      <c r="L873">
        <f t="shared" si="136"/>
        <v>-3.8174041104283726E-2</v>
      </c>
      <c r="M873">
        <f t="shared" si="137"/>
        <v>-0.2181940087208212</v>
      </c>
      <c r="N873">
        <f t="shared" si="138"/>
        <v>39</v>
      </c>
      <c r="O873" t="str">
        <f t="shared" si="139"/>
        <v>Other</v>
      </c>
    </row>
    <row r="874" spans="1:15" hidden="1" x14ac:dyDescent="0.3">
      <c r="A874" t="s">
        <v>609</v>
      </c>
      <c r="B874" s="2">
        <v>42392</v>
      </c>
      <c r="C874" s="3">
        <v>76890</v>
      </c>
      <c r="D874" s="4">
        <v>2956</v>
      </c>
      <c r="E874" s="4">
        <v>282</v>
      </c>
      <c r="F874">
        <f t="shared" si="130"/>
        <v>2016</v>
      </c>
      <c r="G874" t="str">
        <f t="shared" si="131"/>
        <v>January</v>
      </c>
      <c r="H874" t="str">
        <f t="shared" si="132"/>
        <v>Saturday</v>
      </c>
      <c r="I874">
        <f t="shared" si="133"/>
        <v>4.2112108206528811</v>
      </c>
      <c r="J874">
        <f t="shared" si="134"/>
        <v>38.444531148393807</v>
      </c>
      <c r="K874">
        <f t="shared" si="135"/>
        <v>3.6675770581349982</v>
      </c>
      <c r="L874">
        <f t="shared" si="136"/>
        <v>-2.3590242859508885E-2</v>
      </c>
      <c r="M874">
        <f t="shared" si="137"/>
        <v>-0.20838932431972204</v>
      </c>
      <c r="N874">
        <f t="shared" si="138"/>
        <v>49</v>
      </c>
      <c r="O874" t="str">
        <f t="shared" si="139"/>
        <v>Other</v>
      </c>
    </row>
    <row r="875" spans="1:15" hidden="1" x14ac:dyDescent="0.3">
      <c r="A875" t="s">
        <v>601</v>
      </c>
      <c r="B875" s="2">
        <v>42420</v>
      </c>
      <c r="C875" s="3">
        <v>75336</v>
      </c>
      <c r="D875" s="4">
        <v>2081</v>
      </c>
      <c r="E875" s="4">
        <v>160</v>
      </c>
      <c r="F875">
        <f t="shared" si="130"/>
        <v>2016</v>
      </c>
      <c r="G875" t="str">
        <f t="shared" si="131"/>
        <v>February</v>
      </c>
      <c r="H875" t="str">
        <f t="shared" si="132"/>
        <v>Saturday</v>
      </c>
      <c r="I875">
        <f t="shared" si="133"/>
        <v>2.9746734628862694</v>
      </c>
      <c r="J875">
        <f t="shared" si="134"/>
        <v>27.622916002973344</v>
      </c>
      <c r="K875">
        <f t="shared" si="135"/>
        <v>2.1238186258893492</v>
      </c>
      <c r="L875">
        <f t="shared" si="136"/>
        <v>-6.3945767082703414E-2</v>
      </c>
      <c r="M875">
        <f t="shared" si="137"/>
        <v>-0.21030113307440498</v>
      </c>
      <c r="N875">
        <f t="shared" si="138"/>
        <v>41</v>
      </c>
      <c r="O875" t="str">
        <f t="shared" si="139"/>
        <v>Other</v>
      </c>
    </row>
    <row r="876" spans="1:15" hidden="1" x14ac:dyDescent="0.3">
      <c r="A876" t="s">
        <v>589</v>
      </c>
      <c r="B876" s="2">
        <v>42463</v>
      </c>
      <c r="C876" s="3">
        <v>75113</v>
      </c>
      <c r="D876" s="4">
        <v>1937</v>
      </c>
      <c r="E876" s="4">
        <v>248</v>
      </c>
      <c r="F876">
        <f t="shared" si="130"/>
        <v>2016</v>
      </c>
      <c r="G876" t="str">
        <f t="shared" si="131"/>
        <v>April</v>
      </c>
      <c r="H876" t="str">
        <f t="shared" si="132"/>
        <v>Sunday</v>
      </c>
      <c r="I876">
        <f t="shared" si="133"/>
        <v>2.9089505145580659</v>
      </c>
      <c r="J876">
        <f t="shared" si="134"/>
        <v>25.787813028370586</v>
      </c>
      <c r="K876">
        <f t="shared" si="135"/>
        <v>3.3016921172100702</v>
      </c>
      <c r="L876">
        <f t="shared" si="136"/>
        <v>-7.2023441734335988E-2</v>
      </c>
      <c r="M876">
        <f t="shared" si="137"/>
        <v>-0.19718237630279661</v>
      </c>
      <c r="N876">
        <f t="shared" si="138"/>
        <v>41</v>
      </c>
      <c r="O876" t="str">
        <f t="shared" si="139"/>
        <v>Money</v>
      </c>
    </row>
    <row r="877" spans="1:15" hidden="1" x14ac:dyDescent="0.3">
      <c r="A877" t="s">
        <v>694</v>
      </c>
      <c r="B877" s="2">
        <v>42231</v>
      </c>
      <c r="C877" s="3">
        <v>74004</v>
      </c>
      <c r="D877" s="4">
        <v>2039</v>
      </c>
      <c r="E877" s="4">
        <v>162</v>
      </c>
      <c r="F877">
        <f t="shared" si="130"/>
        <v>2015</v>
      </c>
      <c r="G877" t="str">
        <f t="shared" si="131"/>
        <v>August</v>
      </c>
      <c r="H877" t="str">
        <f t="shared" si="132"/>
        <v>Saturday</v>
      </c>
      <c r="I877">
        <f t="shared" si="133"/>
        <v>2.9741635587265556</v>
      </c>
      <c r="J877">
        <f t="shared" si="134"/>
        <v>27.552564726231015</v>
      </c>
      <c r="K877">
        <f t="shared" si="135"/>
        <v>2.1890708610345389</v>
      </c>
      <c r="L877">
        <f t="shared" si="136"/>
        <v>-7.602282159521917E-2</v>
      </c>
      <c r="M877">
        <f t="shared" si="137"/>
        <v>-0.19338554974305536</v>
      </c>
      <c r="N877">
        <f t="shared" si="138"/>
        <v>20</v>
      </c>
      <c r="O877" t="str">
        <f t="shared" si="139"/>
        <v>Other</v>
      </c>
    </row>
    <row r="878" spans="1:15" hidden="1" x14ac:dyDescent="0.3">
      <c r="A878" t="s">
        <v>666</v>
      </c>
      <c r="B878" s="2">
        <v>42265</v>
      </c>
      <c r="C878" s="3">
        <v>72892</v>
      </c>
      <c r="D878" s="4">
        <v>2267</v>
      </c>
      <c r="E878" s="4">
        <v>282</v>
      </c>
      <c r="F878">
        <f t="shared" si="130"/>
        <v>2015</v>
      </c>
      <c r="G878" t="str">
        <f t="shared" si="131"/>
        <v>September</v>
      </c>
      <c r="H878" t="str">
        <f t="shared" si="132"/>
        <v>Friday</v>
      </c>
      <c r="I878">
        <f t="shared" si="133"/>
        <v>3.4969543982878779</v>
      </c>
      <c r="J878">
        <f t="shared" si="134"/>
        <v>31.100806672885913</v>
      </c>
      <c r="K878">
        <f t="shared" si="135"/>
        <v>3.8687373099928664</v>
      </c>
      <c r="L878">
        <f t="shared" si="136"/>
        <v>-8.3862152812187618E-2</v>
      </c>
      <c r="M878">
        <f t="shared" si="137"/>
        <v>-0.17853669244956108</v>
      </c>
      <c r="N878">
        <f t="shared" si="138"/>
        <v>50</v>
      </c>
      <c r="O878" t="str">
        <f t="shared" si="139"/>
        <v>Other</v>
      </c>
    </row>
    <row r="879" spans="1:15" hidden="1" x14ac:dyDescent="0.3">
      <c r="A879" t="s">
        <v>810</v>
      </c>
      <c r="B879" s="2">
        <v>42095</v>
      </c>
      <c r="C879" s="3">
        <v>72158</v>
      </c>
      <c r="D879" s="4">
        <v>1842</v>
      </c>
      <c r="E879" s="4">
        <v>226</v>
      </c>
      <c r="F879">
        <f t="shared" si="130"/>
        <v>2015</v>
      </c>
      <c r="G879" t="str">
        <f t="shared" si="131"/>
        <v>April</v>
      </c>
      <c r="H879" t="str">
        <f t="shared" si="132"/>
        <v>Wednesday</v>
      </c>
      <c r="I879">
        <f t="shared" si="133"/>
        <v>2.865933091271931</v>
      </c>
      <c r="J879">
        <f t="shared" si="134"/>
        <v>25.527315058621358</v>
      </c>
      <c r="K879">
        <f t="shared" si="135"/>
        <v>3.1320158540979519</v>
      </c>
      <c r="L879">
        <f t="shared" si="136"/>
        <v>-9.9608286182296016E-2</v>
      </c>
      <c r="M879">
        <f t="shared" si="137"/>
        <v>-0.17548707610507852</v>
      </c>
      <c r="N879">
        <f t="shared" si="138"/>
        <v>25</v>
      </c>
      <c r="O879" t="str">
        <f t="shared" si="139"/>
        <v>Other</v>
      </c>
    </row>
    <row r="880" spans="1:15" hidden="1" x14ac:dyDescent="0.3">
      <c r="A880" t="s">
        <v>646</v>
      </c>
      <c r="B880" s="2">
        <v>42302</v>
      </c>
      <c r="C880" s="3">
        <v>71499</v>
      </c>
      <c r="D880" s="4">
        <v>1789</v>
      </c>
      <c r="E880" s="4">
        <v>222</v>
      </c>
      <c r="F880">
        <f t="shared" si="130"/>
        <v>2015</v>
      </c>
      <c r="G880" t="str">
        <f t="shared" si="131"/>
        <v>October</v>
      </c>
      <c r="H880" t="str">
        <f t="shared" si="132"/>
        <v>Sunday</v>
      </c>
      <c r="I880">
        <f t="shared" si="133"/>
        <v>2.8126267500244757</v>
      </c>
      <c r="J880">
        <f t="shared" si="134"/>
        <v>25.021328969635938</v>
      </c>
      <c r="K880">
        <f t="shared" si="135"/>
        <v>3.1049385306088197</v>
      </c>
      <c r="L880">
        <f t="shared" si="136"/>
        <v>-0.10101028420792772</v>
      </c>
      <c r="M880">
        <f t="shared" si="137"/>
        <v>-0.16583414966617441</v>
      </c>
      <c r="N880">
        <f t="shared" si="138"/>
        <v>57</v>
      </c>
      <c r="O880" t="str">
        <f t="shared" si="139"/>
        <v>Other</v>
      </c>
    </row>
    <row r="881" spans="1:15" hidden="1" x14ac:dyDescent="0.3">
      <c r="A881" t="s">
        <v>902</v>
      </c>
      <c r="B881" s="2">
        <v>41637</v>
      </c>
      <c r="C881" s="3">
        <v>71314</v>
      </c>
      <c r="D881" s="4">
        <v>2160</v>
      </c>
      <c r="E881" s="4">
        <v>460</v>
      </c>
      <c r="F881">
        <f t="shared" si="130"/>
        <v>2013</v>
      </c>
      <c r="G881" t="str">
        <f t="shared" si="131"/>
        <v>December</v>
      </c>
      <c r="H881" t="str">
        <f t="shared" si="132"/>
        <v>Sunday</v>
      </c>
      <c r="I881">
        <f t="shared" si="133"/>
        <v>3.6738929242504978</v>
      </c>
      <c r="J881">
        <f t="shared" si="134"/>
        <v>30.288582886950671</v>
      </c>
      <c r="K881">
        <f t="shared" si="135"/>
        <v>6.4503463555543092</v>
      </c>
      <c r="L881">
        <f t="shared" si="136"/>
        <v>-0.10040484483408497</v>
      </c>
      <c r="M881">
        <f t="shared" si="137"/>
        <v>-0.15490062899717463</v>
      </c>
      <c r="N881">
        <f t="shared" si="138"/>
        <v>44</v>
      </c>
      <c r="O881" t="str">
        <f t="shared" si="139"/>
        <v>Other</v>
      </c>
    </row>
    <row r="882" spans="1:15" hidden="1" x14ac:dyDescent="0.3">
      <c r="A882" t="s">
        <v>791</v>
      </c>
      <c r="B882" s="2">
        <v>42131</v>
      </c>
      <c r="C882" s="3">
        <v>71297</v>
      </c>
      <c r="D882" s="4">
        <v>1800</v>
      </c>
      <c r="E882" s="4">
        <v>219</v>
      </c>
      <c r="F882">
        <f t="shared" si="130"/>
        <v>2015</v>
      </c>
      <c r="G882" t="str">
        <f t="shared" si="131"/>
        <v>May</v>
      </c>
      <c r="H882" t="str">
        <f t="shared" si="132"/>
        <v>Thursday</v>
      </c>
      <c r="I882">
        <f t="shared" si="133"/>
        <v>2.8318162054504397</v>
      </c>
      <c r="J882">
        <f t="shared" si="134"/>
        <v>25.246504060479403</v>
      </c>
      <c r="K882">
        <f t="shared" si="135"/>
        <v>3.071657994024994</v>
      </c>
      <c r="L882">
        <f t="shared" si="136"/>
        <v>-0.11281227200581384</v>
      </c>
      <c r="M882">
        <f t="shared" si="137"/>
        <v>-0.16862623340884667</v>
      </c>
      <c r="N882">
        <f t="shared" si="138"/>
        <v>25</v>
      </c>
      <c r="O882" t="str">
        <f t="shared" si="139"/>
        <v>Other</v>
      </c>
    </row>
    <row r="883" spans="1:15" hidden="1" x14ac:dyDescent="0.3">
      <c r="A883" t="s">
        <v>748</v>
      </c>
      <c r="B883" s="2">
        <v>42188</v>
      </c>
      <c r="C883" s="3">
        <v>70919</v>
      </c>
      <c r="D883" s="4">
        <v>1231</v>
      </c>
      <c r="E883" s="4">
        <v>181</v>
      </c>
      <c r="F883">
        <f t="shared" si="130"/>
        <v>2015</v>
      </c>
      <c r="G883" t="str">
        <f t="shared" si="131"/>
        <v>July</v>
      </c>
      <c r="H883" t="str">
        <f t="shared" si="132"/>
        <v>Friday</v>
      </c>
      <c r="I883">
        <f t="shared" si="133"/>
        <v>1.9910038212608752</v>
      </c>
      <c r="J883">
        <f t="shared" si="134"/>
        <v>17.357830764675192</v>
      </c>
      <c r="K883">
        <f t="shared" si="135"/>
        <v>2.5522074479335584</v>
      </c>
      <c r="L883">
        <f t="shared" si="136"/>
        <v>-0.11434265403417936</v>
      </c>
      <c r="M883">
        <f t="shared" si="137"/>
        <v>-0.15729582183493793</v>
      </c>
      <c r="N883">
        <f t="shared" si="138"/>
        <v>40</v>
      </c>
      <c r="O883" t="str">
        <f t="shared" si="139"/>
        <v>Other</v>
      </c>
    </row>
    <row r="884" spans="1:15" hidden="1" x14ac:dyDescent="0.3">
      <c r="A884" t="s">
        <v>880</v>
      </c>
      <c r="B884" s="2">
        <v>41724</v>
      </c>
      <c r="C884" s="3">
        <v>70675</v>
      </c>
      <c r="D884" s="4">
        <v>1868</v>
      </c>
      <c r="E884" s="4">
        <v>255</v>
      </c>
      <c r="F884">
        <f t="shared" si="130"/>
        <v>2014</v>
      </c>
      <c r="G884" t="str">
        <f t="shared" si="131"/>
        <v>March</v>
      </c>
      <c r="H884" t="str">
        <f t="shared" si="132"/>
        <v>Wednesday</v>
      </c>
      <c r="I884">
        <f t="shared" si="133"/>
        <v>3.0038910505836576</v>
      </c>
      <c r="J884">
        <f t="shared" si="134"/>
        <v>26.430845419172268</v>
      </c>
      <c r="K884">
        <f t="shared" si="135"/>
        <v>3.6080650866643085</v>
      </c>
      <c r="L884">
        <f t="shared" si="136"/>
        <v>-9.4436247464746131E-2</v>
      </c>
      <c r="M884">
        <f t="shared" si="137"/>
        <v>-0.14023621998547361</v>
      </c>
      <c r="N884">
        <f t="shared" si="138"/>
        <v>41</v>
      </c>
      <c r="O884" t="str">
        <f t="shared" si="139"/>
        <v>Other</v>
      </c>
    </row>
    <row r="885" spans="1:15" hidden="1" x14ac:dyDescent="0.3">
      <c r="A885" t="s">
        <v>778</v>
      </c>
      <c r="B885" s="2">
        <v>42152</v>
      </c>
      <c r="C885" s="3">
        <v>70565</v>
      </c>
      <c r="D885" s="4">
        <v>1296</v>
      </c>
      <c r="E885" s="4">
        <v>265</v>
      </c>
      <c r="F885">
        <f t="shared" si="130"/>
        <v>2015</v>
      </c>
      <c r="G885" t="str">
        <f t="shared" si="131"/>
        <v>May</v>
      </c>
      <c r="H885" t="str">
        <f t="shared" si="132"/>
        <v>Thursday</v>
      </c>
      <c r="I885">
        <f t="shared" si="133"/>
        <v>2.212144831006873</v>
      </c>
      <c r="J885">
        <f t="shared" si="134"/>
        <v>18.366045489973786</v>
      </c>
      <c r="K885">
        <f t="shared" si="135"/>
        <v>3.7554028200949476</v>
      </c>
      <c r="L885">
        <f t="shared" si="136"/>
        <v>-9.7389929698375483E-2</v>
      </c>
      <c r="M885">
        <f t="shared" si="137"/>
        <v>-0.1302320571228861</v>
      </c>
      <c r="N885">
        <f t="shared" si="138"/>
        <v>23</v>
      </c>
      <c r="O885" t="str">
        <f t="shared" si="139"/>
        <v>Other</v>
      </c>
    </row>
    <row r="886" spans="1:15" hidden="1" x14ac:dyDescent="0.3">
      <c r="A886" t="s">
        <v>812</v>
      </c>
      <c r="B886" s="2">
        <v>42069</v>
      </c>
      <c r="C886" s="3">
        <v>70238</v>
      </c>
      <c r="D886" s="4">
        <v>1579</v>
      </c>
      <c r="E886" s="4">
        <v>177</v>
      </c>
      <c r="F886">
        <f t="shared" si="130"/>
        <v>2015</v>
      </c>
      <c r="G886" t="str">
        <f t="shared" si="131"/>
        <v>March</v>
      </c>
      <c r="H886" t="str">
        <f t="shared" si="132"/>
        <v>Friday</v>
      </c>
      <c r="I886">
        <f t="shared" si="133"/>
        <v>2.5000711865372023</v>
      </c>
      <c r="J886">
        <f t="shared" si="134"/>
        <v>22.480708448418234</v>
      </c>
      <c r="K886">
        <f t="shared" si="135"/>
        <v>2.5200034169537857</v>
      </c>
      <c r="L886">
        <f t="shared" si="136"/>
        <v>-7.6446772360694734E-2</v>
      </c>
      <c r="M886">
        <f t="shared" si="137"/>
        <v>-0.12047289302011222</v>
      </c>
      <c r="N886">
        <f t="shared" si="138"/>
        <v>30</v>
      </c>
      <c r="O886" t="str">
        <f t="shared" si="139"/>
        <v>Other</v>
      </c>
    </row>
    <row r="887" spans="1:15" hidden="1" x14ac:dyDescent="0.3">
      <c r="A887" t="s">
        <v>734</v>
      </c>
      <c r="B887" s="2">
        <v>42201</v>
      </c>
      <c r="C887" s="3">
        <v>69465</v>
      </c>
      <c r="D887" s="4">
        <v>1612</v>
      </c>
      <c r="E887" s="4">
        <v>205</v>
      </c>
      <c r="F887">
        <f t="shared" si="130"/>
        <v>2015</v>
      </c>
      <c r="G887" t="str">
        <f t="shared" si="131"/>
        <v>July</v>
      </c>
      <c r="H887" t="str">
        <f t="shared" si="132"/>
        <v>Thursday</v>
      </c>
      <c r="I887">
        <f t="shared" si="133"/>
        <v>2.6157057510976753</v>
      </c>
      <c r="J887">
        <f t="shared" si="134"/>
        <v>23.205931044410857</v>
      </c>
      <c r="K887">
        <f t="shared" si="135"/>
        <v>2.9511264665658965</v>
      </c>
      <c r="L887">
        <f t="shared" si="136"/>
        <v>-6.5151825035850972E-2</v>
      </c>
      <c r="M887">
        <f t="shared" si="137"/>
        <v>-9.6550645294756446E-2</v>
      </c>
      <c r="N887">
        <f t="shared" si="138"/>
        <v>34</v>
      </c>
      <c r="O887" t="str">
        <f t="shared" si="139"/>
        <v>Other</v>
      </c>
    </row>
    <row r="888" spans="1:15" hidden="1" x14ac:dyDescent="0.3">
      <c r="A888" t="s">
        <v>650</v>
      </c>
      <c r="B888" s="2">
        <v>42291</v>
      </c>
      <c r="C888" s="3">
        <v>69332</v>
      </c>
      <c r="D888" s="4">
        <v>2178</v>
      </c>
      <c r="E888" s="4">
        <v>242</v>
      </c>
      <c r="F888">
        <f t="shared" si="130"/>
        <v>2015</v>
      </c>
      <c r="G888" t="str">
        <f t="shared" si="131"/>
        <v>October</v>
      </c>
      <c r="H888" t="str">
        <f t="shared" si="132"/>
        <v>Wednesday</v>
      </c>
      <c r="I888">
        <f t="shared" si="133"/>
        <v>3.4904517394565278</v>
      </c>
      <c r="J888">
        <f t="shared" si="134"/>
        <v>31.41406565510875</v>
      </c>
      <c r="K888">
        <f t="shared" si="135"/>
        <v>3.4904517394565282</v>
      </c>
      <c r="L888">
        <f t="shared" si="136"/>
        <v>-5.4124495887340404E-2</v>
      </c>
      <c r="M888">
        <f t="shared" si="137"/>
        <v>-7.4181954484448392E-2</v>
      </c>
      <c r="N888">
        <f t="shared" si="138"/>
        <v>44</v>
      </c>
      <c r="O888" t="str">
        <f t="shared" si="139"/>
        <v>Other</v>
      </c>
    </row>
    <row r="889" spans="1:15" hidden="1" x14ac:dyDescent="0.3">
      <c r="A889" t="s">
        <v>749</v>
      </c>
      <c r="B889" s="2">
        <v>42188</v>
      </c>
      <c r="C889" s="3">
        <v>68402</v>
      </c>
      <c r="D889" s="4">
        <v>1299</v>
      </c>
      <c r="E889" s="4">
        <v>183</v>
      </c>
      <c r="F889">
        <f t="shared" si="130"/>
        <v>2015</v>
      </c>
      <c r="G889" t="str">
        <f t="shared" si="131"/>
        <v>July</v>
      </c>
      <c r="H889" t="str">
        <f t="shared" si="132"/>
        <v>Friday</v>
      </c>
      <c r="I889">
        <f t="shared" si="133"/>
        <v>2.1666033156925235</v>
      </c>
      <c r="J889">
        <f t="shared" si="134"/>
        <v>18.9906727873454</v>
      </c>
      <c r="K889">
        <f t="shared" si="135"/>
        <v>2.6753603695798365</v>
      </c>
      <c r="L889">
        <f t="shared" si="136"/>
        <v>-6.8543636350488338E-2</v>
      </c>
      <c r="M889">
        <f t="shared" si="137"/>
        <v>-5.2856025866961746E-2</v>
      </c>
      <c r="N889">
        <f t="shared" si="138"/>
        <v>31</v>
      </c>
      <c r="O889" t="str">
        <f t="shared" si="139"/>
        <v>Other</v>
      </c>
    </row>
    <row r="890" spans="1:15" hidden="1" x14ac:dyDescent="0.3">
      <c r="A890" t="s">
        <v>879</v>
      </c>
      <c r="B890" s="2">
        <v>41725</v>
      </c>
      <c r="C890" s="3">
        <v>68293</v>
      </c>
      <c r="D890" s="4">
        <v>2043</v>
      </c>
      <c r="E890" s="4">
        <v>501</v>
      </c>
      <c r="F890">
        <f t="shared" si="130"/>
        <v>2014</v>
      </c>
      <c r="G890" t="str">
        <f t="shared" si="131"/>
        <v>March</v>
      </c>
      <c r="H890" t="str">
        <f t="shared" si="132"/>
        <v>Thursday</v>
      </c>
      <c r="I890">
        <f t="shared" si="133"/>
        <v>3.7251255619170336</v>
      </c>
      <c r="J890">
        <f t="shared" si="134"/>
        <v>29.915218250772405</v>
      </c>
      <c r="K890">
        <f t="shared" si="135"/>
        <v>7.3360373683979319</v>
      </c>
      <c r="L890">
        <f t="shared" si="136"/>
        <v>-4.5291713706033493E-2</v>
      </c>
      <c r="M890">
        <f t="shared" si="137"/>
        <v>-2.3778238299881897E-2</v>
      </c>
      <c r="N890">
        <f t="shared" si="138"/>
        <v>43</v>
      </c>
      <c r="O890" t="str">
        <f t="shared" si="139"/>
        <v>Other</v>
      </c>
    </row>
    <row r="891" spans="1:15" hidden="1" x14ac:dyDescent="0.3">
      <c r="A891" t="s">
        <v>899</v>
      </c>
      <c r="B891" s="2">
        <v>41637</v>
      </c>
      <c r="C891" s="3">
        <v>67956</v>
      </c>
      <c r="D891" s="4">
        <v>2434</v>
      </c>
      <c r="E891" s="4">
        <v>764</v>
      </c>
      <c r="F891">
        <f t="shared" si="130"/>
        <v>2013</v>
      </c>
      <c r="G891" t="str">
        <f t="shared" si="131"/>
        <v>December</v>
      </c>
      <c r="H891" t="str">
        <f t="shared" si="132"/>
        <v>Sunday</v>
      </c>
      <c r="I891">
        <f t="shared" si="133"/>
        <v>4.7059862263817767</v>
      </c>
      <c r="J891">
        <f t="shared" si="134"/>
        <v>35.817293542880684</v>
      </c>
      <c r="K891">
        <f t="shared" si="135"/>
        <v>11.242568720937077</v>
      </c>
      <c r="L891">
        <f t="shared" si="136"/>
        <v>-5.0729584079925491E-2</v>
      </c>
      <c r="M891">
        <f t="shared" si="137"/>
        <v>-3.3831199602246655E-2</v>
      </c>
      <c r="N891">
        <f t="shared" si="138"/>
        <v>33</v>
      </c>
      <c r="O891" t="str">
        <f t="shared" si="139"/>
        <v>Other</v>
      </c>
    </row>
    <row r="892" spans="1:15" hidden="1" x14ac:dyDescent="0.3">
      <c r="A892" t="s">
        <v>901</v>
      </c>
      <c r="B892" s="2">
        <v>41637</v>
      </c>
      <c r="C892" s="3">
        <v>67800</v>
      </c>
      <c r="D892" s="4">
        <v>2399</v>
      </c>
      <c r="E892" s="4">
        <v>726</v>
      </c>
      <c r="F892">
        <f t="shared" si="130"/>
        <v>2013</v>
      </c>
      <c r="G892" t="str">
        <f t="shared" si="131"/>
        <v>December</v>
      </c>
      <c r="H892" t="str">
        <f t="shared" si="132"/>
        <v>Sunday</v>
      </c>
      <c r="I892">
        <f t="shared" si="133"/>
        <v>4.609144542772861</v>
      </c>
      <c r="J892">
        <f t="shared" si="134"/>
        <v>35.383480825958699</v>
      </c>
      <c r="K892">
        <f t="shared" si="135"/>
        <v>10.707964601769913</v>
      </c>
      <c r="L892">
        <f t="shared" si="136"/>
        <v>-7.385330771922731E-2</v>
      </c>
      <c r="M892">
        <f t="shared" si="137"/>
        <v>-8.1802071207689314E-2</v>
      </c>
      <c r="N892">
        <f t="shared" si="138"/>
        <v>48</v>
      </c>
      <c r="O892" t="str">
        <f t="shared" si="139"/>
        <v>Other</v>
      </c>
    </row>
    <row r="893" spans="1:15" hidden="1" x14ac:dyDescent="0.3">
      <c r="A893" t="s">
        <v>900</v>
      </c>
      <c r="B893" s="2">
        <v>41637</v>
      </c>
      <c r="C893" s="3">
        <v>67793</v>
      </c>
      <c r="D893" s="4">
        <v>2116</v>
      </c>
      <c r="E893" s="4">
        <v>568</v>
      </c>
      <c r="F893">
        <f t="shared" si="130"/>
        <v>2013</v>
      </c>
      <c r="G893" t="str">
        <f t="shared" si="131"/>
        <v>December</v>
      </c>
      <c r="H893" t="str">
        <f t="shared" si="132"/>
        <v>Sunday</v>
      </c>
      <c r="I893">
        <f t="shared" si="133"/>
        <v>3.9591108226513065</v>
      </c>
      <c r="J893">
        <f t="shared" si="134"/>
        <v>31.212662074255455</v>
      </c>
      <c r="K893">
        <f t="shared" si="135"/>
        <v>8.3784461522576077</v>
      </c>
      <c r="L893">
        <f t="shared" si="136"/>
        <v>-0.1000289201503488</v>
      </c>
      <c r="M893">
        <f t="shared" si="137"/>
        <v>-0.1337491371046417</v>
      </c>
      <c r="N893">
        <f t="shared" si="138"/>
        <v>42</v>
      </c>
      <c r="O893" t="str">
        <f t="shared" si="139"/>
        <v>Other</v>
      </c>
    </row>
    <row r="894" spans="1:15" hidden="1" x14ac:dyDescent="0.3">
      <c r="A894" t="s">
        <v>811</v>
      </c>
      <c r="B894" s="2">
        <v>42084</v>
      </c>
      <c r="C894" s="3">
        <v>67386</v>
      </c>
      <c r="D894" s="4">
        <v>1393</v>
      </c>
      <c r="E894" s="4">
        <v>226</v>
      </c>
      <c r="F894">
        <f t="shared" si="130"/>
        <v>2015</v>
      </c>
      <c r="G894" t="str">
        <f t="shared" si="131"/>
        <v>March</v>
      </c>
      <c r="H894" t="str">
        <f t="shared" si="132"/>
        <v>Saturday</v>
      </c>
      <c r="I894">
        <f t="shared" si="133"/>
        <v>2.4025762027720892</v>
      </c>
      <c r="J894">
        <f t="shared" si="134"/>
        <v>20.671949663134775</v>
      </c>
      <c r="K894">
        <f t="shared" si="135"/>
        <v>3.353812364586116</v>
      </c>
      <c r="L894">
        <f t="shared" si="136"/>
        <v>-0.12080359996139377</v>
      </c>
      <c r="M894">
        <f t="shared" si="137"/>
        <v>-0.17680290621609301</v>
      </c>
      <c r="N894">
        <f t="shared" si="138"/>
        <v>23</v>
      </c>
      <c r="O894" t="str">
        <f t="shared" si="139"/>
        <v>Other</v>
      </c>
    </row>
    <row r="895" spans="1:15" hidden="1" x14ac:dyDescent="0.3">
      <c r="A895" t="s">
        <v>684</v>
      </c>
      <c r="B895" s="2">
        <v>42242</v>
      </c>
      <c r="C895" s="3">
        <v>66874</v>
      </c>
      <c r="D895" s="4">
        <v>1864</v>
      </c>
      <c r="E895" s="4">
        <v>226</v>
      </c>
      <c r="F895">
        <f t="shared" si="130"/>
        <v>2015</v>
      </c>
      <c r="G895" t="str">
        <f t="shared" si="131"/>
        <v>August</v>
      </c>
      <c r="H895" t="str">
        <f t="shared" si="132"/>
        <v>Wednesday</v>
      </c>
      <c r="I895">
        <f t="shared" si="133"/>
        <v>3.1252803780243443</v>
      </c>
      <c r="J895">
        <f t="shared" si="134"/>
        <v>27.873313993480277</v>
      </c>
      <c r="K895">
        <f t="shared" si="135"/>
        <v>3.3794897867631666</v>
      </c>
      <c r="L895">
        <f t="shared" si="136"/>
        <v>-0.10569321237856613</v>
      </c>
      <c r="M895">
        <f t="shared" si="137"/>
        <v>-0.16733289462364895</v>
      </c>
      <c r="N895">
        <f t="shared" si="138"/>
        <v>34</v>
      </c>
      <c r="O895" t="str">
        <f t="shared" si="139"/>
        <v>Other</v>
      </c>
    </row>
    <row r="896" spans="1:15" hidden="1" x14ac:dyDescent="0.3">
      <c r="A896" t="s">
        <v>818</v>
      </c>
      <c r="B896" s="2">
        <v>42061</v>
      </c>
      <c r="C896" s="3">
        <v>66547</v>
      </c>
      <c r="D896" s="4">
        <v>1576</v>
      </c>
      <c r="E896" s="4">
        <v>238</v>
      </c>
      <c r="F896">
        <f t="shared" si="130"/>
        <v>2015</v>
      </c>
      <c r="G896" t="str">
        <f t="shared" si="131"/>
        <v>February</v>
      </c>
      <c r="H896" t="str">
        <f t="shared" si="132"/>
        <v>Thursday</v>
      </c>
      <c r="I896">
        <f t="shared" si="133"/>
        <v>2.725892977895322</v>
      </c>
      <c r="J896">
        <f t="shared" si="134"/>
        <v>23.682510105639622</v>
      </c>
      <c r="K896">
        <f t="shared" si="135"/>
        <v>3.5764196733135978</v>
      </c>
      <c r="L896">
        <f t="shared" si="136"/>
        <v>-0.11013347713400168</v>
      </c>
      <c r="M896">
        <f t="shared" si="137"/>
        <v>-0.15492409103701441</v>
      </c>
      <c r="N896">
        <f t="shared" si="138"/>
        <v>40</v>
      </c>
      <c r="O896" t="str">
        <f t="shared" si="139"/>
        <v>Other</v>
      </c>
    </row>
    <row r="897" spans="1:15" hidden="1" x14ac:dyDescent="0.3">
      <c r="A897" t="s">
        <v>817</v>
      </c>
      <c r="B897" s="2">
        <v>42063</v>
      </c>
      <c r="C897" s="3">
        <v>66499</v>
      </c>
      <c r="D897" s="4">
        <v>1637</v>
      </c>
      <c r="E897" s="4">
        <v>588</v>
      </c>
      <c r="F897">
        <f t="shared" si="130"/>
        <v>2015</v>
      </c>
      <c r="G897" t="str">
        <f t="shared" si="131"/>
        <v>February</v>
      </c>
      <c r="H897" t="str">
        <f t="shared" si="132"/>
        <v>Saturday</v>
      </c>
      <c r="I897">
        <f t="shared" si="133"/>
        <v>3.3459149761650551</v>
      </c>
      <c r="J897">
        <f t="shared" si="134"/>
        <v>24.616911532504247</v>
      </c>
      <c r="K897">
        <f t="shared" si="135"/>
        <v>8.8422382291463038</v>
      </c>
      <c r="L897">
        <f t="shared" si="136"/>
        <v>-0.1016897147355369</v>
      </c>
      <c r="M897">
        <f t="shared" si="137"/>
        <v>-0.1422715157573525</v>
      </c>
      <c r="N897">
        <f t="shared" si="138"/>
        <v>25</v>
      </c>
      <c r="O897" t="str">
        <f t="shared" si="139"/>
        <v>Other</v>
      </c>
    </row>
    <row r="898" spans="1:15" hidden="1" x14ac:dyDescent="0.3">
      <c r="A898" t="s">
        <v>860</v>
      </c>
      <c r="B898" s="2">
        <v>41783</v>
      </c>
      <c r="C898" s="3">
        <v>66455</v>
      </c>
      <c r="D898" s="4">
        <v>1911</v>
      </c>
      <c r="E898" s="4">
        <v>393</v>
      </c>
      <c r="F898">
        <f t="shared" ref="F898:F961" si="140">YEAR(B898)</f>
        <v>2014</v>
      </c>
      <c r="G898" t="str">
        <f t="shared" ref="G898:G961" si="141">TEXT(B898,"MMMM")</f>
        <v>May</v>
      </c>
      <c r="H898" t="str">
        <f t="shared" ref="H898:H961" si="142">TEXT(B898, "DDDD")</f>
        <v>Saturday</v>
      </c>
      <c r="I898">
        <f t="shared" ref="I898:I961" si="143">((D898+E898)/C898)*100</f>
        <v>3.467007749604996</v>
      </c>
      <c r="J898">
        <f t="shared" ref="J898:J961" si="144">(D898/C898)*1000</f>
        <v>28.756301256489351</v>
      </c>
      <c r="K898">
        <f t="shared" ref="K898:K961" si="145">(E898/C898)*1000</f>
        <v>5.9137762395606046</v>
      </c>
      <c r="L898">
        <f t="shared" ref="L898:L961" si="146">CORREL(C898:C1396, D898:D1396)</f>
        <v>-9.4871088070286325E-2</v>
      </c>
      <c r="M898">
        <f t="shared" ref="M898:M961" si="147">CORREL(C898:C1396,E898:E1396)</f>
        <v>-0.17692999118354369</v>
      </c>
      <c r="N898">
        <f t="shared" ref="N898:N961" si="148">LEN(A898)</f>
        <v>36</v>
      </c>
      <c r="O898" t="str">
        <f t="shared" ref="O898:O961" si="149">IF(ISNUMBER(SEARCH("$",A898)), "Money", IF(ISNUMBER(SEARCH("Win",A898)), "Challenge",IF(ISNUMBER(SEARCH("Challenge",A898)), "Challenge",IF(ISNUMBER(SEARCH("Last To Leave",A898)),"Challenge",IF(ISNUMBER(SEARCH("Giving Away", A898)),"Giveaway",IF(ISNUMBER(SEARCH("Stranded",A898)),"Survival", IF(ISNUMBER(SEARCH("Survive",A898)), "Survival", IF(ISNUMBER(SEARCH("Days",A898)),"Endurance","Other"))))))))</f>
        <v>Other</v>
      </c>
    </row>
    <row r="899" spans="1:15" hidden="1" x14ac:dyDescent="0.3">
      <c r="A899" t="s">
        <v>700</v>
      </c>
      <c r="B899" s="2">
        <v>42225</v>
      </c>
      <c r="C899" s="3">
        <v>66370</v>
      </c>
      <c r="D899" s="4">
        <v>1561</v>
      </c>
      <c r="E899" s="4">
        <v>310</v>
      </c>
      <c r="F899">
        <f t="shared" si="140"/>
        <v>2015</v>
      </c>
      <c r="G899" t="str">
        <f t="shared" si="141"/>
        <v>August</v>
      </c>
      <c r="H899" t="str">
        <f t="shared" si="142"/>
        <v>Sunday</v>
      </c>
      <c r="I899">
        <f t="shared" si="143"/>
        <v>2.8190447491336448</v>
      </c>
      <c r="J899">
        <f t="shared" si="144"/>
        <v>23.519662498116617</v>
      </c>
      <c r="K899">
        <f t="shared" si="145"/>
        <v>4.6707849932198284</v>
      </c>
      <c r="L899">
        <f t="shared" si="146"/>
        <v>-0.10044131123558686</v>
      </c>
      <c r="M899">
        <f t="shared" si="147"/>
        <v>-0.1907165895551057</v>
      </c>
      <c r="N899">
        <f t="shared" si="148"/>
        <v>18</v>
      </c>
      <c r="O899" t="str">
        <f t="shared" si="149"/>
        <v>Endurance</v>
      </c>
    </row>
    <row r="900" spans="1:15" hidden="1" x14ac:dyDescent="0.3">
      <c r="A900" t="s">
        <v>802</v>
      </c>
      <c r="B900" s="2">
        <v>42107</v>
      </c>
      <c r="C900" s="3">
        <v>66333</v>
      </c>
      <c r="D900" s="4">
        <v>1424</v>
      </c>
      <c r="E900" s="4">
        <v>197</v>
      </c>
      <c r="F900">
        <f t="shared" si="140"/>
        <v>2015</v>
      </c>
      <c r="G900" t="str">
        <f t="shared" si="141"/>
        <v>April</v>
      </c>
      <c r="H900" t="str">
        <f t="shared" si="142"/>
        <v>Monday</v>
      </c>
      <c r="I900">
        <f t="shared" si="143"/>
        <v>2.4437308730194625</v>
      </c>
      <c r="J900">
        <f t="shared" si="144"/>
        <v>21.467444560022916</v>
      </c>
      <c r="K900">
        <f t="shared" si="145"/>
        <v>2.969864170171709</v>
      </c>
      <c r="L900">
        <f t="shared" si="146"/>
        <v>-8.9959622690413896E-2</v>
      </c>
      <c r="M900">
        <f t="shared" si="147"/>
        <v>-0.19543535434966644</v>
      </c>
      <c r="N900">
        <f t="shared" si="148"/>
        <v>25</v>
      </c>
      <c r="O900" t="str">
        <f t="shared" si="149"/>
        <v>Other</v>
      </c>
    </row>
    <row r="901" spans="1:15" hidden="1" x14ac:dyDescent="0.3">
      <c r="A901" t="s">
        <v>847</v>
      </c>
      <c r="B901" s="2">
        <v>41825</v>
      </c>
      <c r="C901" s="3">
        <v>66224</v>
      </c>
      <c r="D901" s="4">
        <v>1815</v>
      </c>
      <c r="E901" s="4">
        <v>216</v>
      </c>
      <c r="F901">
        <f t="shared" si="140"/>
        <v>2014</v>
      </c>
      <c r="G901" t="str">
        <f t="shared" si="141"/>
        <v>July</v>
      </c>
      <c r="H901" t="str">
        <f t="shared" si="142"/>
        <v>Saturday</v>
      </c>
      <c r="I901">
        <f t="shared" si="143"/>
        <v>3.0668639768059918</v>
      </c>
      <c r="J901">
        <f t="shared" si="144"/>
        <v>27.406982362889586</v>
      </c>
      <c r="K901">
        <f t="shared" si="145"/>
        <v>3.2616574051703311</v>
      </c>
      <c r="L901">
        <f t="shared" si="146"/>
        <v>-6.9453655076077953E-2</v>
      </c>
      <c r="M901">
        <f t="shared" si="147"/>
        <v>-0.18436596754813372</v>
      </c>
      <c r="N901">
        <f t="shared" si="148"/>
        <v>41</v>
      </c>
      <c r="O901" t="str">
        <f t="shared" si="149"/>
        <v>Other</v>
      </c>
    </row>
    <row r="902" spans="1:15" hidden="1" x14ac:dyDescent="0.3">
      <c r="A902" t="s">
        <v>745</v>
      </c>
      <c r="B902" s="2">
        <v>42192</v>
      </c>
      <c r="C902" s="3">
        <v>65882</v>
      </c>
      <c r="D902" s="4">
        <v>1477</v>
      </c>
      <c r="E902" s="4">
        <v>265</v>
      </c>
      <c r="F902">
        <f t="shared" si="140"/>
        <v>2015</v>
      </c>
      <c r="G902" t="str">
        <f t="shared" si="141"/>
        <v>July</v>
      </c>
      <c r="H902" t="str">
        <f t="shared" si="142"/>
        <v>Tuesday</v>
      </c>
      <c r="I902">
        <f t="shared" si="143"/>
        <v>2.6441213077927204</v>
      </c>
      <c r="J902">
        <f t="shared" si="144"/>
        <v>22.418870101089826</v>
      </c>
      <c r="K902">
        <f t="shared" si="145"/>
        <v>4.0223429768373755</v>
      </c>
      <c r="L902">
        <f t="shared" si="146"/>
        <v>-6.9781933664885692E-2</v>
      </c>
      <c r="M902">
        <f t="shared" si="147"/>
        <v>-0.17720943002319667</v>
      </c>
      <c r="N902">
        <f t="shared" si="148"/>
        <v>37</v>
      </c>
      <c r="O902" t="str">
        <f t="shared" si="149"/>
        <v>Other</v>
      </c>
    </row>
    <row r="903" spans="1:15" hidden="1" x14ac:dyDescent="0.3">
      <c r="A903" t="s">
        <v>841</v>
      </c>
      <c r="B903" s="2">
        <v>41833</v>
      </c>
      <c r="C903" s="3">
        <v>65729</v>
      </c>
      <c r="D903" s="4">
        <v>1194</v>
      </c>
      <c r="E903" s="4">
        <v>184</v>
      </c>
      <c r="F903">
        <f t="shared" si="140"/>
        <v>2014</v>
      </c>
      <c r="G903" t="str">
        <f t="shared" si="141"/>
        <v>July</v>
      </c>
      <c r="H903" t="str">
        <f t="shared" si="142"/>
        <v>Sunday</v>
      </c>
      <c r="I903">
        <f t="shared" si="143"/>
        <v>2.0964870909339863</v>
      </c>
      <c r="J903">
        <f t="shared" si="144"/>
        <v>18.165497725509287</v>
      </c>
      <c r="K903">
        <f t="shared" si="145"/>
        <v>2.7993731838305771</v>
      </c>
      <c r="L903">
        <f t="shared" si="146"/>
        <v>-4.8698760331843761E-2</v>
      </c>
      <c r="M903">
        <f t="shared" si="147"/>
        <v>-0.17286897615782668</v>
      </c>
      <c r="N903">
        <f t="shared" si="148"/>
        <v>43</v>
      </c>
      <c r="O903" t="str">
        <f t="shared" si="149"/>
        <v>Other</v>
      </c>
    </row>
    <row r="904" spans="1:15" hidden="1" x14ac:dyDescent="0.3">
      <c r="A904" t="s">
        <v>664</v>
      </c>
      <c r="B904" s="2">
        <v>42268</v>
      </c>
      <c r="C904" s="3">
        <v>65712</v>
      </c>
      <c r="D904" s="4">
        <v>2441</v>
      </c>
      <c r="E904" s="4">
        <v>271</v>
      </c>
      <c r="F904">
        <f t="shared" si="140"/>
        <v>2015</v>
      </c>
      <c r="G904" t="str">
        <f t="shared" si="141"/>
        <v>September</v>
      </c>
      <c r="H904" t="str">
        <f t="shared" si="142"/>
        <v>Monday</v>
      </c>
      <c r="I904">
        <f t="shared" si="143"/>
        <v>4.1271000730460186</v>
      </c>
      <c r="J904">
        <f t="shared" si="144"/>
        <v>37.14694424153884</v>
      </c>
      <c r="K904">
        <f t="shared" si="145"/>
        <v>4.1240564889213536</v>
      </c>
      <c r="L904">
        <f t="shared" si="146"/>
        <v>-9.7754931302245756E-3</v>
      </c>
      <c r="M904">
        <f t="shared" si="147"/>
        <v>-0.15258257265690531</v>
      </c>
      <c r="N904">
        <f t="shared" si="148"/>
        <v>34</v>
      </c>
      <c r="O904" t="str">
        <f t="shared" si="149"/>
        <v>Other</v>
      </c>
    </row>
    <row r="905" spans="1:15" hidden="1" x14ac:dyDescent="0.3">
      <c r="A905" t="s">
        <v>647</v>
      </c>
      <c r="B905" s="2">
        <v>42298</v>
      </c>
      <c r="C905" s="3">
        <v>65662</v>
      </c>
      <c r="D905" s="4">
        <v>2450</v>
      </c>
      <c r="E905" s="4">
        <v>210</v>
      </c>
      <c r="F905">
        <f t="shared" si="140"/>
        <v>2015</v>
      </c>
      <c r="G905" t="str">
        <f t="shared" si="141"/>
        <v>October</v>
      </c>
      <c r="H905" t="str">
        <f t="shared" si="142"/>
        <v>Wednesday</v>
      </c>
      <c r="I905">
        <f t="shared" si="143"/>
        <v>4.0510493131491572</v>
      </c>
      <c r="J905">
        <f t="shared" si="144"/>
        <v>37.31229630532119</v>
      </c>
      <c r="K905">
        <f t="shared" si="145"/>
        <v>3.1981968261703875</v>
      </c>
      <c r="L905">
        <f t="shared" si="146"/>
        <v>-3.5135748339623761E-2</v>
      </c>
      <c r="M905">
        <f t="shared" si="147"/>
        <v>-0.14558883867297029</v>
      </c>
      <c r="N905">
        <f t="shared" si="148"/>
        <v>63</v>
      </c>
      <c r="O905" t="str">
        <f t="shared" si="149"/>
        <v>Other</v>
      </c>
    </row>
    <row r="906" spans="1:15" hidden="1" x14ac:dyDescent="0.3">
      <c r="A906" t="s">
        <v>661</v>
      </c>
      <c r="B906" s="2">
        <v>42273</v>
      </c>
      <c r="C906" s="3">
        <v>65447</v>
      </c>
      <c r="D906" s="4">
        <v>2298</v>
      </c>
      <c r="E906" s="4">
        <v>325</v>
      </c>
      <c r="F906">
        <f t="shared" si="140"/>
        <v>2015</v>
      </c>
      <c r="G906" t="str">
        <f t="shared" si="141"/>
        <v>September</v>
      </c>
      <c r="H906" t="str">
        <f t="shared" si="142"/>
        <v>Saturday</v>
      </c>
      <c r="I906">
        <f t="shared" si="143"/>
        <v>4.0078231240545783</v>
      </c>
      <c r="J906">
        <f t="shared" si="144"/>
        <v>35.11238101058872</v>
      </c>
      <c r="K906">
        <f t="shared" si="145"/>
        <v>4.9658502299570646</v>
      </c>
      <c r="L906">
        <f t="shared" si="146"/>
        <v>-7.3568171198495125E-2</v>
      </c>
      <c r="M906">
        <f t="shared" si="147"/>
        <v>-0.12554001009155977</v>
      </c>
      <c r="N906">
        <f t="shared" si="148"/>
        <v>43</v>
      </c>
      <c r="O906" t="str">
        <f t="shared" si="149"/>
        <v>Other</v>
      </c>
    </row>
    <row r="907" spans="1:15" hidden="1" x14ac:dyDescent="0.3">
      <c r="A907" t="s">
        <v>787</v>
      </c>
      <c r="B907" s="2">
        <v>42134</v>
      </c>
      <c r="C907" s="3">
        <v>65423</v>
      </c>
      <c r="D907" s="4">
        <v>1757</v>
      </c>
      <c r="E907" s="4">
        <v>337</v>
      </c>
      <c r="F907">
        <f t="shared" si="140"/>
        <v>2015</v>
      </c>
      <c r="G907" t="str">
        <f t="shared" si="141"/>
        <v>May</v>
      </c>
      <c r="H907" t="str">
        <f t="shared" si="142"/>
        <v>Sunday</v>
      </c>
      <c r="I907">
        <f t="shared" si="143"/>
        <v>3.200709230698684</v>
      </c>
      <c r="J907">
        <f t="shared" si="144"/>
        <v>26.855998654907292</v>
      </c>
      <c r="K907">
        <f t="shared" si="145"/>
        <v>5.1510936520795436</v>
      </c>
      <c r="L907">
        <f t="shared" si="146"/>
        <v>-9.8521313117941739E-2</v>
      </c>
      <c r="M907">
        <f t="shared" si="147"/>
        <v>-0.1208633585539779</v>
      </c>
      <c r="N907">
        <f t="shared" si="148"/>
        <v>63</v>
      </c>
      <c r="O907" t="str">
        <f t="shared" si="149"/>
        <v>Money</v>
      </c>
    </row>
    <row r="908" spans="1:15" hidden="1" x14ac:dyDescent="0.3">
      <c r="A908" t="s">
        <v>776</v>
      </c>
      <c r="B908" s="2">
        <v>42153</v>
      </c>
      <c r="C908" s="3">
        <v>65383</v>
      </c>
      <c r="D908" s="4">
        <v>1502</v>
      </c>
      <c r="E908" s="4">
        <v>252</v>
      </c>
      <c r="F908">
        <f t="shared" si="140"/>
        <v>2015</v>
      </c>
      <c r="G908" t="str">
        <f t="shared" si="141"/>
        <v>May</v>
      </c>
      <c r="H908" t="str">
        <f t="shared" si="142"/>
        <v>Friday</v>
      </c>
      <c r="I908">
        <f t="shared" si="143"/>
        <v>2.6826545126409007</v>
      </c>
      <c r="J908">
        <f t="shared" si="144"/>
        <v>22.972332257620483</v>
      </c>
      <c r="K908">
        <f t="shared" si="145"/>
        <v>3.8542128687885229</v>
      </c>
      <c r="L908">
        <f t="shared" si="146"/>
        <v>-9.9365650087826204E-2</v>
      </c>
      <c r="M908">
        <f t="shared" si="147"/>
        <v>-0.11933472876700273</v>
      </c>
      <c r="N908">
        <f t="shared" si="148"/>
        <v>48</v>
      </c>
      <c r="O908" t="str">
        <f t="shared" si="149"/>
        <v>Other</v>
      </c>
    </row>
    <row r="909" spans="1:15" hidden="1" x14ac:dyDescent="0.3">
      <c r="A909" t="s">
        <v>833</v>
      </c>
      <c r="B909" s="2">
        <v>41960</v>
      </c>
      <c r="C909" s="3">
        <v>65288</v>
      </c>
      <c r="D909" s="4">
        <v>1416</v>
      </c>
      <c r="E909" s="4">
        <v>236</v>
      </c>
      <c r="F909">
        <f t="shared" si="140"/>
        <v>2014</v>
      </c>
      <c r="G909" t="str">
        <f t="shared" si="141"/>
        <v>November</v>
      </c>
      <c r="H909" t="str">
        <f t="shared" si="142"/>
        <v>Monday</v>
      </c>
      <c r="I909">
        <f t="shared" si="143"/>
        <v>2.5303271657885062</v>
      </c>
      <c r="J909">
        <f t="shared" si="144"/>
        <v>21.688518563901482</v>
      </c>
      <c r="K909">
        <f t="shared" si="145"/>
        <v>3.6147530939835804</v>
      </c>
      <c r="L909">
        <f t="shared" si="146"/>
        <v>-8.4309869414158231E-2</v>
      </c>
      <c r="M909">
        <f t="shared" si="147"/>
        <v>-0.10007267268031352</v>
      </c>
      <c r="N909">
        <f t="shared" si="148"/>
        <v>41</v>
      </c>
      <c r="O909" t="str">
        <f t="shared" si="149"/>
        <v>Other</v>
      </c>
    </row>
    <row r="910" spans="1:15" hidden="1" x14ac:dyDescent="0.3">
      <c r="A910" t="s">
        <v>839</v>
      </c>
      <c r="B910" s="2">
        <v>41871</v>
      </c>
      <c r="C910" s="3">
        <v>65276</v>
      </c>
      <c r="D910" s="4">
        <v>1701</v>
      </c>
      <c r="E910" s="4">
        <v>391</v>
      </c>
      <c r="F910">
        <f t="shared" si="140"/>
        <v>2014</v>
      </c>
      <c r="G910" t="str">
        <f t="shared" si="141"/>
        <v>August</v>
      </c>
      <c r="H910" t="str">
        <f t="shared" si="142"/>
        <v>Wednesday</v>
      </c>
      <c r="I910">
        <f t="shared" si="143"/>
        <v>3.2048532385562845</v>
      </c>
      <c r="J910">
        <f t="shared" si="144"/>
        <v>26.058582020957168</v>
      </c>
      <c r="K910">
        <f t="shared" si="145"/>
        <v>5.9899503646056749</v>
      </c>
      <c r="L910">
        <f t="shared" si="146"/>
        <v>-6.0353412051035442E-2</v>
      </c>
      <c r="M910">
        <f t="shared" si="147"/>
        <v>-7.3162888267971571E-2</v>
      </c>
      <c r="N910">
        <f t="shared" si="148"/>
        <v>41</v>
      </c>
      <c r="O910" t="str">
        <f t="shared" si="149"/>
        <v>Other</v>
      </c>
    </row>
    <row r="911" spans="1:15" hidden="1" x14ac:dyDescent="0.3">
      <c r="A911" t="s">
        <v>793</v>
      </c>
      <c r="B911" s="2">
        <v>42127</v>
      </c>
      <c r="C911" s="3">
        <v>65223</v>
      </c>
      <c r="D911" s="4">
        <v>1668</v>
      </c>
      <c r="E911" s="4">
        <v>340</v>
      </c>
      <c r="F911">
        <f t="shared" si="140"/>
        <v>2015</v>
      </c>
      <c r="G911" t="str">
        <f t="shared" si="141"/>
        <v>May</v>
      </c>
      <c r="H911" t="str">
        <f t="shared" si="142"/>
        <v>Sunday</v>
      </c>
      <c r="I911">
        <f t="shared" si="143"/>
        <v>3.0786685678364996</v>
      </c>
      <c r="J911">
        <f t="shared" si="144"/>
        <v>25.573800653143827</v>
      </c>
      <c r="K911">
        <f t="shared" si="145"/>
        <v>5.2128850252211638</v>
      </c>
      <c r="L911">
        <f t="shared" si="146"/>
        <v>-4.8468675467592058E-2</v>
      </c>
      <c r="M911">
        <f t="shared" si="147"/>
        <v>-7.3253927844629751E-2</v>
      </c>
      <c r="N911">
        <f t="shared" si="148"/>
        <v>36</v>
      </c>
      <c r="O911" t="str">
        <f t="shared" si="149"/>
        <v>Other</v>
      </c>
    </row>
    <row r="912" spans="1:15" hidden="1" x14ac:dyDescent="0.3">
      <c r="A912" t="s">
        <v>693</v>
      </c>
      <c r="B912" s="2">
        <v>42234</v>
      </c>
      <c r="C912" s="3">
        <v>65209</v>
      </c>
      <c r="D912" s="4">
        <v>1812</v>
      </c>
      <c r="E912" s="4">
        <v>309</v>
      </c>
      <c r="F912">
        <f t="shared" si="140"/>
        <v>2015</v>
      </c>
      <c r="G912" t="str">
        <f t="shared" si="141"/>
        <v>August</v>
      </c>
      <c r="H912" t="str">
        <f t="shared" si="142"/>
        <v>Tuesday</v>
      </c>
      <c r="I912">
        <f t="shared" si="143"/>
        <v>3.252618503580794</v>
      </c>
      <c r="J912">
        <f t="shared" si="144"/>
        <v>27.787575334693063</v>
      </c>
      <c r="K912">
        <f t="shared" si="145"/>
        <v>4.7386097011148767</v>
      </c>
      <c r="L912">
        <f t="shared" si="146"/>
        <v>-3.0957392364776268E-2</v>
      </c>
      <c r="M912">
        <f t="shared" si="147"/>
        <v>-6.0838544118371238E-2</v>
      </c>
      <c r="N912">
        <f t="shared" si="148"/>
        <v>45</v>
      </c>
      <c r="O912" t="str">
        <f t="shared" si="149"/>
        <v>Other</v>
      </c>
    </row>
    <row r="913" spans="1:15" hidden="1" x14ac:dyDescent="0.3">
      <c r="A913" t="s">
        <v>797</v>
      </c>
      <c r="B913" s="2">
        <v>42120</v>
      </c>
      <c r="C913" s="3">
        <v>65146</v>
      </c>
      <c r="D913" s="4">
        <v>1872</v>
      </c>
      <c r="E913" s="4">
        <v>404</v>
      </c>
      <c r="F913">
        <f t="shared" si="140"/>
        <v>2015</v>
      </c>
      <c r="G913" t="str">
        <f t="shared" si="141"/>
        <v>April</v>
      </c>
      <c r="H913" t="str">
        <f t="shared" si="142"/>
        <v>Sunday</v>
      </c>
      <c r="I913">
        <f t="shared" si="143"/>
        <v>3.4936910938507348</v>
      </c>
      <c r="J913">
        <f t="shared" si="144"/>
        <v>28.735455745556134</v>
      </c>
      <c r="K913">
        <f t="shared" si="145"/>
        <v>6.2014551929512169</v>
      </c>
      <c r="L913">
        <f t="shared" si="146"/>
        <v>-1.7596805225439285E-2</v>
      </c>
      <c r="M913">
        <f t="shared" si="147"/>
        <v>-3.5367672672699239E-2</v>
      </c>
      <c r="N913">
        <f t="shared" si="148"/>
        <v>26</v>
      </c>
      <c r="O913" t="str">
        <f t="shared" si="149"/>
        <v>Other</v>
      </c>
    </row>
    <row r="914" spans="1:15" hidden="1" x14ac:dyDescent="0.3">
      <c r="A914" t="s">
        <v>786</v>
      </c>
      <c r="B914" s="2">
        <v>42138</v>
      </c>
      <c r="C914" s="3">
        <v>65108</v>
      </c>
      <c r="D914" s="4">
        <v>1939</v>
      </c>
      <c r="E914" s="4">
        <v>300</v>
      </c>
      <c r="F914">
        <f t="shared" si="140"/>
        <v>2015</v>
      </c>
      <c r="G914" t="str">
        <f t="shared" si="141"/>
        <v>May</v>
      </c>
      <c r="H914" t="str">
        <f t="shared" si="142"/>
        <v>Thursday</v>
      </c>
      <c r="I914">
        <f t="shared" si="143"/>
        <v>3.4389015174786506</v>
      </c>
      <c r="J914">
        <f t="shared" si="144"/>
        <v>29.781286477852184</v>
      </c>
      <c r="K914">
        <f t="shared" si="145"/>
        <v>4.6077286969343243</v>
      </c>
      <c r="L914">
        <f t="shared" si="146"/>
        <v>-6.6917241242980471E-3</v>
      </c>
      <c r="M914">
        <f t="shared" si="147"/>
        <v>-2.7421560925361781E-2</v>
      </c>
      <c r="N914">
        <f t="shared" si="148"/>
        <v>44</v>
      </c>
      <c r="O914" t="str">
        <f t="shared" si="149"/>
        <v>Other</v>
      </c>
    </row>
    <row r="915" spans="1:15" hidden="1" x14ac:dyDescent="0.3">
      <c r="A915" t="s">
        <v>843</v>
      </c>
      <c r="B915" s="2">
        <v>41830</v>
      </c>
      <c r="C915" s="3">
        <v>65100</v>
      </c>
      <c r="D915" s="4">
        <v>1681</v>
      </c>
      <c r="E915" s="4">
        <v>267</v>
      </c>
      <c r="F915">
        <f t="shared" si="140"/>
        <v>2014</v>
      </c>
      <c r="G915" t="str">
        <f t="shared" si="141"/>
        <v>July</v>
      </c>
      <c r="H915" t="str">
        <f t="shared" si="142"/>
        <v>Thursday</v>
      </c>
      <c r="I915">
        <f t="shared" si="143"/>
        <v>2.9923195084485408</v>
      </c>
      <c r="J915">
        <f t="shared" si="144"/>
        <v>25.821812596006144</v>
      </c>
      <c r="K915">
        <f t="shared" si="145"/>
        <v>4.1013824884792625</v>
      </c>
      <c r="L915">
        <f t="shared" si="146"/>
        <v>-3.0635236690816539E-4</v>
      </c>
      <c r="M915">
        <f t="shared" si="147"/>
        <v>-4.1804270543719614E-3</v>
      </c>
      <c r="N915">
        <f t="shared" si="148"/>
        <v>42</v>
      </c>
      <c r="O915" t="str">
        <f t="shared" si="149"/>
        <v>Other</v>
      </c>
    </row>
    <row r="916" spans="1:15" hidden="1" x14ac:dyDescent="0.3">
      <c r="A916" t="s">
        <v>668</v>
      </c>
      <c r="B916" s="2">
        <v>42263</v>
      </c>
      <c r="C916" s="3">
        <v>65089</v>
      </c>
      <c r="D916" s="4">
        <v>1830</v>
      </c>
      <c r="E916" s="4">
        <v>337</v>
      </c>
      <c r="F916">
        <f t="shared" si="140"/>
        <v>2015</v>
      </c>
      <c r="G916" t="str">
        <f t="shared" si="141"/>
        <v>September</v>
      </c>
      <c r="H916" t="str">
        <f t="shared" si="142"/>
        <v>Wednesday</v>
      </c>
      <c r="I916">
        <f t="shared" si="143"/>
        <v>3.3292875908371613</v>
      </c>
      <c r="J916">
        <f t="shared" si="144"/>
        <v>28.115349751878195</v>
      </c>
      <c r="K916">
        <f t="shared" si="145"/>
        <v>5.1775261564934167</v>
      </c>
      <c r="L916">
        <f t="shared" si="146"/>
        <v>1.7923264266195706E-2</v>
      </c>
      <c r="M916">
        <f t="shared" si="147"/>
        <v>2.5721029706012269E-2</v>
      </c>
      <c r="N916">
        <f t="shared" si="148"/>
        <v>39</v>
      </c>
      <c r="O916" t="str">
        <f t="shared" si="149"/>
        <v>Money</v>
      </c>
    </row>
    <row r="917" spans="1:15" hidden="1" x14ac:dyDescent="0.3">
      <c r="A917" t="s">
        <v>782</v>
      </c>
      <c r="B917" s="2">
        <v>42145</v>
      </c>
      <c r="C917" s="3">
        <v>65077</v>
      </c>
      <c r="D917" s="4">
        <v>2532</v>
      </c>
      <c r="E917" s="4">
        <v>829</v>
      </c>
      <c r="F917">
        <f t="shared" si="140"/>
        <v>2015</v>
      </c>
      <c r="G917" t="str">
        <f t="shared" si="141"/>
        <v>May</v>
      </c>
      <c r="H917" t="str">
        <f t="shared" si="142"/>
        <v>Thursday</v>
      </c>
      <c r="I917">
        <f t="shared" si="143"/>
        <v>5.1646511056133511</v>
      </c>
      <c r="J917">
        <f t="shared" si="144"/>
        <v>38.907755428185069</v>
      </c>
      <c r="K917">
        <f t="shared" si="145"/>
        <v>12.73875562794843</v>
      </c>
      <c r="L917">
        <f t="shared" si="146"/>
        <v>2.9465783268257596E-2</v>
      </c>
      <c r="M917">
        <f t="shared" si="147"/>
        <v>4.5392274035646968E-2</v>
      </c>
      <c r="N917">
        <f t="shared" si="148"/>
        <v>82</v>
      </c>
      <c r="O917" t="str">
        <f t="shared" si="149"/>
        <v>Other</v>
      </c>
    </row>
    <row r="918" spans="1:15" hidden="1" x14ac:dyDescent="0.3">
      <c r="A918" t="s">
        <v>845</v>
      </c>
      <c r="B918" s="2">
        <v>41829</v>
      </c>
      <c r="C918" s="3">
        <v>65076</v>
      </c>
      <c r="D918" s="4">
        <v>2099</v>
      </c>
      <c r="E918" s="4">
        <v>386</v>
      </c>
      <c r="F918">
        <f t="shared" si="140"/>
        <v>2014</v>
      </c>
      <c r="G918" t="str">
        <f t="shared" si="141"/>
        <v>July</v>
      </c>
      <c r="H918" t="str">
        <f t="shared" si="142"/>
        <v>Wednesday</v>
      </c>
      <c r="I918">
        <f t="shared" si="143"/>
        <v>3.8186120843321651</v>
      </c>
      <c r="J918">
        <f t="shared" si="144"/>
        <v>32.254594627819777</v>
      </c>
      <c r="K918">
        <f t="shared" si="145"/>
        <v>5.9315262155018749</v>
      </c>
      <c r="L918">
        <f t="shared" si="146"/>
        <v>1.8848200269056953E-2</v>
      </c>
      <c r="M918">
        <f t="shared" si="147"/>
        <v>1.6283782395242283E-2</v>
      </c>
      <c r="N918">
        <f t="shared" si="148"/>
        <v>23</v>
      </c>
      <c r="O918" t="str">
        <f t="shared" si="149"/>
        <v>Other</v>
      </c>
    </row>
    <row r="919" spans="1:15" hidden="1" x14ac:dyDescent="0.3">
      <c r="A919" t="s">
        <v>673</v>
      </c>
      <c r="B919" s="2">
        <v>42254</v>
      </c>
      <c r="C919" s="3">
        <v>65071</v>
      </c>
      <c r="D919" s="4">
        <v>2292</v>
      </c>
      <c r="E919" s="4">
        <v>445</v>
      </c>
      <c r="F919">
        <f t="shared" si="140"/>
        <v>2015</v>
      </c>
      <c r="G919" t="str">
        <f t="shared" si="141"/>
        <v>September</v>
      </c>
      <c r="H919" t="str">
        <f t="shared" si="142"/>
        <v>Monday</v>
      </c>
      <c r="I919">
        <f t="shared" si="143"/>
        <v>4.2061747936868965</v>
      </c>
      <c r="J919">
        <f t="shared" si="144"/>
        <v>35.223064037743391</v>
      </c>
      <c r="K919">
        <f t="shared" si="145"/>
        <v>6.838683899125571</v>
      </c>
      <c r="L919">
        <f t="shared" si="146"/>
        <v>1.9697162967452084E-2</v>
      </c>
      <c r="M919">
        <f t="shared" si="147"/>
        <v>2.5727609919073656E-2</v>
      </c>
      <c r="N919">
        <f t="shared" si="148"/>
        <v>38</v>
      </c>
      <c r="O919" t="str">
        <f t="shared" si="149"/>
        <v>Other</v>
      </c>
    </row>
    <row r="920" spans="1:15" hidden="1" x14ac:dyDescent="0.3">
      <c r="A920" t="s">
        <v>796</v>
      </c>
      <c r="B920" s="2">
        <v>42123</v>
      </c>
      <c r="C920" s="3">
        <v>65070</v>
      </c>
      <c r="D920" s="4">
        <v>1736</v>
      </c>
      <c r="E920" s="4">
        <v>315</v>
      </c>
      <c r="F920">
        <f t="shared" si="140"/>
        <v>2015</v>
      </c>
      <c r="G920" t="str">
        <f t="shared" si="141"/>
        <v>April</v>
      </c>
      <c r="H920" t="str">
        <f t="shared" si="142"/>
        <v>Wednesday</v>
      </c>
      <c r="I920">
        <f t="shared" si="143"/>
        <v>3.1519901644382973</v>
      </c>
      <c r="J920">
        <f t="shared" si="144"/>
        <v>26.678961118795144</v>
      </c>
      <c r="K920">
        <f t="shared" si="145"/>
        <v>4.8409405255878291</v>
      </c>
      <c r="L920">
        <f t="shared" si="146"/>
        <v>1.5633474468165615E-2</v>
      </c>
      <c r="M920">
        <f t="shared" si="147"/>
        <v>2.9472208759334224E-2</v>
      </c>
      <c r="N920">
        <f t="shared" si="148"/>
        <v>10</v>
      </c>
      <c r="O920" t="str">
        <f t="shared" si="149"/>
        <v>Other</v>
      </c>
    </row>
    <row r="921" spans="1:15" hidden="1" x14ac:dyDescent="0.3">
      <c r="A921" t="s">
        <v>789</v>
      </c>
      <c r="B921" s="2">
        <v>42133</v>
      </c>
      <c r="C921" s="3">
        <v>65068</v>
      </c>
      <c r="D921" s="4">
        <v>1609</v>
      </c>
      <c r="E921" s="4">
        <v>348</v>
      </c>
      <c r="F921">
        <f t="shared" si="140"/>
        <v>2015</v>
      </c>
      <c r="G921" t="str">
        <f t="shared" si="141"/>
        <v>May</v>
      </c>
      <c r="H921" t="str">
        <f t="shared" si="142"/>
        <v>Saturday</v>
      </c>
      <c r="I921">
        <f t="shared" si="143"/>
        <v>3.0076227946148646</v>
      </c>
      <c r="J921">
        <f t="shared" si="144"/>
        <v>24.727976885719556</v>
      </c>
      <c r="K921">
        <f t="shared" si="145"/>
        <v>5.3482510604290896</v>
      </c>
      <c r="L921">
        <f t="shared" si="146"/>
        <v>2.5048155806831351E-2</v>
      </c>
      <c r="M921">
        <f t="shared" si="147"/>
        <v>4.3882937924851123E-2</v>
      </c>
      <c r="N921">
        <f t="shared" si="148"/>
        <v>22</v>
      </c>
      <c r="O921" t="str">
        <f t="shared" si="149"/>
        <v>Other</v>
      </c>
    </row>
    <row r="922" spans="1:15" hidden="1" x14ac:dyDescent="0.3">
      <c r="A922" t="s">
        <v>593</v>
      </c>
      <c r="B922" s="2">
        <v>42455</v>
      </c>
      <c r="C922" s="3">
        <v>65068</v>
      </c>
      <c r="D922" s="4">
        <v>2656</v>
      </c>
      <c r="E922" s="4">
        <v>374</v>
      </c>
      <c r="F922">
        <f t="shared" si="140"/>
        <v>2016</v>
      </c>
      <c r="G922" t="str">
        <f t="shared" si="141"/>
        <v>March</v>
      </c>
      <c r="H922" t="str">
        <f t="shared" si="142"/>
        <v>Saturday</v>
      </c>
      <c r="I922">
        <f t="shared" si="143"/>
        <v>4.6566668715805006</v>
      </c>
      <c r="J922">
        <f t="shared" si="144"/>
        <v>40.818835679596731</v>
      </c>
      <c r="K922">
        <f t="shared" si="145"/>
        <v>5.7478330362082746</v>
      </c>
      <c r="L922">
        <f t="shared" si="146"/>
        <v>3.7419505258953246E-2</v>
      </c>
      <c r="M922">
        <f t="shared" si="147"/>
        <v>5.5678457800383267E-2</v>
      </c>
      <c r="N922">
        <f t="shared" si="148"/>
        <v>30</v>
      </c>
      <c r="O922" t="str">
        <f t="shared" si="149"/>
        <v>Other</v>
      </c>
    </row>
    <row r="923" spans="1:15" hidden="1" x14ac:dyDescent="0.3">
      <c r="A923" t="s">
        <v>719</v>
      </c>
      <c r="B923" s="2">
        <v>42214</v>
      </c>
      <c r="C923" s="3">
        <v>65067</v>
      </c>
      <c r="D923" s="4">
        <v>1746</v>
      </c>
      <c r="E923" s="4">
        <v>428</v>
      </c>
      <c r="F923">
        <f t="shared" si="140"/>
        <v>2015</v>
      </c>
      <c r="G923" t="str">
        <f t="shared" si="141"/>
        <v>July</v>
      </c>
      <c r="H923" t="str">
        <f t="shared" si="142"/>
        <v>Wednesday</v>
      </c>
      <c r="I923">
        <f t="shared" si="143"/>
        <v>3.341171407933361</v>
      </c>
      <c r="J923">
        <f t="shared" si="144"/>
        <v>26.83387892480059</v>
      </c>
      <c r="K923">
        <f t="shared" si="145"/>
        <v>6.5778351545330196</v>
      </c>
      <c r="L923">
        <f t="shared" si="146"/>
        <v>2.5223048550020898E-2</v>
      </c>
      <c r="M923">
        <f t="shared" si="147"/>
        <v>6.6553061881132775E-2</v>
      </c>
      <c r="N923">
        <f t="shared" si="148"/>
        <v>36</v>
      </c>
      <c r="O923" t="str">
        <f t="shared" si="149"/>
        <v>Other</v>
      </c>
    </row>
    <row r="924" spans="1:15" hidden="1" x14ac:dyDescent="0.3">
      <c r="A924" t="s">
        <v>821</v>
      </c>
      <c r="B924" s="2">
        <v>42056</v>
      </c>
      <c r="C924" s="3">
        <v>65066</v>
      </c>
      <c r="D924" s="4">
        <v>1559</v>
      </c>
      <c r="E924" s="4">
        <v>375</v>
      </c>
      <c r="F924">
        <f t="shared" si="140"/>
        <v>2015</v>
      </c>
      <c r="G924" t="str">
        <f t="shared" si="141"/>
        <v>February</v>
      </c>
      <c r="H924" t="str">
        <f t="shared" si="142"/>
        <v>Saturday</v>
      </c>
      <c r="I924">
        <f t="shared" si="143"/>
        <v>2.9723665201487717</v>
      </c>
      <c r="J924">
        <f t="shared" si="144"/>
        <v>23.960286478345065</v>
      </c>
      <c r="K924">
        <f t="shared" si="145"/>
        <v>5.7633787231426554</v>
      </c>
      <c r="L924">
        <f t="shared" si="146"/>
        <v>3.4828303650825759E-2</v>
      </c>
      <c r="M924">
        <f t="shared" si="147"/>
        <v>7.3544519174070955E-2</v>
      </c>
      <c r="N924">
        <f t="shared" si="148"/>
        <v>40</v>
      </c>
      <c r="O924" t="str">
        <f t="shared" si="149"/>
        <v>Other</v>
      </c>
    </row>
    <row r="925" spans="1:15" hidden="1" x14ac:dyDescent="0.3">
      <c r="A925" t="s">
        <v>715</v>
      </c>
      <c r="B925" s="2">
        <v>42215</v>
      </c>
      <c r="C925" s="3">
        <v>65065</v>
      </c>
      <c r="D925" s="4">
        <v>1633</v>
      </c>
      <c r="E925" s="4">
        <v>271</v>
      </c>
      <c r="F925">
        <f t="shared" si="140"/>
        <v>2015</v>
      </c>
      <c r="G925" t="str">
        <f t="shared" si="141"/>
        <v>July</v>
      </c>
      <c r="H925" t="str">
        <f t="shared" si="142"/>
        <v>Thursday</v>
      </c>
      <c r="I925">
        <f t="shared" si="143"/>
        <v>2.926304464766003</v>
      </c>
      <c r="J925">
        <f t="shared" si="144"/>
        <v>25.097978944132791</v>
      </c>
      <c r="K925">
        <f t="shared" si="145"/>
        <v>4.1650657035272411</v>
      </c>
      <c r="L925">
        <f t="shared" si="146"/>
        <v>4.9509848506523443E-2</v>
      </c>
      <c r="M925">
        <f t="shared" si="147"/>
        <v>8.5108895340014076E-2</v>
      </c>
      <c r="N925">
        <f t="shared" si="148"/>
        <v>66</v>
      </c>
      <c r="O925" t="str">
        <f t="shared" si="149"/>
        <v>Other</v>
      </c>
    </row>
    <row r="926" spans="1:15" hidden="1" x14ac:dyDescent="0.3">
      <c r="A926" t="s">
        <v>785</v>
      </c>
      <c r="B926" s="2">
        <v>42139</v>
      </c>
      <c r="C926" s="3">
        <v>65064</v>
      </c>
      <c r="D926" s="4">
        <v>1311</v>
      </c>
      <c r="E926" s="4">
        <v>255</v>
      </c>
      <c r="F926">
        <f t="shared" si="140"/>
        <v>2015</v>
      </c>
      <c r="G926" t="str">
        <f t="shared" si="141"/>
        <v>May</v>
      </c>
      <c r="H926" t="str">
        <f t="shared" si="142"/>
        <v>Friday</v>
      </c>
      <c r="I926">
        <f t="shared" si="143"/>
        <v>2.4068609369236444</v>
      </c>
      <c r="J926">
        <f t="shared" si="144"/>
        <v>20.149391368498708</v>
      </c>
      <c r="K926">
        <f t="shared" si="145"/>
        <v>3.9192180007377351</v>
      </c>
      <c r="L926">
        <f t="shared" si="146"/>
        <v>6.3010726758299232E-2</v>
      </c>
      <c r="M926">
        <f t="shared" si="147"/>
        <v>0.10565144753439551</v>
      </c>
      <c r="N926">
        <f t="shared" si="148"/>
        <v>47</v>
      </c>
      <c r="O926" t="str">
        <f t="shared" si="149"/>
        <v>Other</v>
      </c>
    </row>
    <row r="927" spans="1:15" hidden="1" x14ac:dyDescent="0.3">
      <c r="A927" t="s">
        <v>742</v>
      </c>
      <c r="B927" s="2">
        <v>42193</v>
      </c>
      <c r="C927" s="3">
        <v>65064</v>
      </c>
      <c r="D927" s="4">
        <v>2211</v>
      </c>
      <c r="E927" s="4">
        <v>509</v>
      </c>
      <c r="F927">
        <f t="shared" si="140"/>
        <v>2015</v>
      </c>
      <c r="G927" t="str">
        <f t="shared" si="141"/>
        <v>July</v>
      </c>
      <c r="H927" t="str">
        <f t="shared" si="142"/>
        <v>Wednesday</v>
      </c>
      <c r="I927">
        <f t="shared" si="143"/>
        <v>4.1804992007869179</v>
      </c>
      <c r="J927">
        <f t="shared" si="144"/>
        <v>33.981925488749539</v>
      </c>
      <c r="K927">
        <f t="shared" si="145"/>
        <v>7.823066519119636</v>
      </c>
      <c r="L927">
        <f t="shared" si="146"/>
        <v>8.5112826121162444E-2</v>
      </c>
      <c r="M927">
        <f t="shared" si="147"/>
        <v>0.12841673826992647</v>
      </c>
      <c r="N927">
        <f t="shared" si="148"/>
        <v>54</v>
      </c>
      <c r="O927" t="str">
        <f t="shared" si="149"/>
        <v>Other</v>
      </c>
    </row>
    <row r="928" spans="1:15" hidden="1" x14ac:dyDescent="0.3">
      <c r="A928" t="s">
        <v>722</v>
      </c>
      <c r="B928" s="2">
        <v>42211</v>
      </c>
      <c r="C928" s="3">
        <v>65063</v>
      </c>
      <c r="D928" s="4">
        <v>1756</v>
      </c>
      <c r="E928" s="4">
        <v>281</v>
      </c>
      <c r="F928">
        <f t="shared" si="140"/>
        <v>2015</v>
      </c>
      <c r="G928" t="str">
        <f t="shared" si="141"/>
        <v>July</v>
      </c>
      <c r="H928" t="str">
        <f t="shared" si="142"/>
        <v>Sunday</v>
      </c>
      <c r="I928">
        <f t="shared" si="143"/>
        <v>3.1308116748382337</v>
      </c>
      <c r="J928">
        <f t="shared" si="144"/>
        <v>26.989225827275103</v>
      </c>
      <c r="K928">
        <f t="shared" si="145"/>
        <v>4.3188909211072346</v>
      </c>
      <c r="L928">
        <f t="shared" si="146"/>
        <v>8.6155785451353675E-2</v>
      </c>
      <c r="M928">
        <f t="shared" si="147"/>
        <v>0.13196839697490412</v>
      </c>
      <c r="N928">
        <f t="shared" si="148"/>
        <v>27</v>
      </c>
      <c r="O928" t="str">
        <f t="shared" si="149"/>
        <v>Other</v>
      </c>
    </row>
    <row r="929" spans="1:15" hidden="1" x14ac:dyDescent="0.3">
      <c r="A929" t="s">
        <v>726</v>
      </c>
      <c r="B929" s="2">
        <v>42209</v>
      </c>
      <c r="C929" s="3">
        <v>65063</v>
      </c>
      <c r="D929" s="4">
        <v>2375</v>
      </c>
      <c r="E929" s="4">
        <v>1152</v>
      </c>
      <c r="F929">
        <f t="shared" si="140"/>
        <v>2015</v>
      </c>
      <c r="G929" t="str">
        <f t="shared" si="141"/>
        <v>July</v>
      </c>
      <c r="H929" t="str">
        <f t="shared" si="142"/>
        <v>Friday</v>
      </c>
      <c r="I929">
        <f t="shared" si="143"/>
        <v>5.4208997433256991</v>
      </c>
      <c r="J929">
        <f t="shared" si="144"/>
        <v>36.50308162857538</v>
      </c>
      <c r="K929">
        <f t="shared" si="145"/>
        <v>17.705915804681617</v>
      </c>
      <c r="L929">
        <f t="shared" si="146"/>
        <v>9.8943202812372497E-2</v>
      </c>
      <c r="M929">
        <f t="shared" si="147"/>
        <v>0.15506481270072575</v>
      </c>
      <c r="N929">
        <f t="shared" si="148"/>
        <v>31</v>
      </c>
      <c r="O929" t="str">
        <f t="shared" si="149"/>
        <v>Other</v>
      </c>
    </row>
    <row r="930" spans="1:15" hidden="1" x14ac:dyDescent="0.3">
      <c r="A930" t="s">
        <v>731</v>
      </c>
      <c r="B930" s="2">
        <v>42204</v>
      </c>
      <c r="C930" s="3">
        <v>65063</v>
      </c>
      <c r="D930" s="4">
        <v>2000</v>
      </c>
      <c r="E930" s="4">
        <v>516</v>
      </c>
      <c r="F930">
        <f t="shared" si="140"/>
        <v>2015</v>
      </c>
      <c r="G930" t="str">
        <f t="shared" si="141"/>
        <v>July</v>
      </c>
      <c r="H930" t="str">
        <f t="shared" si="142"/>
        <v>Sunday</v>
      </c>
      <c r="I930">
        <f t="shared" si="143"/>
        <v>3.867021194841922</v>
      </c>
      <c r="J930">
        <f t="shared" si="144"/>
        <v>30.739437160905585</v>
      </c>
      <c r="K930">
        <f t="shared" si="145"/>
        <v>7.9307747875136405</v>
      </c>
      <c r="L930">
        <f t="shared" si="146"/>
        <v>9.6433699898246766E-2</v>
      </c>
      <c r="M930">
        <f t="shared" si="147"/>
        <v>0.10562163506151698</v>
      </c>
      <c r="N930">
        <f t="shared" si="148"/>
        <v>42</v>
      </c>
      <c r="O930" t="str">
        <f t="shared" si="149"/>
        <v>Other</v>
      </c>
    </row>
    <row r="931" spans="1:15" hidden="1" x14ac:dyDescent="0.3">
      <c r="A931" t="s">
        <v>679</v>
      </c>
      <c r="B931" s="2">
        <v>42246</v>
      </c>
      <c r="C931" s="3">
        <v>65062</v>
      </c>
      <c r="D931" s="4">
        <v>1950</v>
      </c>
      <c r="E931" s="4">
        <v>539</v>
      </c>
      <c r="F931">
        <f t="shared" si="140"/>
        <v>2015</v>
      </c>
      <c r="G931" t="str">
        <f t="shared" si="141"/>
        <v>August</v>
      </c>
      <c r="H931" t="str">
        <f t="shared" si="142"/>
        <v>Sunday</v>
      </c>
      <c r="I931">
        <f t="shared" si="143"/>
        <v>3.8255817527896467</v>
      </c>
      <c r="J931">
        <f t="shared" si="144"/>
        <v>29.971411884049061</v>
      </c>
      <c r="K931">
        <f t="shared" si="145"/>
        <v>8.284405643847407</v>
      </c>
      <c r="L931">
        <f t="shared" si="146"/>
        <v>0.10456816675713412</v>
      </c>
      <c r="M931">
        <f t="shared" si="147"/>
        <v>0.10773519553479396</v>
      </c>
      <c r="N931">
        <f t="shared" si="148"/>
        <v>42</v>
      </c>
      <c r="O931" t="str">
        <f t="shared" si="149"/>
        <v>Other</v>
      </c>
    </row>
    <row r="932" spans="1:15" hidden="1" x14ac:dyDescent="0.3">
      <c r="A932" t="s">
        <v>682</v>
      </c>
      <c r="B932" s="2">
        <v>42244</v>
      </c>
      <c r="C932" s="3">
        <v>65060</v>
      </c>
      <c r="D932" s="4">
        <v>1717</v>
      </c>
      <c r="E932" s="4">
        <v>282</v>
      </c>
      <c r="F932">
        <f t="shared" si="140"/>
        <v>2015</v>
      </c>
      <c r="G932" t="str">
        <f t="shared" si="141"/>
        <v>August</v>
      </c>
      <c r="H932" t="str">
        <f t="shared" si="142"/>
        <v>Friday</v>
      </c>
      <c r="I932">
        <f t="shared" si="143"/>
        <v>3.0725484168459882</v>
      </c>
      <c r="J932">
        <f t="shared" si="144"/>
        <v>26.39102367045804</v>
      </c>
      <c r="K932">
        <f t="shared" si="145"/>
        <v>4.3344604980018451</v>
      </c>
      <c r="L932">
        <f t="shared" si="146"/>
        <v>0.11465756506169389</v>
      </c>
      <c r="M932">
        <f t="shared" si="147"/>
        <v>0.10772152130301252</v>
      </c>
      <c r="N932">
        <f t="shared" si="148"/>
        <v>38</v>
      </c>
      <c r="O932" t="str">
        <f t="shared" si="149"/>
        <v>Other</v>
      </c>
    </row>
    <row r="933" spans="1:15" hidden="1" x14ac:dyDescent="0.3">
      <c r="A933" t="s">
        <v>765</v>
      </c>
      <c r="B933" s="2">
        <v>42172</v>
      </c>
      <c r="C933" s="3">
        <v>65060</v>
      </c>
      <c r="D933" s="4">
        <v>1597</v>
      </c>
      <c r="E933" s="4">
        <v>388</v>
      </c>
      <c r="F933">
        <f t="shared" si="140"/>
        <v>2015</v>
      </c>
      <c r="G933" t="str">
        <f t="shared" si="141"/>
        <v>June</v>
      </c>
      <c r="H933" t="str">
        <f t="shared" si="142"/>
        <v>Wednesday</v>
      </c>
      <c r="I933">
        <f t="shared" si="143"/>
        <v>3.0510298186289577</v>
      </c>
      <c r="J933">
        <f t="shared" si="144"/>
        <v>24.546572394712573</v>
      </c>
      <c r="K933">
        <f t="shared" si="145"/>
        <v>5.9637257915770059</v>
      </c>
      <c r="L933">
        <f t="shared" si="146"/>
        <v>0.13086155125737045</v>
      </c>
      <c r="M933">
        <f t="shared" si="147"/>
        <v>0.13108635913700267</v>
      </c>
      <c r="N933">
        <f t="shared" si="148"/>
        <v>39</v>
      </c>
      <c r="O933" t="str">
        <f t="shared" si="149"/>
        <v>Other</v>
      </c>
    </row>
    <row r="934" spans="1:15" hidden="1" x14ac:dyDescent="0.3">
      <c r="A934" t="s">
        <v>672</v>
      </c>
      <c r="B934" s="2">
        <v>42255</v>
      </c>
      <c r="C934" s="3">
        <v>65059</v>
      </c>
      <c r="D934" s="4">
        <v>4673</v>
      </c>
      <c r="E934" s="4">
        <v>920</v>
      </c>
      <c r="F934">
        <f t="shared" si="140"/>
        <v>2015</v>
      </c>
      <c r="G934" t="str">
        <f t="shared" si="141"/>
        <v>September</v>
      </c>
      <c r="H934" t="str">
        <f t="shared" si="142"/>
        <v>Tuesday</v>
      </c>
      <c r="I934">
        <f t="shared" si="143"/>
        <v>8.5968121243794098</v>
      </c>
      <c r="J934">
        <f t="shared" si="144"/>
        <v>71.827110776372223</v>
      </c>
      <c r="K934">
        <f t="shared" si="145"/>
        <v>14.141010467421879</v>
      </c>
      <c r="L934">
        <f t="shared" si="146"/>
        <v>0.15288664887645201</v>
      </c>
      <c r="M934">
        <f t="shared" si="147"/>
        <v>0.14708346494464763</v>
      </c>
      <c r="N934">
        <f t="shared" si="148"/>
        <v>46</v>
      </c>
      <c r="O934" t="str">
        <f t="shared" si="149"/>
        <v>Other</v>
      </c>
    </row>
    <row r="935" spans="1:15" hidden="1" x14ac:dyDescent="0.3">
      <c r="A935" t="s">
        <v>752</v>
      </c>
      <c r="B935" s="2">
        <v>42186</v>
      </c>
      <c r="C935" s="3">
        <v>65058</v>
      </c>
      <c r="D935" s="4">
        <v>1572</v>
      </c>
      <c r="E935" s="4">
        <v>357</v>
      </c>
      <c r="F935">
        <f t="shared" si="140"/>
        <v>2015</v>
      </c>
      <c r="G935" t="str">
        <f t="shared" si="141"/>
        <v>July</v>
      </c>
      <c r="H935" t="str">
        <f t="shared" si="142"/>
        <v>Wednesday</v>
      </c>
      <c r="I935">
        <f t="shared" si="143"/>
        <v>2.9650465738264318</v>
      </c>
      <c r="J935">
        <f t="shared" si="144"/>
        <v>24.163054505210734</v>
      </c>
      <c r="K935">
        <f t="shared" si="145"/>
        <v>5.4874112330535825</v>
      </c>
      <c r="L935">
        <f t="shared" si="146"/>
        <v>8.9202907757303357E-2</v>
      </c>
      <c r="M935">
        <f t="shared" si="147"/>
        <v>0.11330522289698254</v>
      </c>
      <c r="N935">
        <f t="shared" si="148"/>
        <v>37</v>
      </c>
      <c r="O935" t="str">
        <f t="shared" si="149"/>
        <v>Challenge</v>
      </c>
    </row>
    <row r="936" spans="1:15" hidden="1" x14ac:dyDescent="0.3">
      <c r="A936" t="s">
        <v>676</v>
      </c>
      <c r="B936" s="2">
        <v>42252</v>
      </c>
      <c r="C936" s="3">
        <v>65056</v>
      </c>
      <c r="D936" s="4">
        <v>2228</v>
      </c>
      <c r="E936" s="4">
        <v>373</v>
      </c>
      <c r="F936">
        <f t="shared" si="140"/>
        <v>2015</v>
      </c>
      <c r="G936" t="str">
        <f t="shared" si="141"/>
        <v>September</v>
      </c>
      <c r="H936" t="str">
        <f t="shared" si="142"/>
        <v>Saturday</v>
      </c>
      <c r="I936">
        <f t="shared" si="143"/>
        <v>3.9980939498278403</v>
      </c>
      <c r="J936">
        <f t="shared" si="144"/>
        <v>34.24741760944417</v>
      </c>
      <c r="K936">
        <f t="shared" si="145"/>
        <v>5.7335218888342352</v>
      </c>
      <c r="L936">
        <f t="shared" si="146"/>
        <v>0.10948401091315099</v>
      </c>
      <c r="M936">
        <f t="shared" si="147"/>
        <v>0.13106835105709891</v>
      </c>
      <c r="N936">
        <f t="shared" si="148"/>
        <v>51</v>
      </c>
      <c r="O936" t="str">
        <f t="shared" si="149"/>
        <v>Other</v>
      </c>
    </row>
    <row r="937" spans="1:15" hidden="1" x14ac:dyDescent="0.3">
      <c r="A937" t="s">
        <v>739</v>
      </c>
      <c r="B937" s="2">
        <v>42196</v>
      </c>
      <c r="C937" s="3">
        <v>65055</v>
      </c>
      <c r="D937" s="4">
        <v>0</v>
      </c>
      <c r="E937" s="4">
        <v>396</v>
      </c>
      <c r="F937">
        <f t="shared" si="140"/>
        <v>2015</v>
      </c>
      <c r="G937" t="str">
        <f t="shared" si="141"/>
        <v>July</v>
      </c>
      <c r="H937" t="str">
        <f t="shared" si="142"/>
        <v>Saturday</v>
      </c>
      <c r="I937">
        <f t="shared" si="143"/>
        <v>0.60871570209822456</v>
      </c>
      <c r="J937">
        <f t="shared" si="144"/>
        <v>0</v>
      </c>
      <c r="K937">
        <f t="shared" si="145"/>
        <v>6.0871570209822456</v>
      </c>
      <c r="L937">
        <f t="shared" si="146"/>
        <v>0.11068739925291124</v>
      </c>
      <c r="M937">
        <f t="shared" si="147"/>
        <v>0.14651742683346744</v>
      </c>
      <c r="N937">
        <f t="shared" si="148"/>
        <v>54</v>
      </c>
      <c r="O937" t="str">
        <f t="shared" si="149"/>
        <v>Other</v>
      </c>
    </row>
    <row r="938" spans="1:15" hidden="1" x14ac:dyDescent="0.3">
      <c r="A938" t="s">
        <v>738</v>
      </c>
      <c r="B938" s="2">
        <v>42197</v>
      </c>
      <c r="C938" s="3">
        <v>65054</v>
      </c>
      <c r="D938" s="4">
        <v>2105</v>
      </c>
      <c r="E938" s="4">
        <v>685</v>
      </c>
      <c r="F938">
        <f t="shared" si="140"/>
        <v>2015</v>
      </c>
      <c r="G938" t="str">
        <f t="shared" si="141"/>
        <v>July</v>
      </c>
      <c r="H938" t="str">
        <f t="shared" si="142"/>
        <v>Sunday</v>
      </c>
      <c r="I938">
        <f t="shared" si="143"/>
        <v>4.2887447351431112</v>
      </c>
      <c r="J938">
        <f t="shared" si="144"/>
        <v>32.357733575183694</v>
      </c>
      <c r="K938">
        <f t="shared" si="145"/>
        <v>10.529713776247425</v>
      </c>
      <c r="L938">
        <f t="shared" si="146"/>
        <v>0.17604747035863916</v>
      </c>
      <c r="M938">
        <f t="shared" si="147"/>
        <v>0.16024049492801157</v>
      </c>
      <c r="N938">
        <f t="shared" si="148"/>
        <v>22</v>
      </c>
      <c r="O938" t="str">
        <f t="shared" si="149"/>
        <v>Other</v>
      </c>
    </row>
    <row r="939" spans="1:15" hidden="1" x14ac:dyDescent="0.3">
      <c r="A939" t="s">
        <v>632</v>
      </c>
      <c r="B939" s="2">
        <v>42340</v>
      </c>
      <c r="C939" s="3">
        <v>65054</v>
      </c>
      <c r="D939" s="4">
        <v>1495</v>
      </c>
      <c r="E939" s="4">
        <v>291</v>
      </c>
      <c r="F939">
        <f t="shared" si="140"/>
        <v>2015</v>
      </c>
      <c r="G939" t="str">
        <f t="shared" si="141"/>
        <v>December</v>
      </c>
      <c r="H939" t="str">
        <f t="shared" si="142"/>
        <v>Wednesday</v>
      </c>
      <c r="I939">
        <f t="shared" si="143"/>
        <v>2.7454115042887448</v>
      </c>
      <c r="J939">
        <f t="shared" si="144"/>
        <v>22.980908168598393</v>
      </c>
      <c r="K939">
        <f t="shared" si="145"/>
        <v>4.4732068742890521</v>
      </c>
      <c r="L939">
        <f t="shared" si="146"/>
        <v>0.1835596978074987</v>
      </c>
      <c r="M939">
        <f t="shared" si="147"/>
        <v>0.14945144224924023</v>
      </c>
      <c r="N939">
        <f t="shared" si="148"/>
        <v>42</v>
      </c>
      <c r="O939" t="str">
        <f t="shared" si="149"/>
        <v>Other</v>
      </c>
    </row>
    <row r="940" spans="1:15" hidden="1" x14ac:dyDescent="0.3">
      <c r="A940" t="s">
        <v>766</v>
      </c>
      <c r="B940" s="2">
        <v>42168</v>
      </c>
      <c r="C940" s="3">
        <v>65054</v>
      </c>
      <c r="D940" s="4">
        <v>1372</v>
      </c>
      <c r="E940" s="4">
        <v>187</v>
      </c>
      <c r="F940">
        <f t="shared" si="140"/>
        <v>2015</v>
      </c>
      <c r="G940" t="str">
        <f t="shared" si="141"/>
        <v>June</v>
      </c>
      <c r="H940" t="str">
        <f t="shared" si="142"/>
        <v>Saturday</v>
      </c>
      <c r="I940">
        <f t="shared" si="143"/>
        <v>2.396470624404341</v>
      </c>
      <c r="J940">
        <f t="shared" si="144"/>
        <v>21.090171242352508</v>
      </c>
      <c r="K940">
        <f t="shared" si="145"/>
        <v>2.8745350016909028</v>
      </c>
      <c r="L940">
        <f t="shared" si="146"/>
        <v>0.21006607829179327</v>
      </c>
      <c r="M940">
        <f t="shared" si="147"/>
        <v>0.17357089641531914</v>
      </c>
      <c r="N940">
        <f t="shared" si="148"/>
        <v>63</v>
      </c>
      <c r="O940" t="str">
        <f t="shared" si="149"/>
        <v>Other</v>
      </c>
    </row>
    <row r="941" spans="1:15" hidden="1" x14ac:dyDescent="0.3">
      <c r="A941" t="s">
        <v>703</v>
      </c>
      <c r="B941" s="2">
        <v>42222</v>
      </c>
      <c r="C941" s="3">
        <v>65053</v>
      </c>
      <c r="D941" s="4">
        <v>1522</v>
      </c>
      <c r="E941" s="4">
        <v>343</v>
      </c>
      <c r="F941">
        <f t="shared" si="140"/>
        <v>2015</v>
      </c>
      <c r="G941" t="str">
        <f t="shared" si="141"/>
        <v>August</v>
      </c>
      <c r="H941" t="str">
        <f t="shared" si="142"/>
        <v>Thursday</v>
      </c>
      <c r="I941">
        <f t="shared" si="143"/>
        <v>2.8668931486633973</v>
      </c>
      <c r="J941">
        <f t="shared" si="144"/>
        <v>23.396307626089499</v>
      </c>
      <c r="K941">
        <f t="shared" si="145"/>
        <v>5.2726238605444795</v>
      </c>
      <c r="L941">
        <f t="shared" si="146"/>
        <v>0.24435920202081918</v>
      </c>
      <c r="M941">
        <f t="shared" si="147"/>
        <v>0.21187066901002957</v>
      </c>
      <c r="N941">
        <f t="shared" si="148"/>
        <v>30</v>
      </c>
      <c r="O941" t="str">
        <f t="shared" si="149"/>
        <v>Other</v>
      </c>
    </row>
    <row r="942" spans="1:15" hidden="1" x14ac:dyDescent="0.3">
      <c r="A942" t="s">
        <v>702</v>
      </c>
      <c r="B942" s="2">
        <v>42223</v>
      </c>
      <c r="C942" s="3">
        <v>65053</v>
      </c>
      <c r="D942" s="4">
        <v>2240</v>
      </c>
      <c r="E942" s="4">
        <v>564</v>
      </c>
      <c r="F942">
        <f t="shared" si="140"/>
        <v>2015</v>
      </c>
      <c r="G942" t="str">
        <f t="shared" si="141"/>
        <v>August</v>
      </c>
      <c r="H942" t="str">
        <f t="shared" si="142"/>
        <v>Friday</v>
      </c>
      <c r="I942">
        <f t="shared" si="143"/>
        <v>4.3103315757920466</v>
      </c>
      <c r="J942">
        <f t="shared" si="144"/>
        <v>34.433461946412926</v>
      </c>
      <c r="K942">
        <f t="shared" si="145"/>
        <v>8.6698538115075401</v>
      </c>
      <c r="L942">
        <f t="shared" si="146"/>
        <v>0.27511634627349207</v>
      </c>
      <c r="M942">
        <f t="shared" si="147"/>
        <v>0.23587081309064675</v>
      </c>
      <c r="N942">
        <f t="shared" si="148"/>
        <v>37</v>
      </c>
      <c r="O942" t="str">
        <f t="shared" si="149"/>
        <v>Other</v>
      </c>
    </row>
    <row r="943" spans="1:15" hidden="1" x14ac:dyDescent="0.3">
      <c r="A943" t="s">
        <v>667</v>
      </c>
      <c r="B943" s="2">
        <v>42265</v>
      </c>
      <c r="C943" s="3">
        <v>65053</v>
      </c>
      <c r="D943" s="4">
        <v>2387</v>
      </c>
      <c r="E943" s="4">
        <v>340</v>
      </c>
      <c r="F943">
        <f t="shared" si="140"/>
        <v>2015</v>
      </c>
      <c r="G943" t="str">
        <f t="shared" si="141"/>
        <v>September</v>
      </c>
      <c r="H943" t="str">
        <f t="shared" si="142"/>
        <v>Friday</v>
      </c>
      <c r="I943">
        <f t="shared" si="143"/>
        <v>4.1919665503512515</v>
      </c>
      <c r="J943">
        <f t="shared" si="144"/>
        <v>36.693157886646276</v>
      </c>
      <c r="K943">
        <f t="shared" si="145"/>
        <v>5.2265076168662477</v>
      </c>
      <c r="L943">
        <f t="shared" si="146"/>
        <v>0.28690922011039038</v>
      </c>
      <c r="M943">
        <f t="shared" si="147"/>
        <v>0.24064179212866649</v>
      </c>
      <c r="N943">
        <f t="shared" si="148"/>
        <v>42</v>
      </c>
      <c r="O943" t="str">
        <f t="shared" si="149"/>
        <v>Other</v>
      </c>
    </row>
    <row r="944" spans="1:15" hidden="1" x14ac:dyDescent="0.3">
      <c r="A944" t="s">
        <v>660</v>
      </c>
      <c r="B944" s="2">
        <v>42274</v>
      </c>
      <c r="C944" s="3">
        <v>65053</v>
      </c>
      <c r="D944" s="4">
        <v>1903</v>
      </c>
      <c r="E944" s="4">
        <v>316</v>
      </c>
      <c r="F944">
        <f t="shared" si="140"/>
        <v>2015</v>
      </c>
      <c r="G944" t="str">
        <f t="shared" si="141"/>
        <v>September</v>
      </c>
      <c r="H944" t="str">
        <f t="shared" si="142"/>
        <v>Sunday</v>
      </c>
      <c r="I944">
        <f t="shared" si="143"/>
        <v>3.4110648240665302</v>
      </c>
      <c r="J944">
        <f t="shared" si="144"/>
        <v>29.253070573224907</v>
      </c>
      <c r="K944">
        <f t="shared" si="145"/>
        <v>4.8575776674403945</v>
      </c>
      <c r="L944">
        <f t="shared" si="146"/>
        <v>0.29618927559187924</v>
      </c>
      <c r="M944">
        <f t="shared" si="147"/>
        <v>0.27183043337693996</v>
      </c>
      <c r="N944">
        <f t="shared" si="148"/>
        <v>72</v>
      </c>
      <c r="O944" t="str">
        <f t="shared" si="149"/>
        <v>Other</v>
      </c>
    </row>
    <row r="945" spans="1:15" hidden="1" x14ac:dyDescent="0.3">
      <c r="A945" t="s">
        <v>757</v>
      </c>
      <c r="B945" s="2">
        <v>42178</v>
      </c>
      <c r="C945" s="3">
        <v>65052</v>
      </c>
      <c r="D945" s="4">
        <v>1622</v>
      </c>
      <c r="E945" s="4">
        <v>264</v>
      </c>
      <c r="F945">
        <f t="shared" si="140"/>
        <v>2015</v>
      </c>
      <c r="G945" t="str">
        <f t="shared" si="141"/>
        <v>June</v>
      </c>
      <c r="H945" t="str">
        <f t="shared" si="142"/>
        <v>Tuesday</v>
      </c>
      <c r="I945">
        <f t="shared" si="143"/>
        <v>2.8992190862694458</v>
      </c>
      <c r="J945">
        <f t="shared" si="144"/>
        <v>24.933899034618459</v>
      </c>
      <c r="K945">
        <f t="shared" si="145"/>
        <v>4.0582918280760003</v>
      </c>
      <c r="L945">
        <f t="shared" si="146"/>
        <v>0.32632280856524259</v>
      </c>
      <c r="M945">
        <f t="shared" si="147"/>
        <v>0.3123719501975637</v>
      </c>
      <c r="N945">
        <f t="shared" si="148"/>
        <v>36</v>
      </c>
      <c r="O945" t="str">
        <f t="shared" si="149"/>
        <v>Challenge</v>
      </c>
    </row>
    <row r="946" spans="1:15" hidden="1" x14ac:dyDescent="0.3">
      <c r="A946" t="s">
        <v>764</v>
      </c>
      <c r="B946" s="2">
        <v>42173</v>
      </c>
      <c r="C946" s="3">
        <v>65051</v>
      </c>
      <c r="D946" s="4">
        <v>1921</v>
      </c>
      <c r="E946" s="4">
        <v>491</v>
      </c>
      <c r="F946">
        <f t="shared" si="140"/>
        <v>2015</v>
      </c>
      <c r="G946" t="str">
        <f t="shared" si="141"/>
        <v>June</v>
      </c>
      <c r="H946" t="str">
        <f t="shared" si="142"/>
        <v>Thursday</v>
      </c>
      <c r="I946">
        <f t="shared" si="143"/>
        <v>3.7078599867796038</v>
      </c>
      <c r="J946">
        <f t="shared" si="144"/>
        <v>29.530675931192448</v>
      </c>
      <c r="K946">
        <f t="shared" si="145"/>
        <v>7.5479239366035875</v>
      </c>
      <c r="L946">
        <f t="shared" si="146"/>
        <v>0.36988929601872528</v>
      </c>
      <c r="M946">
        <f t="shared" si="147"/>
        <v>0.3631129307834885</v>
      </c>
      <c r="N946">
        <f t="shared" si="148"/>
        <v>35</v>
      </c>
      <c r="O946" t="str">
        <f t="shared" si="149"/>
        <v>Other</v>
      </c>
    </row>
    <row r="947" spans="1:15" hidden="1" x14ac:dyDescent="0.3">
      <c r="A947" t="s">
        <v>732</v>
      </c>
      <c r="B947" s="2">
        <v>42203</v>
      </c>
      <c r="C947" s="3">
        <v>65051</v>
      </c>
      <c r="D947" s="4">
        <v>11498</v>
      </c>
      <c r="E947" s="4">
        <v>3347</v>
      </c>
      <c r="F947">
        <f t="shared" si="140"/>
        <v>2015</v>
      </c>
      <c r="G947" t="str">
        <f t="shared" si="141"/>
        <v>July</v>
      </c>
      <c r="H947" t="str">
        <f t="shared" si="142"/>
        <v>Saturday</v>
      </c>
      <c r="I947">
        <f t="shared" si="143"/>
        <v>22.820556178998018</v>
      </c>
      <c r="J947">
        <f t="shared" si="144"/>
        <v>176.75362407956834</v>
      </c>
      <c r="K947">
        <f t="shared" si="145"/>
        <v>51.451937710411826</v>
      </c>
      <c r="L947">
        <f t="shared" si="146"/>
        <v>0.40490675208768889</v>
      </c>
      <c r="M947">
        <f t="shared" si="147"/>
        <v>0.38901970364484556</v>
      </c>
      <c r="N947">
        <f t="shared" si="148"/>
        <v>41</v>
      </c>
      <c r="O947" t="str">
        <f t="shared" si="149"/>
        <v>Other</v>
      </c>
    </row>
    <row r="948" spans="1:15" hidden="1" x14ac:dyDescent="0.3">
      <c r="A948" t="s">
        <v>615</v>
      </c>
      <c r="B948" s="2">
        <v>42379</v>
      </c>
      <c r="C948" s="3">
        <v>65048</v>
      </c>
      <c r="D948" s="4">
        <v>3242</v>
      </c>
      <c r="E948" s="4">
        <v>593</v>
      </c>
      <c r="F948">
        <f t="shared" si="140"/>
        <v>2016</v>
      </c>
      <c r="G948" t="str">
        <f t="shared" si="141"/>
        <v>January</v>
      </c>
      <c r="H948" t="str">
        <f t="shared" si="142"/>
        <v>Sunday</v>
      </c>
      <c r="I948">
        <f t="shared" si="143"/>
        <v>5.8956462919690074</v>
      </c>
      <c r="J948">
        <f t="shared" si="144"/>
        <v>49.840118066658469</v>
      </c>
      <c r="K948">
        <f t="shared" si="145"/>
        <v>9.1163448530316078</v>
      </c>
      <c r="L948">
        <f t="shared" si="146"/>
        <v>0.20534780780537981</v>
      </c>
      <c r="M948">
        <f t="shared" si="147"/>
        <v>0.13233879627174505</v>
      </c>
      <c r="N948">
        <f t="shared" si="148"/>
        <v>48</v>
      </c>
      <c r="O948" t="str">
        <f t="shared" si="149"/>
        <v>Money</v>
      </c>
    </row>
    <row r="949" spans="1:15" hidden="1" x14ac:dyDescent="0.3">
      <c r="A949" t="s">
        <v>683</v>
      </c>
      <c r="B949" s="2">
        <v>42243</v>
      </c>
      <c r="C949" s="3">
        <v>65047</v>
      </c>
      <c r="D949" s="4">
        <v>2071</v>
      </c>
      <c r="E949" s="4">
        <v>493</v>
      </c>
      <c r="F949">
        <f t="shared" si="140"/>
        <v>2015</v>
      </c>
      <c r="G949" t="str">
        <f t="shared" si="141"/>
        <v>August</v>
      </c>
      <c r="H949" t="str">
        <f t="shared" si="142"/>
        <v>Thursday</v>
      </c>
      <c r="I949">
        <f t="shared" si="143"/>
        <v>3.9417651851737978</v>
      </c>
      <c r="J949">
        <f t="shared" si="144"/>
        <v>31.838516764800836</v>
      </c>
      <c r="K949">
        <f t="shared" si="145"/>
        <v>7.5791350869371383</v>
      </c>
      <c r="L949">
        <f t="shared" si="146"/>
        <v>5.9118540968395777E-2</v>
      </c>
      <c r="M949">
        <f t="shared" si="147"/>
        <v>8.948467852017894E-2</v>
      </c>
      <c r="N949">
        <f t="shared" si="148"/>
        <v>70</v>
      </c>
      <c r="O949" t="str">
        <f t="shared" si="149"/>
        <v>Other</v>
      </c>
    </row>
    <row r="950" spans="1:15" hidden="1" x14ac:dyDescent="0.3">
      <c r="A950" t="s">
        <v>794</v>
      </c>
      <c r="B950" s="2">
        <v>42126</v>
      </c>
      <c r="C950" s="3">
        <v>65046</v>
      </c>
      <c r="D950" s="4">
        <v>1638</v>
      </c>
      <c r="E950" s="4">
        <v>284</v>
      </c>
      <c r="F950">
        <f t="shared" si="140"/>
        <v>2015</v>
      </c>
      <c r="G950" t="str">
        <f t="shared" si="141"/>
        <v>May</v>
      </c>
      <c r="H950" t="str">
        <f t="shared" si="142"/>
        <v>Saturday</v>
      </c>
      <c r="I950">
        <f t="shared" si="143"/>
        <v>2.954831965070873</v>
      </c>
      <c r="J950">
        <f t="shared" si="144"/>
        <v>25.182178765796511</v>
      </c>
      <c r="K950">
        <f t="shared" si="145"/>
        <v>4.3661408849122161</v>
      </c>
      <c r="L950">
        <f t="shared" si="146"/>
        <v>4.7882403858185534E-2</v>
      </c>
      <c r="M950">
        <f t="shared" si="147"/>
        <v>7.7174824803880618E-2</v>
      </c>
      <c r="N950">
        <f t="shared" si="148"/>
        <v>13</v>
      </c>
      <c r="O950" t="str">
        <f t="shared" si="149"/>
        <v>Other</v>
      </c>
    </row>
    <row r="951" spans="1:15" hidden="1" x14ac:dyDescent="0.3">
      <c r="A951" t="s">
        <v>850</v>
      </c>
      <c r="B951" s="2">
        <v>41811</v>
      </c>
      <c r="C951" s="3">
        <v>65046</v>
      </c>
      <c r="D951" s="4">
        <v>1900</v>
      </c>
      <c r="E951" s="4">
        <v>406</v>
      </c>
      <c r="F951">
        <f t="shared" si="140"/>
        <v>2014</v>
      </c>
      <c r="G951" t="str">
        <f t="shared" si="141"/>
        <v>June</v>
      </c>
      <c r="H951" t="str">
        <f t="shared" si="142"/>
        <v>Saturday</v>
      </c>
      <c r="I951">
        <f t="shared" si="143"/>
        <v>3.545183408664637</v>
      </c>
      <c r="J951">
        <f t="shared" si="144"/>
        <v>29.210097469483134</v>
      </c>
      <c r="K951">
        <f t="shared" si="145"/>
        <v>6.2417366171632382</v>
      </c>
      <c r="L951">
        <f t="shared" si="146"/>
        <v>9.8053041926704484E-2</v>
      </c>
      <c r="M951">
        <f t="shared" si="147"/>
        <v>0.13193375503486224</v>
      </c>
      <c r="N951">
        <f t="shared" si="148"/>
        <v>36</v>
      </c>
      <c r="O951" t="str">
        <f t="shared" si="149"/>
        <v>Other</v>
      </c>
    </row>
    <row r="952" spans="1:15" hidden="1" x14ac:dyDescent="0.3">
      <c r="A952" t="s">
        <v>784</v>
      </c>
      <c r="B952" s="2">
        <v>42139</v>
      </c>
      <c r="C952" s="3">
        <v>65046</v>
      </c>
      <c r="D952" s="4">
        <v>1954</v>
      </c>
      <c r="E952" s="4">
        <v>366</v>
      </c>
      <c r="F952">
        <f t="shared" si="140"/>
        <v>2015</v>
      </c>
      <c r="G952" t="str">
        <f t="shared" si="141"/>
        <v>May</v>
      </c>
      <c r="H952" t="str">
        <f t="shared" si="142"/>
        <v>Friday</v>
      </c>
      <c r="I952">
        <f t="shared" si="143"/>
        <v>3.5667066383789936</v>
      </c>
      <c r="J952">
        <f t="shared" si="144"/>
        <v>30.040279187036866</v>
      </c>
      <c r="K952">
        <f t="shared" si="145"/>
        <v>5.6267871967530674</v>
      </c>
      <c r="L952">
        <f t="shared" si="146"/>
        <v>0.11525618405854424</v>
      </c>
      <c r="M952">
        <f t="shared" si="147"/>
        <v>0.15193882720215052</v>
      </c>
      <c r="N952">
        <f t="shared" si="148"/>
        <v>39</v>
      </c>
      <c r="O952" t="str">
        <f t="shared" si="149"/>
        <v>Other</v>
      </c>
    </row>
    <row r="953" spans="1:15" hidden="1" x14ac:dyDescent="0.3">
      <c r="A953" t="s">
        <v>849</v>
      </c>
      <c r="B953" s="2">
        <v>41812</v>
      </c>
      <c r="C953" s="3">
        <v>65046</v>
      </c>
      <c r="D953" s="4">
        <v>1842</v>
      </c>
      <c r="E953" s="4">
        <v>428</v>
      </c>
      <c r="F953">
        <f t="shared" si="140"/>
        <v>2014</v>
      </c>
      <c r="G953" t="str">
        <f t="shared" si="141"/>
        <v>June</v>
      </c>
      <c r="H953" t="str">
        <f t="shared" si="142"/>
        <v>Sunday</v>
      </c>
      <c r="I953">
        <f t="shared" si="143"/>
        <v>3.4898379608277219</v>
      </c>
      <c r="J953">
        <f t="shared" si="144"/>
        <v>28.318420809888387</v>
      </c>
      <c r="K953">
        <f t="shared" si="145"/>
        <v>6.5799587983888328</v>
      </c>
      <c r="L953">
        <f t="shared" si="146"/>
        <v>0.12655081206936455</v>
      </c>
      <c r="M953">
        <f t="shared" si="147"/>
        <v>0.1909448001381642</v>
      </c>
      <c r="N953">
        <f t="shared" si="148"/>
        <v>40</v>
      </c>
      <c r="O953" t="str">
        <f t="shared" si="149"/>
        <v>Other</v>
      </c>
    </row>
    <row r="954" spans="1:15" hidden="1" x14ac:dyDescent="0.3">
      <c r="A954" t="s">
        <v>740</v>
      </c>
      <c r="B954" s="2">
        <v>42195</v>
      </c>
      <c r="C954" s="3">
        <v>65046</v>
      </c>
      <c r="D954" s="4">
        <v>2372</v>
      </c>
      <c r="E954" s="4">
        <v>587</v>
      </c>
      <c r="F954">
        <f t="shared" si="140"/>
        <v>2015</v>
      </c>
      <c r="G954" t="str">
        <f t="shared" si="141"/>
        <v>July</v>
      </c>
      <c r="H954" t="str">
        <f t="shared" si="142"/>
        <v>Friday</v>
      </c>
      <c r="I954">
        <f t="shared" si="143"/>
        <v>4.5490883374842417</v>
      </c>
      <c r="J954">
        <f t="shared" si="144"/>
        <v>36.466500630323154</v>
      </c>
      <c r="K954">
        <f t="shared" si="145"/>
        <v>9.0243827445192633</v>
      </c>
      <c r="L954">
        <f t="shared" si="146"/>
        <v>0.16077278946051102</v>
      </c>
      <c r="M954">
        <f t="shared" si="147"/>
        <v>0.21180733128501752</v>
      </c>
      <c r="N954">
        <f t="shared" si="148"/>
        <v>48</v>
      </c>
      <c r="O954" t="str">
        <f t="shared" si="149"/>
        <v>Other</v>
      </c>
    </row>
    <row r="955" spans="1:15" hidden="1" x14ac:dyDescent="0.3">
      <c r="A955" t="s">
        <v>854</v>
      </c>
      <c r="B955" s="2">
        <v>41800</v>
      </c>
      <c r="C955" s="3">
        <v>65045</v>
      </c>
      <c r="D955" s="4">
        <v>1965</v>
      </c>
      <c r="E955" s="4">
        <v>477</v>
      </c>
      <c r="F955">
        <f t="shared" si="140"/>
        <v>2014</v>
      </c>
      <c r="G955" t="str">
        <f t="shared" si="141"/>
        <v>June</v>
      </c>
      <c r="H955" t="str">
        <f t="shared" si="142"/>
        <v>Tuesday</v>
      </c>
      <c r="I955">
        <f t="shared" si="143"/>
        <v>3.7543239295872088</v>
      </c>
      <c r="J955">
        <f t="shared" si="144"/>
        <v>30.209854715965871</v>
      </c>
      <c r="K955">
        <f t="shared" si="145"/>
        <v>7.3333845799062187</v>
      </c>
      <c r="L955">
        <f t="shared" si="146"/>
        <v>9.9014098573143916E-2</v>
      </c>
      <c r="M955">
        <f t="shared" si="147"/>
        <v>0.16868255530684764</v>
      </c>
      <c r="N955">
        <f t="shared" si="148"/>
        <v>34</v>
      </c>
      <c r="O955" t="str">
        <f t="shared" si="149"/>
        <v>Other</v>
      </c>
    </row>
    <row r="956" spans="1:15" hidden="1" x14ac:dyDescent="0.3">
      <c r="A956" t="s">
        <v>852</v>
      </c>
      <c r="B956" s="2">
        <v>41806</v>
      </c>
      <c r="C956" s="3">
        <v>65044</v>
      </c>
      <c r="D956" s="4">
        <v>1991</v>
      </c>
      <c r="E956" s="4">
        <v>474</v>
      </c>
      <c r="F956">
        <f t="shared" si="140"/>
        <v>2014</v>
      </c>
      <c r="G956" t="str">
        <f t="shared" si="141"/>
        <v>June</v>
      </c>
      <c r="H956" t="str">
        <f t="shared" si="142"/>
        <v>Monday</v>
      </c>
      <c r="I956">
        <f t="shared" si="143"/>
        <v>3.7897423282700937</v>
      </c>
      <c r="J956">
        <f t="shared" si="144"/>
        <v>30.610048582498003</v>
      </c>
      <c r="K956">
        <f t="shared" si="145"/>
        <v>7.287374700202939</v>
      </c>
      <c r="L956">
        <f t="shared" si="146"/>
        <v>0.10892679784194882</v>
      </c>
      <c r="M956">
        <f t="shared" si="147"/>
        <v>0.1674149100389242</v>
      </c>
      <c r="N956">
        <f t="shared" si="148"/>
        <v>7</v>
      </c>
      <c r="O956" t="str">
        <f t="shared" si="149"/>
        <v>Other</v>
      </c>
    </row>
    <row r="957" spans="1:15" hidden="1" x14ac:dyDescent="0.3">
      <c r="A957" t="s">
        <v>652</v>
      </c>
      <c r="B957" s="2">
        <v>42288</v>
      </c>
      <c r="C957" s="3">
        <v>65044</v>
      </c>
      <c r="D957" s="4">
        <v>2117</v>
      </c>
      <c r="E957" s="4">
        <v>374</v>
      </c>
      <c r="F957">
        <f t="shared" si="140"/>
        <v>2015</v>
      </c>
      <c r="G957" t="str">
        <f t="shared" si="141"/>
        <v>October</v>
      </c>
      <c r="H957" t="str">
        <f t="shared" si="142"/>
        <v>Sunday</v>
      </c>
      <c r="I957">
        <f t="shared" si="143"/>
        <v>3.8297152696636125</v>
      </c>
      <c r="J957">
        <f t="shared" si="144"/>
        <v>32.547198819260814</v>
      </c>
      <c r="K957">
        <f t="shared" si="145"/>
        <v>5.7499538773753152</v>
      </c>
      <c r="L957">
        <f t="shared" si="146"/>
        <v>0.11387488860929142</v>
      </c>
      <c r="M957">
        <f t="shared" si="147"/>
        <v>0.16642411069609739</v>
      </c>
      <c r="N957">
        <f t="shared" si="148"/>
        <v>72</v>
      </c>
      <c r="O957" t="str">
        <f t="shared" si="149"/>
        <v>Other</v>
      </c>
    </row>
    <row r="958" spans="1:15" hidden="1" x14ac:dyDescent="0.3">
      <c r="A958" t="s">
        <v>743</v>
      </c>
      <c r="B958" s="2">
        <v>42193</v>
      </c>
      <c r="C958" s="3">
        <v>65043</v>
      </c>
      <c r="D958" s="4">
        <v>1387</v>
      </c>
      <c r="E958" s="4">
        <v>262</v>
      </c>
      <c r="F958">
        <f t="shared" si="140"/>
        <v>2015</v>
      </c>
      <c r="G958" t="str">
        <f t="shared" si="141"/>
        <v>July</v>
      </c>
      <c r="H958" t="str">
        <f t="shared" si="142"/>
        <v>Wednesday</v>
      </c>
      <c r="I958">
        <f t="shared" si="143"/>
        <v>2.5352459142413482</v>
      </c>
      <c r="J958">
        <f t="shared" si="144"/>
        <v>21.324354657687991</v>
      </c>
      <c r="K958">
        <f t="shared" si="145"/>
        <v>4.028104484725489</v>
      </c>
      <c r="L958">
        <f t="shared" si="146"/>
        <v>9.4707804246527874E-2</v>
      </c>
      <c r="M958">
        <f t="shared" si="147"/>
        <v>0.21301781738782224</v>
      </c>
      <c r="N958">
        <f t="shared" si="148"/>
        <v>67</v>
      </c>
      <c r="O958" t="str">
        <f t="shared" si="149"/>
        <v>Other</v>
      </c>
    </row>
    <row r="959" spans="1:15" hidden="1" x14ac:dyDescent="0.3">
      <c r="A959" t="s">
        <v>704</v>
      </c>
      <c r="B959" s="2">
        <v>42221</v>
      </c>
      <c r="C959" s="3">
        <v>65041</v>
      </c>
      <c r="D959" s="4">
        <v>1720</v>
      </c>
      <c r="E959" s="4">
        <v>325</v>
      </c>
      <c r="F959">
        <f t="shared" si="140"/>
        <v>2015</v>
      </c>
      <c r="G959" t="str">
        <f t="shared" si="141"/>
        <v>August</v>
      </c>
      <c r="H959" t="str">
        <f t="shared" si="142"/>
        <v>Wednesday</v>
      </c>
      <c r="I959">
        <f t="shared" si="143"/>
        <v>3.1441706000830245</v>
      </c>
      <c r="J959">
        <f t="shared" si="144"/>
        <v>26.444857858889009</v>
      </c>
      <c r="K959">
        <f t="shared" si="145"/>
        <v>4.9968481419412374</v>
      </c>
      <c r="L959">
        <f t="shared" si="146"/>
        <v>0.22670273834014501</v>
      </c>
      <c r="M959">
        <f t="shared" si="147"/>
        <v>0.31628717296609393</v>
      </c>
      <c r="N959">
        <f t="shared" si="148"/>
        <v>30</v>
      </c>
      <c r="O959" t="str">
        <f t="shared" si="149"/>
        <v>Other</v>
      </c>
    </row>
    <row r="960" spans="1:15" hidden="1" x14ac:dyDescent="0.3">
      <c r="A960" t="s">
        <v>853</v>
      </c>
      <c r="B960" s="2">
        <v>41803</v>
      </c>
      <c r="C960" s="3">
        <v>65041</v>
      </c>
      <c r="D960" s="4">
        <v>1901</v>
      </c>
      <c r="E960" s="4">
        <v>433</v>
      </c>
      <c r="F960">
        <f t="shared" si="140"/>
        <v>2014</v>
      </c>
      <c r="G960" t="str">
        <f t="shared" si="141"/>
        <v>June</v>
      </c>
      <c r="H960" t="str">
        <f t="shared" si="142"/>
        <v>Friday</v>
      </c>
      <c r="I960">
        <f t="shared" si="143"/>
        <v>3.5885057117817989</v>
      </c>
      <c r="J960">
        <f t="shared" si="144"/>
        <v>29.227717901016284</v>
      </c>
      <c r="K960">
        <f t="shared" si="145"/>
        <v>6.6573392168017094</v>
      </c>
      <c r="L960">
        <f t="shared" si="146"/>
        <v>0.27799892232763684</v>
      </c>
      <c r="M960">
        <f t="shared" si="147"/>
        <v>0.3729574628940347</v>
      </c>
      <c r="N960">
        <f t="shared" si="148"/>
        <v>33</v>
      </c>
      <c r="O960" t="str">
        <f t="shared" si="149"/>
        <v>Other</v>
      </c>
    </row>
    <row r="961" spans="1:15" hidden="1" x14ac:dyDescent="0.3">
      <c r="A961" t="s">
        <v>760</v>
      </c>
      <c r="B961" s="2">
        <v>42176</v>
      </c>
      <c r="C961" s="3">
        <v>65041</v>
      </c>
      <c r="D961" s="4">
        <v>2375</v>
      </c>
      <c r="E961" s="4">
        <v>591</v>
      </c>
      <c r="F961">
        <f t="shared" si="140"/>
        <v>2015</v>
      </c>
      <c r="G961" t="str">
        <f t="shared" si="141"/>
        <v>June</v>
      </c>
      <c r="H961" t="str">
        <f t="shared" si="142"/>
        <v>Sunday</v>
      </c>
      <c r="I961">
        <f t="shared" si="143"/>
        <v>4.560200488922372</v>
      </c>
      <c r="J961">
        <f t="shared" si="144"/>
        <v>36.51542872957058</v>
      </c>
      <c r="K961">
        <f t="shared" si="145"/>
        <v>9.0865761596531414</v>
      </c>
      <c r="L961">
        <f t="shared" si="146"/>
        <v>0.30646350411421092</v>
      </c>
      <c r="M961">
        <f t="shared" si="147"/>
        <v>0.39722167847618056</v>
      </c>
      <c r="N961">
        <f t="shared" si="148"/>
        <v>33</v>
      </c>
      <c r="O961" t="str">
        <f t="shared" si="149"/>
        <v>Other</v>
      </c>
    </row>
    <row r="962" spans="1:15" hidden="1" x14ac:dyDescent="0.3">
      <c r="A962" t="s">
        <v>799</v>
      </c>
      <c r="B962" s="2">
        <v>42118</v>
      </c>
      <c r="C962" s="3">
        <v>65040</v>
      </c>
      <c r="D962" s="4">
        <v>1809</v>
      </c>
      <c r="E962" s="4">
        <v>413</v>
      </c>
      <c r="F962">
        <f t="shared" ref="F962:F988" si="150">YEAR(B962)</f>
        <v>2015</v>
      </c>
      <c r="G962" t="str">
        <f t="shared" ref="G962:G988" si="151">TEXT(B962,"MMMM")</f>
        <v>April</v>
      </c>
      <c r="H962" t="str">
        <f t="shared" ref="H962:H988" si="152">TEXT(B962, "DDDD")</f>
        <v>Friday</v>
      </c>
      <c r="I962">
        <f t="shared" ref="I962:I988" si="153">((D962+E962)/C962)*100</f>
        <v>3.4163591635916362</v>
      </c>
      <c r="J962">
        <f t="shared" ref="J962:J988" si="154">(D962/C962)*1000</f>
        <v>27.813653136531368</v>
      </c>
      <c r="K962">
        <f t="shared" ref="K962:K988" si="155">(E962/C962)*1000</f>
        <v>6.3499384993849937</v>
      </c>
      <c r="L962">
        <f t="shared" ref="L962:L1025" si="156">CORREL(C962:C1460, D962:D1460)</f>
        <v>0.26330789255072101</v>
      </c>
      <c r="M962">
        <f t="shared" ref="M962:M1025" si="157">CORREL(C962:C1460,E962:E1460)</f>
        <v>0.37113078734919663</v>
      </c>
      <c r="N962">
        <f t="shared" ref="N962:N988" si="158">LEN(A962)</f>
        <v>14</v>
      </c>
      <c r="O962" t="str">
        <f t="shared" ref="O962:O988" si="159">IF(ISNUMBER(SEARCH("$",A962)), "Money", IF(ISNUMBER(SEARCH("Win",A962)), "Challenge",IF(ISNUMBER(SEARCH("Challenge",A962)), "Challenge",IF(ISNUMBER(SEARCH("Last To Leave",A962)),"Challenge",IF(ISNUMBER(SEARCH("Giving Away", A962)),"Giveaway",IF(ISNUMBER(SEARCH("Stranded",A962)),"Survival", IF(ISNUMBER(SEARCH("Survive",A962)), "Survival", IF(ISNUMBER(SEARCH("Days",A962)),"Endurance","Other"))))))))</f>
        <v>Other</v>
      </c>
    </row>
    <row r="963" spans="1:15" hidden="1" x14ac:dyDescent="0.3">
      <c r="A963" t="s">
        <v>680</v>
      </c>
      <c r="B963" s="2">
        <v>42245</v>
      </c>
      <c r="C963" s="3">
        <v>65040</v>
      </c>
      <c r="D963" s="4">
        <v>2335</v>
      </c>
      <c r="E963" s="4">
        <v>542</v>
      </c>
      <c r="F963">
        <f t="shared" si="150"/>
        <v>2015</v>
      </c>
      <c r="G963" t="str">
        <f t="shared" si="151"/>
        <v>August</v>
      </c>
      <c r="H963" t="str">
        <f t="shared" si="152"/>
        <v>Saturday</v>
      </c>
      <c r="I963">
        <f t="shared" si="153"/>
        <v>4.4234317343173428</v>
      </c>
      <c r="J963">
        <f t="shared" si="154"/>
        <v>35.900984009840101</v>
      </c>
      <c r="K963">
        <f t="shared" si="155"/>
        <v>8.3333333333333339</v>
      </c>
      <c r="L963">
        <f t="shared" si="156"/>
        <v>0.30106888040158353</v>
      </c>
      <c r="M963">
        <f t="shared" si="157"/>
        <v>0.39715707402729367</v>
      </c>
      <c r="N963">
        <f t="shared" si="158"/>
        <v>25</v>
      </c>
      <c r="O963" t="str">
        <f t="shared" si="159"/>
        <v>Other</v>
      </c>
    </row>
    <row r="964" spans="1:15" hidden="1" x14ac:dyDescent="0.3">
      <c r="A964" t="s">
        <v>772</v>
      </c>
      <c r="B964" s="2">
        <v>42160</v>
      </c>
      <c r="C964" s="3">
        <v>65040</v>
      </c>
      <c r="D964" s="4">
        <v>2053</v>
      </c>
      <c r="E964" s="4">
        <v>581</v>
      </c>
      <c r="F964">
        <f t="shared" si="150"/>
        <v>2015</v>
      </c>
      <c r="G964" t="str">
        <f t="shared" si="151"/>
        <v>June</v>
      </c>
      <c r="H964" t="str">
        <f t="shared" si="152"/>
        <v>Friday</v>
      </c>
      <c r="I964">
        <f t="shared" si="153"/>
        <v>4.0498154981549819</v>
      </c>
      <c r="J964">
        <f t="shared" si="154"/>
        <v>31.565190651906523</v>
      </c>
      <c r="K964">
        <f t="shared" si="155"/>
        <v>8.9329643296432977</v>
      </c>
      <c r="L964">
        <f t="shared" si="156"/>
        <v>0.26452977933698468</v>
      </c>
      <c r="M964">
        <f t="shared" si="157"/>
        <v>0.38503758659253634</v>
      </c>
      <c r="N964">
        <f t="shared" si="158"/>
        <v>37</v>
      </c>
      <c r="O964" t="str">
        <f t="shared" si="159"/>
        <v>Other</v>
      </c>
    </row>
    <row r="965" spans="1:15" hidden="1" x14ac:dyDescent="0.3">
      <c r="A965" t="s">
        <v>758</v>
      </c>
      <c r="B965" s="2">
        <v>42177</v>
      </c>
      <c r="C965" s="3">
        <v>65040</v>
      </c>
      <c r="D965" s="4">
        <v>2231</v>
      </c>
      <c r="E965" s="4">
        <v>893</v>
      </c>
      <c r="F965">
        <f t="shared" si="150"/>
        <v>2015</v>
      </c>
      <c r="G965" t="str">
        <f t="shared" si="151"/>
        <v>June</v>
      </c>
      <c r="H965" t="str">
        <f t="shared" si="152"/>
        <v>Monday</v>
      </c>
      <c r="I965">
        <f t="shared" si="153"/>
        <v>4.8031980319803198</v>
      </c>
      <c r="J965">
        <f t="shared" si="154"/>
        <v>34.301968019680196</v>
      </c>
      <c r="K965">
        <f t="shared" si="155"/>
        <v>13.730012300123001</v>
      </c>
      <c r="L965">
        <f t="shared" si="156"/>
        <v>0.26559143960131254</v>
      </c>
      <c r="M965">
        <f t="shared" si="157"/>
        <v>0.35866065859523305</v>
      </c>
      <c r="N965">
        <f t="shared" si="158"/>
        <v>38</v>
      </c>
      <c r="O965" t="str">
        <f t="shared" si="159"/>
        <v>Other</v>
      </c>
    </row>
    <row r="966" spans="1:15" hidden="1" x14ac:dyDescent="0.3">
      <c r="A966" t="s">
        <v>675</v>
      </c>
      <c r="B966" s="2">
        <v>42252</v>
      </c>
      <c r="C966" s="3">
        <v>65040</v>
      </c>
      <c r="D966" s="4">
        <v>2097</v>
      </c>
      <c r="E966" s="4">
        <v>436</v>
      </c>
      <c r="F966">
        <f t="shared" si="150"/>
        <v>2015</v>
      </c>
      <c r="G966" t="str">
        <f t="shared" si="151"/>
        <v>September</v>
      </c>
      <c r="H966" t="str">
        <f t="shared" si="152"/>
        <v>Saturday</v>
      </c>
      <c r="I966">
        <f t="shared" si="153"/>
        <v>3.8945264452644528</v>
      </c>
      <c r="J966">
        <f t="shared" si="154"/>
        <v>32.241697416974169</v>
      </c>
      <c r="K966">
        <f t="shared" si="155"/>
        <v>6.7035670356703569</v>
      </c>
      <c r="L966">
        <f t="shared" si="156"/>
        <v>0.23503688503808459</v>
      </c>
      <c r="M966">
        <f t="shared" si="157"/>
        <v>0.2292673741398861</v>
      </c>
      <c r="N966">
        <f t="shared" si="158"/>
        <v>43</v>
      </c>
      <c r="O966" t="str">
        <f t="shared" si="159"/>
        <v>Other</v>
      </c>
    </row>
    <row r="967" spans="1:15" hidden="1" x14ac:dyDescent="0.3">
      <c r="A967" t="s">
        <v>705</v>
      </c>
      <c r="B967" s="2">
        <v>42220</v>
      </c>
      <c r="C967" s="3">
        <v>65039</v>
      </c>
      <c r="D967" s="4">
        <v>1869</v>
      </c>
      <c r="E967" s="4">
        <v>696</v>
      </c>
      <c r="F967">
        <f t="shared" si="150"/>
        <v>2015</v>
      </c>
      <c r="G967" t="str">
        <f t="shared" si="151"/>
        <v>August</v>
      </c>
      <c r="H967" t="str">
        <f t="shared" si="152"/>
        <v>Tuesday</v>
      </c>
      <c r="I967">
        <f t="shared" si="153"/>
        <v>3.9437875736096806</v>
      </c>
      <c r="J967">
        <f t="shared" si="154"/>
        <v>28.736604191331356</v>
      </c>
      <c r="K967">
        <f t="shared" si="155"/>
        <v>10.701271544765449</v>
      </c>
      <c r="L967">
        <f t="shared" si="156"/>
        <v>0.22510148197461585</v>
      </c>
      <c r="M967">
        <f t="shared" si="157"/>
        <v>0.24019189861190673</v>
      </c>
      <c r="N967">
        <f t="shared" si="158"/>
        <v>25</v>
      </c>
      <c r="O967" t="str">
        <f t="shared" si="159"/>
        <v>Other</v>
      </c>
    </row>
    <row r="968" spans="1:15" hidden="1" x14ac:dyDescent="0.3">
      <c r="A968" t="s">
        <v>770</v>
      </c>
      <c r="B968" s="2">
        <v>42162</v>
      </c>
      <c r="C968" s="3">
        <v>65039</v>
      </c>
      <c r="D968" s="4">
        <v>1977</v>
      </c>
      <c r="E968" s="4">
        <v>401</v>
      </c>
      <c r="F968">
        <f t="shared" si="150"/>
        <v>2015</v>
      </c>
      <c r="G968" t="str">
        <f t="shared" si="151"/>
        <v>June</v>
      </c>
      <c r="H968" t="str">
        <f t="shared" si="152"/>
        <v>Sunday</v>
      </c>
      <c r="I968">
        <f t="shared" si="153"/>
        <v>3.6562677777948616</v>
      </c>
      <c r="J968">
        <f t="shared" si="154"/>
        <v>30.397146327588064</v>
      </c>
      <c r="K968">
        <f t="shared" si="155"/>
        <v>6.1655314503605529</v>
      </c>
      <c r="L968">
        <f t="shared" si="156"/>
        <v>0.25508950818912923</v>
      </c>
      <c r="M968">
        <f t="shared" si="157"/>
        <v>0.13604521525147711</v>
      </c>
      <c r="N968">
        <f t="shared" si="158"/>
        <v>31</v>
      </c>
      <c r="O968" t="str">
        <f t="shared" si="159"/>
        <v>Other</v>
      </c>
    </row>
    <row r="969" spans="1:15" hidden="1" x14ac:dyDescent="0.3">
      <c r="A969" t="s">
        <v>844</v>
      </c>
      <c r="B969" s="2">
        <v>41829</v>
      </c>
      <c r="C969" s="3">
        <v>65039</v>
      </c>
      <c r="D969" s="4">
        <v>1798</v>
      </c>
      <c r="E969" s="4">
        <v>330</v>
      </c>
      <c r="F969">
        <f t="shared" si="150"/>
        <v>2014</v>
      </c>
      <c r="G969" t="str">
        <f t="shared" si="151"/>
        <v>July</v>
      </c>
      <c r="H969" t="str">
        <f t="shared" si="152"/>
        <v>Wednesday</v>
      </c>
      <c r="I969">
        <f t="shared" si="153"/>
        <v>3.2718830240317347</v>
      </c>
      <c r="J969">
        <f t="shared" si="154"/>
        <v>27.644951490644075</v>
      </c>
      <c r="K969">
        <f t="shared" si="155"/>
        <v>5.0738787496732725</v>
      </c>
      <c r="L969">
        <f t="shared" si="156"/>
        <v>0.26985962278286579</v>
      </c>
      <c r="M969">
        <f t="shared" si="157"/>
        <v>0.15176233268820638</v>
      </c>
      <c r="N969">
        <f t="shared" si="158"/>
        <v>34</v>
      </c>
      <c r="O969" t="str">
        <f t="shared" si="159"/>
        <v>Other</v>
      </c>
    </row>
    <row r="970" spans="1:15" hidden="1" x14ac:dyDescent="0.3">
      <c r="A970" t="s">
        <v>735</v>
      </c>
      <c r="B970" s="2">
        <v>42200</v>
      </c>
      <c r="C970" s="3">
        <v>65038</v>
      </c>
      <c r="D970" s="4">
        <v>1529</v>
      </c>
      <c r="E970" s="4">
        <v>377</v>
      </c>
      <c r="F970">
        <f t="shared" si="150"/>
        <v>2015</v>
      </c>
      <c r="G970" t="str">
        <f t="shared" si="151"/>
        <v>July</v>
      </c>
      <c r="H970" t="str">
        <f t="shared" si="152"/>
        <v>Wednesday</v>
      </c>
      <c r="I970">
        <f t="shared" si="153"/>
        <v>2.9305944217226854</v>
      </c>
      <c r="J970">
        <f t="shared" si="154"/>
        <v>23.509333005319967</v>
      </c>
      <c r="K970">
        <f t="shared" si="155"/>
        <v>5.7966112119068853</v>
      </c>
      <c r="L970">
        <f t="shared" si="156"/>
        <v>0.33317112566924978</v>
      </c>
      <c r="M970">
        <f t="shared" si="157"/>
        <v>0.22072176089803947</v>
      </c>
      <c r="N970">
        <f t="shared" si="158"/>
        <v>20</v>
      </c>
      <c r="O970" t="str">
        <f t="shared" si="159"/>
        <v>Other</v>
      </c>
    </row>
    <row r="971" spans="1:15" hidden="1" x14ac:dyDescent="0.3">
      <c r="A971" t="s">
        <v>594</v>
      </c>
      <c r="B971" s="2">
        <v>42452</v>
      </c>
      <c r="C971" s="3">
        <v>65038</v>
      </c>
      <c r="D971" s="4">
        <v>2717</v>
      </c>
      <c r="E971" s="4">
        <v>318</v>
      </c>
      <c r="F971">
        <f t="shared" si="150"/>
        <v>2016</v>
      </c>
      <c r="G971" t="str">
        <f t="shared" si="151"/>
        <v>March</v>
      </c>
      <c r="H971" t="str">
        <f t="shared" si="152"/>
        <v>Wednesday</v>
      </c>
      <c r="I971">
        <f t="shared" si="153"/>
        <v>4.6665026599833945</v>
      </c>
      <c r="J971">
        <f t="shared" si="154"/>
        <v>41.775577354777212</v>
      </c>
      <c r="K971">
        <f t="shared" si="155"/>
        <v>4.8894492450567357</v>
      </c>
      <c r="L971">
        <f t="shared" si="156"/>
        <v>0.45229590901214045</v>
      </c>
      <c r="M971">
        <f t="shared" si="157"/>
        <v>0.25482304378362453</v>
      </c>
      <c r="N971">
        <f t="shared" si="158"/>
        <v>31</v>
      </c>
      <c r="O971" t="str">
        <f t="shared" si="159"/>
        <v>Other</v>
      </c>
    </row>
    <row r="972" spans="1:15" hidden="1" x14ac:dyDescent="0.3">
      <c r="A972" t="s">
        <v>756</v>
      </c>
      <c r="B972" s="2">
        <v>42182</v>
      </c>
      <c r="C972" s="3">
        <v>65038</v>
      </c>
      <c r="D972" s="4">
        <v>2294</v>
      </c>
      <c r="E972" s="4">
        <v>492</v>
      </c>
      <c r="F972">
        <f t="shared" si="150"/>
        <v>2015</v>
      </c>
      <c r="G972" t="str">
        <f t="shared" si="151"/>
        <v>June</v>
      </c>
      <c r="H972" t="str">
        <f t="shared" si="152"/>
        <v>Saturday</v>
      </c>
      <c r="I972">
        <f t="shared" si="153"/>
        <v>4.2836495587195174</v>
      </c>
      <c r="J972">
        <f t="shared" si="154"/>
        <v>35.271687321258341</v>
      </c>
      <c r="K972">
        <f t="shared" si="155"/>
        <v>7.5648082659368372</v>
      </c>
      <c r="L972">
        <f t="shared" si="156"/>
        <v>0.36037310000116057</v>
      </c>
      <c r="M972">
        <f t="shared" si="157"/>
        <v>0.33798552053120717</v>
      </c>
      <c r="N972">
        <f t="shared" si="158"/>
        <v>33</v>
      </c>
      <c r="O972" t="str">
        <f t="shared" si="159"/>
        <v>Other</v>
      </c>
    </row>
    <row r="973" spans="1:15" hidden="1" x14ac:dyDescent="0.3">
      <c r="A973" t="s">
        <v>763</v>
      </c>
      <c r="B973" s="2">
        <v>42173</v>
      </c>
      <c r="C973" s="3">
        <v>65038</v>
      </c>
      <c r="D973" s="4">
        <v>2063</v>
      </c>
      <c r="E973" s="4">
        <v>707</v>
      </c>
      <c r="F973">
        <f t="shared" si="150"/>
        <v>2015</v>
      </c>
      <c r="G973" t="str">
        <f t="shared" si="151"/>
        <v>June</v>
      </c>
      <c r="H973" t="str">
        <f t="shared" si="152"/>
        <v>Thursday</v>
      </c>
      <c r="I973">
        <f t="shared" si="153"/>
        <v>4.2590485562286666</v>
      </c>
      <c r="J973">
        <f t="shared" si="154"/>
        <v>31.71991758664166</v>
      </c>
      <c r="K973">
        <f t="shared" si="155"/>
        <v>10.870567975645006</v>
      </c>
      <c r="L973">
        <f t="shared" si="156"/>
        <v>0.30563656768755315</v>
      </c>
      <c r="M973">
        <f t="shared" si="157"/>
        <v>0.32244289325503034</v>
      </c>
      <c r="N973">
        <f t="shared" si="158"/>
        <v>38</v>
      </c>
      <c r="O973" t="str">
        <f t="shared" si="159"/>
        <v>Other</v>
      </c>
    </row>
    <row r="974" spans="1:15" hidden="1" x14ac:dyDescent="0.3">
      <c r="A974" t="s">
        <v>694</v>
      </c>
      <c r="B974" s="2">
        <v>42119</v>
      </c>
      <c r="C974" s="3">
        <v>65037</v>
      </c>
      <c r="D974" s="4">
        <v>1627</v>
      </c>
      <c r="E974" s="4">
        <v>246</v>
      </c>
      <c r="F974">
        <f t="shared" si="150"/>
        <v>2015</v>
      </c>
      <c r="G974" t="str">
        <f t="shared" si="151"/>
        <v>April</v>
      </c>
      <c r="H974" t="str">
        <f t="shared" si="152"/>
        <v>Saturday</v>
      </c>
      <c r="I974">
        <f t="shared" si="153"/>
        <v>2.8798991343389146</v>
      </c>
      <c r="J974">
        <f t="shared" si="154"/>
        <v>25.01652905269308</v>
      </c>
      <c r="K974">
        <f t="shared" si="155"/>
        <v>3.7824622906960652</v>
      </c>
      <c r="L974">
        <f t="shared" si="156"/>
        <v>0.30141318144246088</v>
      </c>
      <c r="M974">
        <f t="shared" si="157"/>
        <v>0.13961171458176541</v>
      </c>
      <c r="N974">
        <f t="shared" si="158"/>
        <v>20</v>
      </c>
      <c r="O974" t="str">
        <f t="shared" si="159"/>
        <v>Other</v>
      </c>
    </row>
    <row r="975" spans="1:15" hidden="1" x14ac:dyDescent="0.3">
      <c r="A975" t="s">
        <v>783</v>
      </c>
      <c r="B975" s="2">
        <v>42142</v>
      </c>
      <c r="C975" s="3">
        <v>65037</v>
      </c>
      <c r="D975" s="4">
        <v>1860</v>
      </c>
      <c r="E975" s="4">
        <v>420</v>
      </c>
      <c r="F975">
        <f t="shared" si="150"/>
        <v>2015</v>
      </c>
      <c r="G975" t="str">
        <f t="shared" si="151"/>
        <v>May</v>
      </c>
      <c r="H975" t="str">
        <f t="shared" si="152"/>
        <v>Monday</v>
      </c>
      <c r="I975">
        <f t="shared" si="153"/>
        <v>3.5056967572304996</v>
      </c>
      <c r="J975">
        <f t="shared" si="154"/>
        <v>28.599105124775129</v>
      </c>
      <c r="K975">
        <f t="shared" si="155"/>
        <v>6.4578624475298669</v>
      </c>
      <c r="L975">
        <f t="shared" si="156"/>
        <v>0.4218809224313298</v>
      </c>
      <c r="M975">
        <f t="shared" si="157"/>
        <v>0.28791375062779834</v>
      </c>
      <c r="N975">
        <f t="shared" si="158"/>
        <v>46</v>
      </c>
      <c r="O975" t="str">
        <f t="shared" si="159"/>
        <v>Other</v>
      </c>
    </row>
    <row r="976" spans="1:15" hidden="1" x14ac:dyDescent="0.3">
      <c r="A976" t="s">
        <v>583</v>
      </c>
      <c r="B976" s="2">
        <v>42473</v>
      </c>
      <c r="C976" s="3">
        <v>65037</v>
      </c>
      <c r="D976" s="4">
        <v>2507</v>
      </c>
      <c r="E976" s="4">
        <v>718</v>
      </c>
      <c r="F976">
        <f t="shared" si="150"/>
        <v>2016</v>
      </c>
      <c r="G976" t="str">
        <f t="shared" si="151"/>
        <v>April</v>
      </c>
      <c r="H976" t="str">
        <f t="shared" si="152"/>
        <v>Wednesday</v>
      </c>
      <c r="I976">
        <f t="shared" si="153"/>
        <v>4.9587158079247198</v>
      </c>
      <c r="J976">
        <f t="shared" si="154"/>
        <v>38.547288466565192</v>
      </c>
      <c r="K976">
        <f t="shared" si="155"/>
        <v>11.039869612682011</v>
      </c>
      <c r="L976">
        <f t="shared" si="156"/>
        <v>0.502170758401835</v>
      </c>
      <c r="M976">
        <f t="shared" si="157"/>
        <v>0.31432098818232856</v>
      </c>
      <c r="N976">
        <f t="shared" si="158"/>
        <v>49</v>
      </c>
      <c r="O976" t="str">
        <f t="shared" si="159"/>
        <v>Other</v>
      </c>
    </row>
    <row r="977" spans="1:15" hidden="1" x14ac:dyDescent="0.3">
      <c r="A977" t="s">
        <v>642</v>
      </c>
      <c r="B977" s="2">
        <v>42311</v>
      </c>
      <c r="C977" s="3">
        <v>65036</v>
      </c>
      <c r="D977" s="4">
        <v>1988</v>
      </c>
      <c r="E977" s="4">
        <v>273</v>
      </c>
      <c r="F977">
        <f t="shared" si="150"/>
        <v>2015</v>
      </c>
      <c r="G977" t="str">
        <f t="shared" si="151"/>
        <v>November</v>
      </c>
      <c r="H977" t="str">
        <f t="shared" si="152"/>
        <v>Tuesday</v>
      </c>
      <c r="I977">
        <f t="shared" si="153"/>
        <v>3.4765360723291714</v>
      </c>
      <c r="J977">
        <f t="shared" si="154"/>
        <v>30.567685589519648</v>
      </c>
      <c r="K977">
        <f t="shared" si="155"/>
        <v>4.1976751337720639</v>
      </c>
      <c r="L977">
        <f t="shared" si="156"/>
        <v>0.38254608034474719</v>
      </c>
      <c r="M977">
        <f t="shared" si="157"/>
        <v>-6.2880508519243834E-3</v>
      </c>
      <c r="N977">
        <f t="shared" si="158"/>
        <v>32</v>
      </c>
      <c r="O977" t="str">
        <f t="shared" si="159"/>
        <v>Other</v>
      </c>
    </row>
    <row r="978" spans="1:15" hidden="1" x14ac:dyDescent="0.3">
      <c r="A978" t="s">
        <v>727</v>
      </c>
      <c r="B978" s="2">
        <v>42208</v>
      </c>
      <c r="C978" s="3">
        <v>65036</v>
      </c>
      <c r="D978" s="4">
        <v>1997</v>
      </c>
      <c r="E978" s="4">
        <v>338</v>
      </c>
      <c r="F978">
        <f t="shared" si="150"/>
        <v>2015</v>
      </c>
      <c r="G978" t="str">
        <f t="shared" si="151"/>
        <v>July</v>
      </c>
      <c r="H978" t="str">
        <f t="shared" si="152"/>
        <v>Thursday</v>
      </c>
      <c r="I978">
        <f t="shared" si="153"/>
        <v>3.5903192078233594</v>
      </c>
      <c r="J978">
        <f t="shared" si="154"/>
        <v>30.706070484039611</v>
      </c>
      <c r="K978">
        <f t="shared" si="155"/>
        <v>5.1971215941939848</v>
      </c>
      <c r="L978">
        <f t="shared" si="156"/>
        <v>0.39977377016495985</v>
      </c>
      <c r="M978">
        <f t="shared" si="157"/>
        <v>0.14940284429326312</v>
      </c>
      <c r="N978">
        <f t="shared" si="158"/>
        <v>41</v>
      </c>
      <c r="O978" t="str">
        <f t="shared" si="159"/>
        <v>Other</v>
      </c>
    </row>
    <row r="979" spans="1:15" hidden="1" x14ac:dyDescent="0.3">
      <c r="A979" t="s">
        <v>713</v>
      </c>
      <c r="B979" s="2">
        <v>42216</v>
      </c>
      <c r="C979" s="3">
        <v>65035</v>
      </c>
      <c r="D979" s="4">
        <v>2868</v>
      </c>
      <c r="E979" s="4">
        <v>555</v>
      </c>
      <c r="F979">
        <f t="shared" si="150"/>
        <v>2015</v>
      </c>
      <c r="G979" t="str">
        <f t="shared" si="151"/>
        <v>July</v>
      </c>
      <c r="H979" t="str">
        <f t="shared" si="152"/>
        <v>Friday</v>
      </c>
      <c r="I979">
        <f t="shared" si="153"/>
        <v>5.26331975090336</v>
      </c>
      <c r="J979">
        <f t="shared" si="154"/>
        <v>44.099331129391864</v>
      </c>
      <c r="K979">
        <f t="shared" si="155"/>
        <v>8.5338663796417311</v>
      </c>
      <c r="L979">
        <f t="shared" si="156"/>
        <v>0.43014072752269478</v>
      </c>
      <c r="M979">
        <f t="shared" si="157"/>
        <v>0.28756221694084549</v>
      </c>
      <c r="N979">
        <f t="shared" si="158"/>
        <v>22</v>
      </c>
      <c r="O979" t="str">
        <f t="shared" si="159"/>
        <v>Other</v>
      </c>
    </row>
    <row r="980" spans="1:15" hidden="1" x14ac:dyDescent="0.3">
      <c r="A980" t="s">
        <v>728</v>
      </c>
      <c r="B980" s="2">
        <v>42207</v>
      </c>
      <c r="C980" s="3">
        <v>65035</v>
      </c>
      <c r="D980" s="4">
        <v>2459</v>
      </c>
      <c r="E980" s="4">
        <v>618</v>
      </c>
      <c r="F980">
        <f t="shared" si="150"/>
        <v>2015</v>
      </c>
      <c r="G980" t="str">
        <f t="shared" si="151"/>
        <v>July</v>
      </c>
      <c r="H980" t="str">
        <f t="shared" si="152"/>
        <v>Wednesday</v>
      </c>
      <c r="I980">
        <f t="shared" si="153"/>
        <v>4.7312985315599292</v>
      </c>
      <c r="J980">
        <f t="shared" si="154"/>
        <v>37.810409779349584</v>
      </c>
      <c r="K980">
        <f t="shared" si="155"/>
        <v>9.5025755362497115</v>
      </c>
      <c r="L980">
        <f t="shared" si="156"/>
        <v>0.22205422472082467</v>
      </c>
      <c r="M980">
        <f t="shared" si="157"/>
        <v>0.14585544304050727</v>
      </c>
      <c r="N980">
        <f t="shared" si="158"/>
        <v>33</v>
      </c>
      <c r="O980" t="str">
        <f t="shared" si="159"/>
        <v>Challenge</v>
      </c>
    </row>
    <row r="981" spans="1:15" hidden="1" x14ac:dyDescent="0.3">
      <c r="A981" t="s">
        <v>775</v>
      </c>
      <c r="B981" s="2">
        <v>42154</v>
      </c>
      <c r="C981" s="3">
        <v>65035</v>
      </c>
      <c r="D981" s="4">
        <v>1695</v>
      </c>
      <c r="E981" s="4">
        <v>420</v>
      </c>
      <c r="F981">
        <f t="shared" si="150"/>
        <v>2015</v>
      </c>
      <c r="G981" t="str">
        <f t="shared" si="151"/>
        <v>May</v>
      </c>
      <c r="H981" t="str">
        <f t="shared" si="152"/>
        <v>Saturday</v>
      </c>
      <c r="I981">
        <f t="shared" si="153"/>
        <v>3.2520950257553625</v>
      </c>
      <c r="J981">
        <f t="shared" si="154"/>
        <v>26.062889213500423</v>
      </c>
      <c r="K981">
        <f t="shared" si="155"/>
        <v>6.4580610440532018</v>
      </c>
      <c r="L981">
        <f t="shared" si="156"/>
        <v>-0.3510389896846694</v>
      </c>
      <c r="M981">
        <f t="shared" si="157"/>
        <v>-0.33121652339850255</v>
      </c>
      <c r="N981">
        <f t="shared" si="158"/>
        <v>45</v>
      </c>
      <c r="O981" t="str">
        <f t="shared" si="159"/>
        <v>Other</v>
      </c>
    </row>
    <row r="982" spans="1:15" hidden="1" x14ac:dyDescent="0.3">
      <c r="A982" t="s">
        <v>773</v>
      </c>
      <c r="B982" s="2">
        <v>42159</v>
      </c>
      <c r="C982" s="3">
        <v>65034</v>
      </c>
      <c r="D982" s="4">
        <v>1898</v>
      </c>
      <c r="E982" s="4">
        <v>288</v>
      </c>
      <c r="F982">
        <f t="shared" si="150"/>
        <v>2015</v>
      </c>
      <c r="G982" t="str">
        <f t="shared" si="151"/>
        <v>June</v>
      </c>
      <c r="H982" t="str">
        <f t="shared" si="152"/>
        <v>Thursday</v>
      </c>
      <c r="I982">
        <f t="shared" si="153"/>
        <v>3.3613186948365472</v>
      </c>
      <c r="J982">
        <f t="shared" si="154"/>
        <v>29.184734139065721</v>
      </c>
      <c r="K982">
        <f t="shared" si="155"/>
        <v>4.4284528092997508</v>
      </c>
      <c r="L982">
        <f t="shared" si="156"/>
        <v>-0.39201652726738256</v>
      </c>
      <c r="M982">
        <f t="shared" si="157"/>
        <v>-0.64863877125818536</v>
      </c>
      <c r="N982">
        <f t="shared" si="158"/>
        <v>32</v>
      </c>
      <c r="O982" t="str">
        <f t="shared" si="159"/>
        <v>Other</v>
      </c>
    </row>
    <row r="983" spans="1:15" hidden="1" x14ac:dyDescent="0.3">
      <c r="A983" t="s">
        <v>723</v>
      </c>
      <c r="B983" s="2">
        <v>42210</v>
      </c>
      <c r="C983" s="3">
        <v>65034</v>
      </c>
      <c r="D983" s="4">
        <v>1587</v>
      </c>
      <c r="E983" s="4">
        <v>301</v>
      </c>
      <c r="F983">
        <f t="shared" si="150"/>
        <v>2015</v>
      </c>
      <c r="G983" t="str">
        <f t="shared" si="151"/>
        <v>July</v>
      </c>
      <c r="H983" t="str">
        <f t="shared" si="152"/>
        <v>Saturday</v>
      </c>
      <c r="I983">
        <f t="shared" si="153"/>
        <v>2.9030968416520588</v>
      </c>
      <c r="J983">
        <f t="shared" si="154"/>
        <v>24.402620167912168</v>
      </c>
      <c r="K983">
        <f t="shared" si="155"/>
        <v>4.62834824860842</v>
      </c>
      <c r="L983">
        <f t="shared" si="156"/>
        <v>-0.69169809233786306</v>
      </c>
      <c r="M983">
        <f t="shared" si="157"/>
        <v>-0.59248149012015416</v>
      </c>
      <c r="N983">
        <f t="shared" si="158"/>
        <v>33</v>
      </c>
      <c r="O983" t="str">
        <f t="shared" si="159"/>
        <v>Other</v>
      </c>
    </row>
    <row r="984" spans="1:15" hidden="1" x14ac:dyDescent="0.3">
      <c r="A984" t="s">
        <v>762</v>
      </c>
      <c r="B984" s="2">
        <v>42174</v>
      </c>
      <c r="C984" s="3">
        <v>65033</v>
      </c>
      <c r="D984" s="4">
        <v>1763</v>
      </c>
      <c r="E984" s="4">
        <v>404</v>
      </c>
      <c r="F984">
        <f t="shared" si="150"/>
        <v>2015</v>
      </c>
      <c r="G984" t="str">
        <f t="shared" si="151"/>
        <v>June</v>
      </c>
      <c r="H984" t="str">
        <f t="shared" si="152"/>
        <v>Friday</v>
      </c>
      <c r="I984">
        <f t="shared" si="153"/>
        <v>3.3321544446665539</v>
      </c>
      <c r="J984">
        <f t="shared" si="154"/>
        <v>27.109313733027847</v>
      </c>
      <c r="K984">
        <f t="shared" si="155"/>
        <v>6.2122307136376911</v>
      </c>
      <c r="L984">
        <f t="shared" si="156"/>
        <v>-0.67068970691341578</v>
      </c>
      <c r="M984">
        <f t="shared" si="157"/>
        <v>-0.51038903922952605</v>
      </c>
      <c r="N984">
        <f t="shared" si="158"/>
        <v>43</v>
      </c>
      <c r="O984" t="str">
        <f t="shared" si="159"/>
        <v>Other</v>
      </c>
    </row>
    <row r="985" spans="1:15" hidden="1" x14ac:dyDescent="0.3">
      <c r="A985" t="s">
        <v>690</v>
      </c>
      <c r="B985" s="2">
        <v>42235</v>
      </c>
      <c r="C985" s="3">
        <v>65033</v>
      </c>
      <c r="D985" s="4">
        <v>1823</v>
      </c>
      <c r="E985" s="4">
        <v>442</v>
      </c>
      <c r="F985">
        <f t="shared" si="150"/>
        <v>2015</v>
      </c>
      <c r="G985" t="str">
        <f t="shared" si="151"/>
        <v>August</v>
      </c>
      <c r="H985" t="str">
        <f t="shared" si="152"/>
        <v>Wednesday</v>
      </c>
      <c r="I985">
        <f t="shared" si="153"/>
        <v>3.4828471698983594</v>
      </c>
      <c r="J985">
        <f t="shared" si="154"/>
        <v>28.031922254855228</v>
      </c>
      <c r="K985">
        <f t="shared" si="155"/>
        <v>6.7965494441283658</v>
      </c>
      <c r="L985">
        <f t="shared" si="156"/>
        <v>-0.7272107865697055</v>
      </c>
      <c r="M985">
        <f t="shared" si="157"/>
        <v>-0.57117229631820687</v>
      </c>
      <c r="N985">
        <f t="shared" si="158"/>
        <v>44</v>
      </c>
      <c r="O985" t="str">
        <f t="shared" si="159"/>
        <v>Other</v>
      </c>
    </row>
    <row r="986" spans="1:15" hidden="1" x14ac:dyDescent="0.3">
      <c r="A986" t="s">
        <v>774</v>
      </c>
      <c r="B986" s="2">
        <v>42155</v>
      </c>
      <c r="C986" s="3">
        <v>65033</v>
      </c>
      <c r="D986" s="4">
        <v>1435</v>
      </c>
      <c r="E986" s="4">
        <v>225</v>
      </c>
      <c r="F986">
        <f t="shared" si="150"/>
        <v>2015</v>
      </c>
      <c r="G986" t="str">
        <f t="shared" si="151"/>
        <v>May</v>
      </c>
      <c r="H986" t="str">
        <f t="shared" si="152"/>
        <v>Sunday</v>
      </c>
      <c r="I986">
        <f t="shared" si="153"/>
        <v>2.5525502437224179</v>
      </c>
      <c r="J986">
        <f t="shared" si="154"/>
        <v>22.065720480371503</v>
      </c>
      <c r="K986">
        <f t="shared" si="155"/>
        <v>3.4597819568526749</v>
      </c>
      <c r="L986">
        <f t="shared" si="156"/>
        <v>-0.93553476725897466</v>
      </c>
      <c r="M986">
        <f t="shared" si="157"/>
        <v>-0.83458438623203179</v>
      </c>
      <c r="N986">
        <f t="shared" si="158"/>
        <v>50</v>
      </c>
      <c r="O986" t="str">
        <f t="shared" si="159"/>
        <v>Other</v>
      </c>
    </row>
    <row r="987" spans="1:15" hidden="1" x14ac:dyDescent="0.3">
      <c r="A987" t="s">
        <v>761</v>
      </c>
      <c r="B987" s="2">
        <v>42175</v>
      </c>
      <c r="C987" s="3">
        <v>65033</v>
      </c>
      <c r="D987" s="4">
        <v>1624</v>
      </c>
      <c r="E987" s="4">
        <v>358</v>
      </c>
      <c r="F987">
        <f t="shared" si="150"/>
        <v>2015</v>
      </c>
      <c r="G987" t="str">
        <f t="shared" si="151"/>
        <v>June</v>
      </c>
      <c r="H987" t="str">
        <f t="shared" si="152"/>
        <v>Saturday</v>
      </c>
      <c r="I987">
        <f t="shared" si="153"/>
        <v>3.0476834837697786</v>
      </c>
      <c r="J987">
        <f t="shared" si="154"/>
        <v>24.971937324127751</v>
      </c>
      <c r="K987">
        <f t="shared" si="155"/>
        <v>5.5048975135700333</v>
      </c>
      <c r="L987">
        <f t="shared" si="156"/>
        <v>-1</v>
      </c>
      <c r="M987">
        <f t="shared" si="157"/>
        <v>-1</v>
      </c>
      <c r="N987">
        <f t="shared" si="158"/>
        <v>56</v>
      </c>
      <c r="O987" t="str">
        <f t="shared" si="159"/>
        <v>Other</v>
      </c>
    </row>
    <row r="988" spans="1:15" hidden="1" x14ac:dyDescent="0.3">
      <c r="A988" t="s">
        <v>711</v>
      </c>
      <c r="B988" s="2">
        <v>42217</v>
      </c>
      <c r="C988" s="3">
        <v>65031</v>
      </c>
      <c r="D988" s="4">
        <v>1963</v>
      </c>
      <c r="E988" s="4">
        <v>466</v>
      </c>
      <c r="F988">
        <f t="shared" si="150"/>
        <v>2015</v>
      </c>
      <c r="G988" t="str">
        <f t="shared" si="151"/>
        <v>August</v>
      </c>
      <c r="H988" t="str">
        <f t="shared" si="152"/>
        <v>Saturday</v>
      </c>
      <c r="I988">
        <f t="shared" si="153"/>
        <v>3.7351417016499822</v>
      </c>
      <c r="J988">
        <f t="shared" si="154"/>
        <v>30.185603788962187</v>
      </c>
      <c r="K988">
        <f t="shared" si="155"/>
        <v>7.1658132275376358</v>
      </c>
      <c r="L988" t="e">
        <f t="shared" si="156"/>
        <v>#DIV/0!</v>
      </c>
      <c r="M988" t="e">
        <f t="shared" si="157"/>
        <v>#DIV/0!</v>
      </c>
      <c r="N988">
        <f t="shared" si="158"/>
        <v>61</v>
      </c>
      <c r="O988" t="str">
        <f t="shared" si="159"/>
        <v>Other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04C0-BB39-4B3D-A64B-A58537AE1858}">
  <dimension ref="A1"/>
  <sheetViews>
    <sheetView zoomScale="81" workbookViewId="0">
      <selection activeCell="O20" sqref="O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Most Views</vt:lpstr>
      <vt:lpstr>Highest Likes</vt:lpstr>
      <vt:lpstr>Highest Comments</vt:lpstr>
      <vt:lpstr>Year-Wise Views</vt:lpstr>
      <vt:lpstr>Upload per year</vt:lpstr>
      <vt:lpstr>Month wise views</vt:lpstr>
      <vt:lpstr>Day wise Views</vt:lpstr>
      <vt:lpstr>Top 10 Videos</vt:lpstr>
      <vt:lpstr>AVG_Views_category</vt:lpstr>
      <vt:lpstr>Likes_category</vt:lpstr>
      <vt:lpstr>Comments_category</vt:lpstr>
      <vt:lpstr>Count of Titles</vt:lpstr>
      <vt:lpstr>Avg_engagement_rate</vt:lpstr>
      <vt:lpstr>Most audience Interaction</vt:lpstr>
      <vt:lpstr>MrBeast_Cleaned_Dataset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 Mahesh Palaki</cp:lastModifiedBy>
  <dcterms:created xsi:type="dcterms:W3CDTF">2026-06-24T10:36:22Z</dcterms:created>
  <dcterms:modified xsi:type="dcterms:W3CDTF">2026-06-26T12:00:33Z</dcterms:modified>
</cp:coreProperties>
</file>